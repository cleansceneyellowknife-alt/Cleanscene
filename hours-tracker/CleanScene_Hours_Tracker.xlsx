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Hours Log" sheetId="2" state="visible" r:id="rId2"/>
    <sheet xmlns:r="http://schemas.openxmlformats.org/officeDocument/2006/relationships" name="Staff" sheetId="3" state="visible" r:id="rId3"/>
    <sheet xmlns:r="http://schemas.openxmlformats.org/officeDocument/2006/relationships" name="Sites" sheetId="4" state="visible" r:id="rId4"/>
    <sheet xmlns:r="http://schemas.openxmlformats.org/officeDocument/2006/relationships" name="Pay Period" sheetId="5" state="visible" r:id="rId5"/>
    <sheet xmlns:r="http://schemas.openxmlformats.org/officeDocument/2006/relationships" name="Week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ddd"/>
    <numFmt numFmtId="165" formatCode="yyyy-mm-dd"/>
    <numFmt numFmtId="166" formatCode="&quot;$&quot;#,##0.00"/>
    <numFmt numFmtId="167" formatCode="ddd mm-dd"/>
    <numFmt numFmtId="168" formatCode="0.00;-0.00;"/>
  </numFmts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EEEE"/>
      </patternFill>
    </fill>
    <fill>
      <patternFill patternType="solid">
        <fgColor rgb="00FF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64" fontId="0" fillId="0" borderId="0" pivotButton="0" quotePrefix="0" xfId="0"/>
    <xf numFmtId="18" fontId="0" fillId="0" borderId="0" pivotButton="0" quotePrefix="0" xfId="0"/>
    <xf numFmtId="2" fontId="0" fillId="3" borderId="0" pivotButton="0" quotePrefix="0" xfId="0"/>
    <xf numFmtId="0" fontId="0" fillId="3" borderId="0" pivotButton="0" quotePrefix="0" xfId="0"/>
    <xf numFmtId="165" fontId="0" fillId="3" borderId="0" pivotButton="0" quotePrefix="0" xfId="0"/>
    <xf numFmtId="166" fontId="0" fillId="0" borderId="0" pivotButton="0" quotePrefix="0" xfId="0"/>
    <xf numFmtId="0" fontId="0" fillId="4" borderId="0" pivotButton="0" quotePrefix="0" xfId="0"/>
    <xf numFmtId="164" fontId="2" fillId="0" borderId="0" pivotButton="0" quotePrefix="0" xfId="0"/>
    <xf numFmtId="0" fontId="3" fillId="2" borderId="0" pivotButton="0" quotePrefix="0" xfId="0"/>
    <xf numFmtId="2" fontId="0" fillId="0" borderId="0" pivotButton="0" quotePrefix="0" xfId="0"/>
    <xf numFmtId="2" fontId="2" fillId="0" borderId="0" pivotButton="0" quotePrefix="0" xfId="0"/>
    <xf numFmtId="166" fontId="2" fillId="0" borderId="0" pivotButton="0" quotePrefix="0" xfId="0"/>
    <xf numFmtId="167" fontId="3" fillId="2" borderId="0" pivotButton="0" quotePrefix="0" xfId="0"/>
    <xf numFmtId="0" fontId="3" fillId="2" borderId="0" applyAlignment="1" pivotButton="0" quotePrefix="0" xfId="0">
      <alignment wrapText="1"/>
    </xf>
    <xf numFmtId="168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CleanScene Hours Tracker</t>
        </is>
      </c>
    </row>
    <row r="2">
      <c r="A2" s="2" t="inlineStr">
        <is>
          <t>Private: only Adam and the manager have access. Do not share this file.</t>
        </is>
      </c>
    </row>
    <row r="3">
      <c r="A3" t="inlineStr"/>
    </row>
    <row r="4">
      <c r="A4" s="2" t="inlineStr">
        <is>
          <t>MANAGER: logging a shift (2 minutes, end of each day)</t>
        </is>
      </c>
    </row>
    <row r="5">
      <c r="A5" t="inlineStr">
        <is>
          <t>1. Open the 'Log a Shift' form (bookmark it on your phone), or go to the Hours Log tab.</t>
        </is>
      </c>
    </row>
    <row r="6">
      <c r="A6" t="inlineStr">
        <is>
          <t>2. One row = one person at one site for one shift.</t>
        </is>
      </c>
    </row>
    <row r="7">
      <c r="A7" t="inlineStr">
        <is>
          <t>3. Pick Employee and Client / Site from the dropdowns. Type Date, Start, End, Break minutes.</t>
        </is>
      </c>
    </row>
    <row r="8">
      <c r="A8" t="inlineStr">
        <is>
          <t>4. Add the Jobber visit # or a short note in column J (optional, helps the cross-check).</t>
        </is>
      </c>
    </row>
    <row r="9">
      <c r="A9" t="inlineStr">
        <is>
          <t>5. Grey columns (Hours, Region, Week of, Check) fill themselves. Never type in them.</t>
        </is>
      </c>
    </row>
    <row r="10">
      <c r="A10" t="inlineStr">
        <is>
          <t>6. If Check is not OK, fix the row the same day.</t>
        </is>
      </c>
    </row>
    <row r="11">
      <c r="A11" t="inlineStr"/>
    </row>
    <row r="12">
      <c r="A12" s="2" t="inlineStr">
        <is>
          <t>RULES</t>
        </is>
      </c>
    </row>
    <row r="13">
      <c r="A13" t="inlineStr">
        <is>
          <t>- Typing directly: use the first empty row. Never add rows after row 2001, never delete rows. Clear the cells instead.</t>
        </is>
      </c>
    </row>
    <row r="14">
      <c r="A14" t="inlineStr">
        <is>
          <t>- New employee: add to Staff tab first. New client: add to Sites tab first (same name as in Jobber).</t>
        </is>
      </c>
    </row>
    <row r="15">
      <c r="A15" t="inlineStr">
        <is>
          <t>- Overnight shifts work: an End earlier than Start is treated as the next day.</t>
        </is>
      </c>
    </row>
    <row r="16">
      <c r="A16" t="inlineStr"/>
    </row>
    <row r="17">
      <c r="A17" s="2" t="inlineStr">
        <is>
          <t>ADAM: reviewing</t>
        </is>
      </c>
    </row>
    <row r="18">
      <c r="A18" t="inlineStr">
        <is>
          <t>- Pay Period tab: hours, shifts, gross pay and flags per person for the current period. Pay is monthly: set 'Months back' to 1 to run last month's payroll.</t>
        </is>
      </c>
    </row>
    <row r="19">
      <c r="A19" t="inlineStr">
        <is>
          <t>- Weekly tab: hours per person per day, and the site cross-check against Jobber visits.</t>
        </is>
      </c>
    </row>
    <row r="20">
      <c r="A20" t="inlineStr">
        <is>
          <t>- Every Monday: open Weekly, set 'Weeks back' to 1, enter Jobber visits/hours for last week, clear every flag.</t>
        </is>
      </c>
    </row>
    <row r="21">
      <c r="A21" t="inlineStr"/>
    </row>
    <row r="22">
      <c r="A22" s="2" t="inlineStr">
        <is>
          <t>CHECK column meanings</t>
        </is>
      </c>
    </row>
    <row r="23">
      <c r="A23" t="inlineStr">
        <is>
          <t>OK = good.  Missing info = a required cell is blank.  Unknown employee / Unknown site = not on the Staff or Sites tab.</t>
        </is>
      </c>
    </row>
    <row r="24">
      <c r="A24" t="inlineStr">
        <is>
          <t>Check times = End is the same as Start or break is longer than the shift.  Over 12h = confirm it is real.</t>
        </is>
      </c>
    </row>
    <row r="25">
      <c r="A25" t="inlineStr">
        <is>
          <t>Duplicate? = same person, same site, same date twice.  Future date = date is after today.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L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4" customWidth="1" min="3" max="3"/>
    <col width="11" customWidth="1" min="4" max="4"/>
    <col width="11" customWidth="1" min="5" max="5"/>
    <col width="11" customWidth="1" min="6" max="6"/>
    <col width="8" customWidth="1" min="7" max="7"/>
    <col width="18" customWidth="1" min="8" max="8"/>
    <col width="15" customWidth="1" min="9" max="9"/>
    <col width="26" customWidth="1" min="10" max="10"/>
    <col width="18" customWidth="1" min="11" max="11"/>
    <col hidden="1" width="10" customWidth="1" min="12" max="12"/>
  </cols>
  <sheetData>
    <row r="1">
      <c r="A1" s="3" t="inlineStr">
        <is>
          <t>Date</t>
        </is>
      </c>
      <c r="B1" s="3" t="inlineStr">
        <is>
          <t>Employee</t>
        </is>
      </c>
      <c r="C1" s="3" t="inlineStr">
        <is>
          <t>Client / Site</t>
        </is>
      </c>
      <c r="D1" s="3" t="inlineStr">
        <is>
          <t>Start</t>
        </is>
      </c>
      <c r="E1" s="3" t="inlineStr">
        <is>
          <t>End</t>
        </is>
      </c>
      <c r="F1" s="3" t="inlineStr">
        <is>
          <t>Break (min)</t>
        </is>
      </c>
      <c r="G1" s="3" t="inlineStr">
        <is>
          <t>Hours</t>
        </is>
      </c>
      <c r="H1" s="3" t="inlineStr">
        <is>
          <t>Region</t>
        </is>
      </c>
      <c r="I1" s="3" t="inlineStr">
        <is>
          <t>Week of (Mon)</t>
        </is>
      </c>
      <c r="J1" s="3" t="inlineStr">
        <is>
          <t>Jobber visit # / note</t>
        </is>
      </c>
      <c r="K1" s="3" t="inlineStr">
        <is>
          <t>Check</t>
        </is>
      </c>
      <c r="L1" s="3" t="inlineStr">
        <is>
          <t>Visit helper</t>
        </is>
      </c>
    </row>
    <row r="2">
      <c r="A2" s="4" t="n"/>
      <c r="D2" s="5" t="n"/>
      <c r="E2" s="5" t="n"/>
      <c r="G2" s="6">
        <f>IF(OR(A2="",D2="",E2=""),"",ROUND(MOD(E2-D2,1)*24-N(F2)/60,2))</f>
        <v/>
      </c>
      <c r="H2" s="7">
        <f>IF(C2="","",IFERROR(INDEX(Sites!$B$2:$B$501,MATCH(C2,Sites!$A$2:$A$501,0)),"?"))</f>
        <v/>
      </c>
      <c r="I2" s="8">
        <f>IF(A2="","",A2-WEEKDAY(A2,3))</f>
        <v/>
      </c>
      <c r="K2" s="7">
        <f>IF(A2="","",IF(OR(B2="",C2="",D2="",E2=""),"Missing info",IF(ISNA(MATCH(B2,Staff!$A$2:$A$101,0)),"Unknown employee",IF(H2="?","Unknown site",IF(G2&lt;=0,"Check times",IF(G2&gt;12,"Over 12h",IF(COUNTIFS($L$2:$L$2001,L2)&gt;1,"Duplicate?",IF(A2&gt;TODAY(),"Future date","OK"))))))))</f>
        <v/>
      </c>
      <c r="L2">
        <f>IF(A2="","",TEXT(A2,"yyyy-mm-dd")&amp;"|"&amp;B2&amp;"|"&amp;C2)</f>
        <v/>
      </c>
    </row>
    <row r="3">
      <c r="A3" s="4" t="n"/>
      <c r="D3" s="5" t="n"/>
      <c r="E3" s="5" t="n"/>
      <c r="G3" s="6">
        <f>IF(OR(A3="",D3="",E3=""),"",ROUND(MOD(E3-D3,1)*24-N(F3)/60,2))</f>
        <v/>
      </c>
      <c r="H3" s="7">
        <f>IF(C3="","",IFERROR(INDEX(Sites!$B$2:$B$501,MATCH(C3,Sites!$A$2:$A$501,0)),"?"))</f>
        <v/>
      </c>
      <c r="I3" s="8">
        <f>IF(A3="","",A3-WEEKDAY(A3,3))</f>
        <v/>
      </c>
      <c r="K3" s="7">
        <f>IF(A3="","",IF(OR(B3="",C3="",D3="",E3=""),"Missing info",IF(ISNA(MATCH(B3,Staff!$A$2:$A$101,0)),"Unknown employee",IF(H3="?","Unknown site",IF(G3&lt;=0,"Check times",IF(G3&gt;12,"Over 12h",IF(COUNTIFS($L$2:$L$2001,L3)&gt;1,"Duplicate?",IF(A3&gt;TODAY(),"Future date","OK"))))))))</f>
        <v/>
      </c>
      <c r="L3">
        <f>IF(A3="","",TEXT(A3,"yyyy-mm-dd")&amp;"|"&amp;B3&amp;"|"&amp;C3)</f>
        <v/>
      </c>
    </row>
    <row r="4">
      <c r="A4" s="4" t="n"/>
      <c r="D4" s="5" t="n"/>
      <c r="E4" s="5" t="n"/>
      <c r="G4" s="6">
        <f>IF(OR(A4="",D4="",E4=""),"",ROUND(MOD(E4-D4,1)*24-N(F4)/60,2))</f>
        <v/>
      </c>
      <c r="H4" s="7">
        <f>IF(C4="","",IFERROR(INDEX(Sites!$B$2:$B$501,MATCH(C4,Sites!$A$2:$A$501,0)),"?"))</f>
        <v/>
      </c>
      <c r="I4" s="8">
        <f>IF(A4="","",A4-WEEKDAY(A4,3))</f>
        <v/>
      </c>
      <c r="K4" s="7">
        <f>IF(A4="","",IF(OR(B4="",C4="",D4="",E4=""),"Missing info",IF(ISNA(MATCH(B4,Staff!$A$2:$A$101,0)),"Unknown employee",IF(H4="?","Unknown site",IF(G4&lt;=0,"Check times",IF(G4&gt;12,"Over 12h",IF(COUNTIFS($L$2:$L$2001,L4)&gt;1,"Duplicate?",IF(A4&gt;TODAY(),"Future date","OK"))))))))</f>
        <v/>
      </c>
      <c r="L4">
        <f>IF(A4="","",TEXT(A4,"yyyy-mm-dd")&amp;"|"&amp;B4&amp;"|"&amp;C4)</f>
        <v/>
      </c>
    </row>
    <row r="5">
      <c r="A5" s="4" t="n"/>
      <c r="D5" s="5" t="n"/>
      <c r="E5" s="5" t="n"/>
      <c r="G5" s="6">
        <f>IF(OR(A5="",D5="",E5=""),"",ROUND(MOD(E5-D5,1)*24-N(F5)/60,2))</f>
        <v/>
      </c>
      <c r="H5" s="7">
        <f>IF(C5="","",IFERROR(INDEX(Sites!$B$2:$B$501,MATCH(C5,Sites!$A$2:$A$501,0)),"?"))</f>
        <v/>
      </c>
      <c r="I5" s="8">
        <f>IF(A5="","",A5-WEEKDAY(A5,3))</f>
        <v/>
      </c>
      <c r="K5" s="7">
        <f>IF(A5="","",IF(OR(B5="",C5="",D5="",E5=""),"Missing info",IF(ISNA(MATCH(B5,Staff!$A$2:$A$101,0)),"Unknown employee",IF(H5="?","Unknown site",IF(G5&lt;=0,"Check times",IF(G5&gt;12,"Over 12h",IF(COUNTIFS($L$2:$L$2001,L5)&gt;1,"Duplicate?",IF(A5&gt;TODAY(),"Future date","OK"))))))))</f>
        <v/>
      </c>
      <c r="L5">
        <f>IF(A5="","",TEXT(A5,"yyyy-mm-dd")&amp;"|"&amp;B5&amp;"|"&amp;C5)</f>
        <v/>
      </c>
    </row>
    <row r="6">
      <c r="A6" s="4" t="n"/>
      <c r="D6" s="5" t="n"/>
      <c r="E6" s="5" t="n"/>
      <c r="G6" s="6">
        <f>IF(OR(A6="",D6="",E6=""),"",ROUND(MOD(E6-D6,1)*24-N(F6)/60,2))</f>
        <v/>
      </c>
      <c r="H6" s="7">
        <f>IF(C6="","",IFERROR(INDEX(Sites!$B$2:$B$501,MATCH(C6,Sites!$A$2:$A$501,0)),"?"))</f>
        <v/>
      </c>
      <c r="I6" s="8">
        <f>IF(A6="","",A6-WEEKDAY(A6,3))</f>
        <v/>
      </c>
      <c r="K6" s="7">
        <f>IF(A6="","",IF(OR(B6="",C6="",D6="",E6=""),"Missing info",IF(ISNA(MATCH(B6,Staff!$A$2:$A$101,0)),"Unknown employee",IF(H6="?","Unknown site",IF(G6&lt;=0,"Check times",IF(G6&gt;12,"Over 12h",IF(COUNTIFS($L$2:$L$2001,L6)&gt;1,"Duplicate?",IF(A6&gt;TODAY(),"Future date","OK"))))))))</f>
        <v/>
      </c>
      <c r="L6">
        <f>IF(A6="","",TEXT(A6,"yyyy-mm-dd")&amp;"|"&amp;B6&amp;"|"&amp;C6)</f>
        <v/>
      </c>
    </row>
    <row r="7">
      <c r="A7" s="4" t="n"/>
      <c r="D7" s="5" t="n"/>
      <c r="E7" s="5" t="n"/>
      <c r="G7" s="6">
        <f>IF(OR(A7="",D7="",E7=""),"",ROUND(MOD(E7-D7,1)*24-N(F7)/60,2))</f>
        <v/>
      </c>
      <c r="H7" s="7">
        <f>IF(C7="","",IFERROR(INDEX(Sites!$B$2:$B$501,MATCH(C7,Sites!$A$2:$A$501,0)),"?"))</f>
        <v/>
      </c>
      <c r="I7" s="8">
        <f>IF(A7="","",A7-WEEKDAY(A7,3))</f>
        <v/>
      </c>
      <c r="K7" s="7">
        <f>IF(A7="","",IF(OR(B7="",C7="",D7="",E7=""),"Missing info",IF(ISNA(MATCH(B7,Staff!$A$2:$A$101,0)),"Unknown employee",IF(H7="?","Unknown site",IF(G7&lt;=0,"Check times",IF(G7&gt;12,"Over 12h",IF(COUNTIFS($L$2:$L$2001,L7)&gt;1,"Duplicate?",IF(A7&gt;TODAY(),"Future date","OK"))))))))</f>
        <v/>
      </c>
      <c r="L7">
        <f>IF(A7="","",TEXT(A7,"yyyy-mm-dd")&amp;"|"&amp;B7&amp;"|"&amp;C7)</f>
        <v/>
      </c>
    </row>
    <row r="8">
      <c r="A8" s="4" t="n"/>
      <c r="D8" s="5" t="n"/>
      <c r="E8" s="5" t="n"/>
      <c r="G8" s="6">
        <f>IF(OR(A8="",D8="",E8=""),"",ROUND(MOD(E8-D8,1)*24-N(F8)/60,2))</f>
        <v/>
      </c>
      <c r="H8" s="7">
        <f>IF(C8="","",IFERROR(INDEX(Sites!$B$2:$B$501,MATCH(C8,Sites!$A$2:$A$501,0)),"?"))</f>
        <v/>
      </c>
      <c r="I8" s="8">
        <f>IF(A8="","",A8-WEEKDAY(A8,3))</f>
        <v/>
      </c>
      <c r="K8" s="7">
        <f>IF(A8="","",IF(OR(B8="",C8="",D8="",E8=""),"Missing info",IF(ISNA(MATCH(B8,Staff!$A$2:$A$101,0)),"Unknown employee",IF(H8="?","Unknown site",IF(G8&lt;=0,"Check times",IF(G8&gt;12,"Over 12h",IF(COUNTIFS($L$2:$L$2001,L8)&gt;1,"Duplicate?",IF(A8&gt;TODAY(),"Future date","OK"))))))))</f>
        <v/>
      </c>
      <c r="L8">
        <f>IF(A8="","",TEXT(A8,"yyyy-mm-dd")&amp;"|"&amp;B8&amp;"|"&amp;C8)</f>
        <v/>
      </c>
    </row>
    <row r="9">
      <c r="A9" s="4" t="n"/>
      <c r="D9" s="5" t="n"/>
      <c r="E9" s="5" t="n"/>
      <c r="G9" s="6">
        <f>IF(OR(A9="",D9="",E9=""),"",ROUND(MOD(E9-D9,1)*24-N(F9)/60,2))</f>
        <v/>
      </c>
      <c r="H9" s="7">
        <f>IF(C9="","",IFERROR(INDEX(Sites!$B$2:$B$501,MATCH(C9,Sites!$A$2:$A$501,0)),"?"))</f>
        <v/>
      </c>
      <c r="I9" s="8">
        <f>IF(A9="","",A9-WEEKDAY(A9,3))</f>
        <v/>
      </c>
      <c r="K9" s="7">
        <f>IF(A9="","",IF(OR(B9="",C9="",D9="",E9=""),"Missing info",IF(ISNA(MATCH(B9,Staff!$A$2:$A$101,0)),"Unknown employee",IF(H9="?","Unknown site",IF(G9&lt;=0,"Check times",IF(G9&gt;12,"Over 12h",IF(COUNTIFS($L$2:$L$2001,L9)&gt;1,"Duplicate?",IF(A9&gt;TODAY(),"Future date","OK"))))))))</f>
        <v/>
      </c>
      <c r="L9">
        <f>IF(A9="","",TEXT(A9,"yyyy-mm-dd")&amp;"|"&amp;B9&amp;"|"&amp;C9)</f>
        <v/>
      </c>
    </row>
    <row r="10">
      <c r="A10" s="4" t="n"/>
      <c r="D10" s="5" t="n"/>
      <c r="E10" s="5" t="n"/>
      <c r="G10" s="6">
        <f>IF(OR(A10="",D10="",E10=""),"",ROUND(MOD(E10-D10,1)*24-N(F10)/60,2))</f>
        <v/>
      </c>
      <c r="H10" s="7">
        <f>IF(C10="","",IFERROR(INDEX(Sites!$B$2:$B$501,MATCH(C10,Sites!$A$2:$A$501,0)),"?"))</f>
        <v/>
      </c>
      <c r="I10" s="8">
        <f>IF(A10="","",A10-WEEKDAY(A10,3))</f>
        <v/>
      </c>
      <c r="K10" s="7">
        <f>IF(A10="","",IF(OR(B10="",C10="",D10="",E10=""),"Missing info",IF(ISNA(MATCH(B10,Staff!$A$2:$A$101,0)),"Unknown employee",IF(H10="?","Unknown site",IF(G10&lt;=0,"Check times",IF(G10&gt;12,"Over 12h",IF(COUNTIFS($L$2:$L$2001,L10)&gt;1,"Duplicate?",IF(A10&gt;TODAY(),"Future date","OK"))))))))</f>
        <v/>
      </c>
      <c r="L10">
        <f>IF(A10="","",TEXT(A10,"yyyy-mm-dd")&amp;"|"&amp;B10&amp;"|"&amp;C10)</f>
        <v/>
      </c>
    </row>
    <row r="11">
      <c r="A11" s="4" t="n"/>
      <c r="D11" s="5" t="n"/>
      <c r="E11" s="5" t="n"/>
      <c r="G11" s="6">
        <f>IF(OR(A11="",D11="",E11=""),"",ROUND(MOD(E11-D11,1)*24-N(F11)/60,2))</f>
        <v/>
      </c>
      <c r="H11" s="7">
        <f>IF(C11="","",IFERROR(INDEX(Sites!$B$2:$B$501,MATCH(C11,Sites!$A$2:$A$501,0)),"?"))</f>
        <v/>
      </c>
      <c r="I11" s="8">
        <f>IF(A11="","",A11-WEEKDAY(A11,3))</f>
        <v/>
      </c>
      <c r="K11" s="7">
        <f>IF(A11="","",IF(OR(B11="",C11="",D11="",E11=""),"Missing info",IF(ISNA(MATCH(B11,Staff!$A$2:$A$101,0)),"Unknown employee",IF(H11="?","Unknown site",IF(G11&lt;=0,"Check times",IF(G11&gt;12,"Over 12h",IF(COUNTIFS($L$2:$L$2001,L11)&gt;1,"Duplicate?",IF(A11&gt;TODAY(),"Future date","OK"))))))))</f>
        <v/>
      </c>
      <c r="L11">
        <f>IF(A11="","",TEXT(A11,"yyyy-mm-dd")&amp;"|"&amp;B11&amp;"|"&amp;C11)</f>
        <v/>
      </c>
    </row>
    <row r="12">
      <c r="A12" s="4" t="n"/>
      <c r="D12" s="5" t="n"/>
      <c r="E12" s="5" t="n"/>
      <c r="G12" s="6">
        <f>IF(OR(A12="",D12="",E12=""),"",ROUND(MOD(E12-D12,1)*24-N(F12)/60,2))</f>
        <v/>
      </c>
      <c r="H12" s="7">
        <f>IF(C12="","",IFERROR(INDEX(Sites!$B$2:$B$501,MATCH(C12,Sites!$A$2:$A$501,0)),"?"))</f>
        <v/>
      </c>
      <c r="I12" s="8">
        <f>IF(A12="","",A12-WEEKDAY(A12,3))</f>
        <v/>
      </c>
      <c r="K12" s="7">
        <f>IF(A12="","",IF(OR(B12="",C12="",D12="",E12=""),"Missing info",IF(ISNA(MATCH(B12,Staff!$A$2:$A$101,0)),"Unknown employee",IF(H12="?","Unknown site",IF(G12&lt;=0,"Check times",IF(G12&gt;12,"Over 12h",IF(COUNTIFS($L$2:$L$2001,L12)&gt;1,"Duplicate?",IF(A12&gt;TODAY(),"Future date","OK"))))))))</f>
        <v/>
      </c>
      <c r="L12">
        <f>IF(A12="","",TEXT(A12,"yyyy-mm-dd")&amp;"|"&amp;B12&amp;"|"&amp;C12)</f>
        <v/>
      </c>
    </row>
    <row r="13">
      <c r="A13" s="4" t="n"/>
      <c r="D13" s="5" t="n"/>
      <c r="E13" s="5" t="n"/>
      <c r="G13" s="6">
        <f>IF(OR(A13="",D13="",E13=""),"",ROUND(MOD(E13-D13,1)*24-N(F13)/60,2))</f>
        <v/>
      </c>
      <c r="H13" s="7">
        <f>IF(C13="","",IFERROR(INDEX(Sites!$B$2:$B$501,MATCH(C13,Sites!$A$2:$A$501,0)),"?"))</f>
        <v/>
      </c>
      <c r="I13" s="8">
        <f>IF(A13="","",A13-WEEKDAY(A13,3))</f>
        <v/>
      </c>
      <c r="K13" s="7">
        <f>IF(A13="","",IF(OR(B13="",C13="",D13="",E13=""),"Missing info",IF(ISNA(MATCH(B13,Staff!$A$2:$A$101,0)),"Unknown employee",IF(H13="?","Unknown site",IF(G13&lt;=0,"Check times",IF(G13&gt;12,"Over 12h",IF(COUNTIFS($L$2:$L$2001,L13)&gt;1,"Duplicate?",IF(A13&gt;TODAY(),"Future date","OK"))))))))</f>
        <v/>
      </c>
      <c r="L13">
        <f>IF(A13="","",TEXT(A13,"yyyy-mm-dd")&amp;"|"&amp;B13&amp;"|"&amp;C13)</f>
        <v/>
      </c>
    </row>
    <row r="14">
      <c r="A14" s="4" t="n"/>
      <c r="D14" s="5" t="n"/>
      <c r="E14" s="5" t="n"/>
      <c r="G14" s="6">
        <f>IF(OR(A14="",D14="",E14=""),"",ROUND(MOD(E14-D14,1)*24-N(F14)/60,2))</f>
        <v/>
      </c>
      <c r="H14" s="7">
        <f>IF(C14="","",IFERROR(INDEX(Sites!$B$2:$B$501,MATCH(C14,Sites!$A$2:$A$501,0)),"?"))</f>
        <v/>
      </c>
      <c r="I14" s="8">
        <f>IF(A14="","",A14-WEEKDAY(A14,3))</f>
        <v/>
      </c>
      <c r="K14" s="7">
        <f>IF(A14="","",IF(OR(B14="",C14="",D14="",E14=""),"Missing info",IF(ISNA(MATCH(B14,Staff!$A$2:$A$101,0)),"Unknown employee",IF(H14="?","Unknown site",IF(G14&lt;=0,"Check times",IF(G14&gt;12,"Over 12h",IF(COUNTIFS($L$2:$L$2001,L14)&gt;1,"Duplicate?",IF(A14&gt;TODAY(),"Future date","OK"))))))))</f>
        <v/>
      </c>
      <c r="L14">
        <f>IF(A14="","",TEXT(A14,"yyyy-mm-dd")&amp;"|"&amp;B14&amp;"|"&amp;C14)</f>
        <v/>
      </c>
    </row>
    <row r="15">
      <c r="A15" s="4" t="n"/>
      <c r="D15" s="5" t="n"/>
      <c r="E15" s="5" t="n"/>
      <c r="G15" s="6">
        <f>IF(OR(A15="",D15="",E15=""),"",ROUND(MOD(E15-D15,1)*24-N(F15)/60,2))</f>
        <v/>
      </c>
      <c r="H15" s="7">
        <f>IF(C15="","",IFERROR(INDEX(Sites!$B$2:$B$501,MATCH(C15,Sites!$A$2:$A$501,0)),"?"))</f>
        <v/>
      </c>
      <c r="I15" s="8">
        <f>IF(A15="","",A15-WEEKDAY(A15,3))</f>
        <v/>
      </c>
      <c r="K15" s="7">
        <f>IF(A15="","",IF(OR(B15="",C15="",D15="",E15=""),"Missing info",IF(ISNA(MATCH(B15,Staff!$A$2:$A$101,0)),"Unknown employee",IF(H15="?","Unknown site",IF(G15&lt;=0,"Check times",IF(G15&gt;12,"Over 12h",IF(COUNTIFS($L$2:$L$2001,L15)&gt;1,"Duplicate?",IF(A15&gt;TODAY(),"Future date","OK"))))))))</f>
        <v/>
      </c>
      <c r="L15">
        <f>IF(A15="","",TEXT(A15,"yyyy-mm-dd")&amp;"|"&amp;B15&amp;"|"&amp;C15)</f>
        <v/>
      </c>
    </row>
    <row r="16">
      <c r="A16" s="4" t="n"/>
      <c r="D16" s="5" t="n"/>
      <c r="E16" s="5" t="n"/>
      <c r="G16" s="6">
        <f>IF(OR(A16="",D16="",E16=""),"",ROUND(MOD(E16-D16,1)*24-N(F16)/60,2))</f>
        <v/>
      </c>
      <c r="H16" s="7">
        <f>IF(C16="","",IFERROR(INDEX(Sites!$B$2:$B$501,MATCH(C16,Sites!$A$2:$A$501,0)),"?"))</f>
        <v/>
      </c>
      <c r="I16" s="8">
        <f>IF(A16="","",A16-WEEKDAY(A16,3))</f>
        <v/>
      </c>
      <c r="K16" s="7">
        <f>IF(A16="","",IF(OR(B16="",C16="",D16="",E16=""),"Missing info",IF(ISNA(MATCH(B16,Staff!$A$2:$A$101,0)),"Unknown employee",IF(H16="?","Unknown site",IF(G16&lt;=0,"Check times",IF(G16&gt;12,"Over 12h",IF(COUNTIFS($L$2:$L$2001,L16)&gt;1,"Duplicate?",IF(A16&gt;TODAY(),"Future date","OK"))))))))</f>
        <v/>
      </c>
      <c r="L16">
        <f>IF(A16="","",TEXT(A16,"yyyy-mm-dd")&amp;"|"&amp;B16&amp;"|"&amp;C16)</f>
        <v/>
      </c>
    </row>
    <row r="17">
      <c r="A17" s="4" t="n"/>
      <c r="D17" s="5" t="n"/>
      <c r="E17" s="5" t="n"/>
      <c r="G17" s="6">
        <f>IF(OR(A17="",D17="",E17=""),"",ROUND(MOD(E17-D17,1)*24-N(F17)/60,2))</f>
        <v/>
      </c>
      <c r="H17" s="7">
        <f>IF(C17="","",IFERROR(INDEX(Sites!$B$2:$B$501,MATCH(C17,Sites!$A$2:$A$501,0)),"?"))</f>
        <v/>
      </c>
      <c r="I17" s="8">
        <f>IF(A17="","",A17-WEEKDAY(A17,3))</f>
        <v/>
      </c>
      <c r="K17" s="7">
        <f>IF(A17="","",IF(OR(B17="",C17="",D17="",E17=""),"Missing info",IF(ISNA(MATCH(B17,Staff!$A$2:$A$101,0)),"Unknown employee",IF(H17="?","Unknown site",IF(G17&lt;=0,"Check times",IF(G17&gt;12,"Over 12h",IF(COUNTIFS($L$2:$L$2001,L17)&gt;1,"Duplicate?",IF(A17&gt;TODAY(),"Future date","OK"))))))))</f>
        <v/>
      </c>
      <c r="L17">
        <f>IF(A17="","",TEXT(A17,"yyyy-mm-dd")&amp;"|"&amp;B17&amp;"|"&amp;C17)</f>
        <v/>
      </c>
    </row>
    <row r="18">
      <c r="A18" s="4" t="n"/>
      <c r="D18" s="5" t="n"/>
      <c r="E18" s="5" t="n"/>
      <c r="G18" s="6">
        <f>IF(OR(A18="",D18="",E18=""),"",ROUND(MOD(E18-D18,1)*24-N(F18)/60,2))</f>
        <v/>
      </c>
      <c r="H18" s="7">
        <f>IF(C18="","",IFERROR(INDEX(Sites!$B$2:$B$501,MATCH(C18,Sites!$A$2:$A$501,0)),"?"))</f>
        <v/>
      </c>
      <c r="I18" s="8">
        <f>IF(A18="","",A18-WEEKDAY(A18,3))</f>
        <v/>
      </c>
      <c r="K18" s="7">
        <f>IF(A18="","",IF(OR(B18="",C18="",D18="",E18=""),"Missing info",IF(ISNA(MATCH(B18,Staff!$A$2:$A$101,0)),"Unknown employee",IF(H18="?","Unknown site",IF(G18&lt;=0,"Check times",IF(G18&gt;12,"Over 12h",IF(COUNTIFS($L$2:$L$2001,L18)&gt;1,"Duplicate?",IF(A18&gt;TODAY(),"Future date","OK"))))))))</f>
        <v/>
      </c>
      <c r="L18">
        <f>IF(A18="","",TEXT(A18,"yyyy-mm-dd")&amp;"|"&amp;B18&amp;"|"&amp;C18)</f>
        <v/>
      </c>
    </row>
    <row r="19">
      <c r="A19" s="4" t="n"/>
      <c r="D19" s="5" t="n"/>
      <c r="E19" s="5" t="n"/>
      <c r="G19" s="6">
        <f>IF(OR(A19="",D19="",E19=""),"",ROUND(MOD(E19-D19,1)*24-N(F19)/60,2))</f>
        <v/>
      </c>
      <c r="H19" s="7">
        <f>IF(C19="","",IFERROR(INDEX(Sites!$B$2:$B$501,MATCH(C19,Sites!$A$2:$A$501,0)),"?"))</f>
        <v/>
      </c>
      <c r="I19" s="8">
        <f>IF(A19="","",A19-WEEKDAY(A19,3))</f>
        <v/>
      </c>
      <c r="K19" s="7">
        <f>IF(A19="","",IF(OR(B19="",C19="",D19="",E19=""),"Missing info",IF(ISNA(MATCH(B19,Staff!$A$2:$A$101,0)),"Unknown employee",IF(H19="?","Unknown site",IF(G19&lt;=0,"Check times",IF(G19&gt;12,"Over 12h",IF(COUNTIFS($L$2:$L$2001,L19)&gt;1,"Duplicate?",IF(A19&gt;TODAY(),"Future date","OK"))))))))</f>
        <v/>
      </c>
      <c r="L19">
        <f>IF(A19="","",TEXT(A19,"yyyy-mm-dd")&amp;"|"&amp;B19&amp;"|"&amp;C19)</f>
        <v/>
      </c>
    </row>
    <row r="20">
      <c r="A20" s="4" t="n"/>
      <c r="D20" s="5" t="n"/>
      <c r="E20" s="5" t="n"/>
      <c r="G20" s="6">
        <f>IF(OR(A20="",D20="",E20=""),"",ROUND(MOD(E20-D20,1)*24-N(F20)/60,2))</f>
        <v/>
      </c>
      <c r="H20" s="7">
        <f>IF(C20="","",IFERROR(INDEX(Sites!$B$2:$B$501,MATCH(C20,Sites!$A$2:$A$501,0)),"?"))</f>
        <v/>
      </c>
      <c r="I20" s="8">
        <f>IF(A20="","",A20-WEEKDAY(A20,3))</f>
        <v/>
      </c>
      <c r="K20" s="7">
        <f>IF(A20="","",IF(OR(B20="",C20="",D20="",E20=""),"Missing info",IF(ISNA(MATCH(B20,Staff!$A$2:$A$101,0)),"Unknown employee",IF(H20="?","Unknown site",IF(G20&lt;=0,"Check times",IF(G20&gt;12,"Over 12h",IF(COUNTIFS($L$2:$L$2001,L20)&gt;1,"Duplicate?",IF(A20&gt;TODAY(),"Future date","OK"))))))))</f>
        <v/>
      </c>
      <c r="L20">
        <f>IF(A20="","",TEXT(A20,"yyyy-mm-dd")&amp;"|"&amp;B20&amp;"|"&amp;C20)</f>
        <v/>
      </c>
    </row>
    <row r="21">
      <c r="A21" s="4" t="n"/>
      <c r="D21" s="5" t="n"/>
      <c r="E21" s="5" t="n"/>
      <c r="G21" s="6">
        <f>IF(OR(A21="",D21="",E21=""),"",ROUND(MOD(E21-D21,1)*24-N(F21)/60,2))</f>
        <v/>
      </c>
      <c r="H21" s="7">
        <f>IF(C21="","",IFERROR(INDEX(Sites!$B$2:$B$501,MATCH(C21,Sites!$A$2:$A$501,0)),"?"))</f>
        <v/>
      </c>
      <c r="I21" s="8">
        <f>IF(A21="","",A21-WEEKDAY(A21,3))</f>
        <v/>
      </c>
      <c r="K21" s="7">
        <f>IF(A21="","",IF(OR(B21="",C21="",D21="",E21=""),"Missing info",IF(ISNA(MATCH(B21,Staff!$A$2:$A$101,0)),"Unknown employee",IF(H21="?","Unknown site",IF(G21&lt;=0,"Check times",IF(G21&gt;12,"Over 12h",IF(COUNTIFS($L$2:$L$2001,L21)&gt;1,"Duplicate?",IF(A21&gt;TODAY(),"Future date","OK"))))))))</f>
        <v/>
      </c>
      <c r="L21">
        <f>IF(A21="","",TEXT(A21,"yyyy-mm-dd")&amp;"|"&amp;B21&amp;"|"&amp;C21)</f>
        <v/>
      </c>
    </row>
    <row r="22">
      <c r="A22" s="4" t="n"/>
      <c r="D22" s="5" t="n"/>
      <c r="E22" s="5" t="n"/>
      <c r="G22" s="6">
        <f>IF(OR(A22="",D22="",E22=""),"",ROUND(MOD(E22-D22,1)*24-N(F22)/60,2))</f>
        <v/>
      </c>
      <c r="H22" s="7">
        <f>IF(C22="","",IFERROR(INDEX(Sites!$B$2:$B$501,MATCH(C22,Sites!$A$2:$A$501,0)),"?"))</f>
        <v/>
      </c>
      <c r="I22" s="8">
        <f>IF(A22="","",A22-WEEKDAY(A22,3))</f>
        <v/>
      </c>
      <c r="K22" s="7">
        <f>IF(A22="","",IF(OR(B22="",C22="",D22="",E22=""),"Missing info",IF(ISNA(MATCH(B22,Staff!$A$2:$A$101,0)),"Unknown employee",IF(H22="?","Unknown site",IF(G22&lt;=0,"Check times",IF(G22&gt;12,"Over 12h",IF(COUNTIFS($L$2:$L$2001,L22)&gt;1,"Duplicate?",IF(A22&gt;TODAY(),"Future date","OK"))))))))</f>
        <v/>
      </c>
      <c r="L22">
        <f>IF(A22="","",TEXT(A22,"yyyy-mm-dd")&amp;"|"&amp;B22&amp;"|"&amp;C22)</f>
        <v/>
      </c>
    </row>
    <row r="23">
      <c r="A23" s="4" t="n"/>
      <c r="D23" s="5" t="n"/>
      <c r="E23" s="5" t="n"/>
      <c r="G23" s="6">
        <f>IF(OR(A23="",D23="",E23=""),"",ROUND(MOD(E23-D23,1)*24-N(F23)/60,2))</f>
        <v/>
      </c>
      <c r="H23" s="7">
        <f>IF(C23="","",IFERROR(INDEX(Sites!$B$2:$B$501,MATCH(C23,Sites!$A$2:$A$501,0)),"?"))</f>
        <v/>
      </c>
      <c r="I23" s="8">
        <f>IF(A23="","",A23-WEEKDAY(A23,3))</f>
        <v/>
      </c>
      <c r="K23" s="7">
        <f>IF(A23="","",IF(OR(B23="",C23="",D23="",E23=""),"Missing info",IF(ISNA(MATCH(B23,Staff!$A$2:$A$101,0)),"Unknown employee",IF(H23="?","Unknown site",IF(G23&lt;=0,"Check times",IF(G23&gt;12,"Over 12h",IF(COUNTIFS($L$2:$L$2001,L23)&gt;1,"Duplicate?",IF(A23&gt;TODAY(),"Future date","OK"))))))))</f>
        <v/>
      </c>
      <c r="L23">
        <f>IF(A23="","",TEXT(A23,"yyyy-mm-dd")&amp;"|"&amp;B23&amp;"|"&amp;C23)</f>
        <v/>
      </c>
    </row>
    <row r="24">
      <c r="A24" s="4" t="n"/>
      <c r="D24" s="5" t="n"/>
      <c r="E24" s="5" t="n"/>
      <c r="G24" s="6">
        <f>IF(OR(A24="",D24="",E24=""),"",ROUND(MOD(E24-D24,1)*24-N(F24)/60,2))</f>
        <v/>
      </c>
      <c r="H24" s="7">
        <f>IF(C24="","",IFERROR(INDEX(Sites!$B$2:$B$501,MATCH(C24,Sites!$A$2:$A$501,0)),"?"))</f>
        <v/>
      </c>
      <c r="I24" s="8">
        <f>IF(A24="","",A24-WEEKDAY(A24,3))</f>
        <v/>
      </c>
      <c r="K24" s="7">
        <f>IF(A24="","",IF(OR(B24="",C24="",D24="",E24=""),"Missing info",IF(ISNA(MATCH(B24,Staff!$A$2:$A$101,0)),"Unknown employee",IF(H24="?","Unknown site",IF(G24&lt;=0,"Check times",IF(G24&gt;12,"Over 12h",IF(COUNTIFS($L$2:$L$2001,L24)&gt;1,"Duplicate?",IF(A24&gt;TODAY(),"Future date","OK"))))))))</f>
        <v/>
      </c>
      <c r="L24">
        <f>IF(A24="","",TEXT(A24,"yyyy-mm-dd")&amp;"|"&amp;B24&amp;"|"&amp;C24)</f>
        <v/>
      </c>
    </row>
    <row r="25">
      <c r="A25" s="4" t="n"/>
      <c r="D25" s="5" t="n"/>
      <c r="E25" s="5" t="n"/>
      <c r="G25" s="6">
        <f>IF(OR(A25="",D25="",E25=""),"",ROUND(MOD(E25-D25,1)*24-N(F25)/60,2))</f>
        <v/>
      </c>
      <c r="H25" s="7">
        <f>IF(C25="","",IFERROR(INDEX(Sites!$B$2:$B$501,MATCH(C25,Sites!$A$2:$A$501,0)),"?"))</f>
        <v/>
      </c>
      <c r="I25" s="8">
        <f>IF(A25="","",A25-WEEKDAY(A25,3))</f>
        <v/>
      </c>
      <c r="K25" s="7">
        <f>IF(A25="","",IF(OR(B25="",C25="",D25="",E25=""),"Missing info",IF(ISNA(MATCH(B25,Staff!$A$2:$A$101,0)),"Unknown employee",IF(H25="?","Unknown site",IF(G25&lt;=0,"Check times",IF(G25&gt;12,"Over 12h",IF(COUNTIFS($L$2:$L$2001,L25)&gt;1,"Duplicate?",IF(A25&gt;TODAY(),"Future date","OK"))))))))</f>
        <v/>
      </c>
      <c r="L25">
        <f>IF(A25="","",TEXT(A25,"yyyy-mm-dd")&amp;"|"&amp;B25&amp;"|"&amp;C25)</f>
        <v/>
      </c>
    </row>
    <row r="26">
      <c r="A26" s="4" t="n"/>
      <c r="D26" s="5" t="n"/>
      <c r="E26" s="5" t="n"/>
      <c r="G26" s="6">
        <f>IF(OR(A26="",D26="",E26=""),"",ROUND(MOD(E26-D26,1)*24-N(F26)/60,2))</f>
        <v/>
      </c>
      <c r="H26" s="7">
        <f>IF(C26="","",IFERROR(INDEX(Sites!$B$2:$B$501,MATCH(C26,Sites!$A$2:$A$501,0)),"?"))</f>
        <v/>
      </c>
      <c r="I26" s="8">
        <f>IF(A26="","",A26-WEEKDAY(A26,3))</f>
        <v/>
      </c>
      <c r="K26" s="7">
        <f>IF(A26="","",IF(OR(B26="",C26="",D26="",E26=""),"Missing info",IF(ISNA(MATCH(B26,Staff!$A$2:$A$101,0)),"Unknown employee",IF(H26="?","Unknown site",IF(G26&lt;=0,"Check times",IF(G26&gt;12,"Over 12h",IF(COUNTIFS($L$2:$L$2001,L26)&gt;1,"Duplicate?",IF(A26&gt;TODAY(),"Future date","OK"))))))))</f>
        <v/>
      </c>
      <c r="L26">
        <f>IF(A26="","",TEXT(A26,"yyyy-mm-dd")&amp;"|"&amp;B26&amp;"|"&amp;C26)</f>
        <v/>
      </c>
    </row>
    <row r="27">
      <c r="A27" s="4" t="n"/>
      <c r="D27" s="5" t="n"/>
      <c r="E27" s="5" t="n"/>
      <c r="G27" s="6">
        <f>IF(OR(A27="",D27="",E27=""),"",ROUND(MOD(E27-D27,1)*24-N(F27)/60,2))</f>
        <v/>
      </c>
      <c r="H27" s="7">
        <f>IF(C27="","",IFERROR(INDEX(Sites!$B$2:$B$501,MATCH(C27,Sites!$A$2:$A$501,0)),"?"))</f>
        <v/>
      </c>
      <c r="I27" s="8">
        <f>IF(A27="","",A27-WEEKDAY(A27,3))</f>
        <v/>
      </c>
      <c r="K27" s="7">
        <f>IF(A27="","",IF(OR(B27="",C27="",D27="",E27=""),"Missing info",IF(ISNA(MATCH(B27,Staff!$A$2:$A$101,0)),"Unknown employee",IF(H27="?","Unknown site",IF(G27&lt;=0,"Check times",IF(G27&gt;12,"Over 12h",IF(COUNTIFS($L$2:$L$2001,L27)&gt;1,"Duplicate?",IF(A27&gt;TODAY(),"Future date","OK"))))))))</f>
        <v/>
      </c>
      <c r="L27">
        <f>IF(A27="","",TEXT(A27,"yyyy-mm-dd")&amp;"|"&amp;B27&amp;"|"&amp;C27)</f>
        <v/>
      </c>
    </row>
    <row r="28">
      <c r="A28" s="4" t="n"/>
      <c r="D28" s="5" t="n"/>
      <c r="E28" s="5" t="n"/>
      <c r="G28" s="6">
        <f>IF(OR(A28="",D28="",E28=""),"",ROUND(MOD(E28-D28,1)*24-N(F28)/60,2))</f>
        <v/>
      </c>
      <c r="H28" s="7">
        <f>IF(C28="","",IFERROR(INDEX(Sites!$B$2:$B$501,MATCH(C28,Sites!$A$2:$A$501,0)),"?"))</f>
        <v/>
      </c>
      <c r="I28" s="8">
        <f>IF(A28="","",A28-WEEKDAY(A28,3))</f>
        <v/>
      </c>
      <c r="K28" s="7">
        <f>IF(A28="","",IF(OR(B28="",C28="",D28="",E28=""),"Missing info",IF(ISNA(MATCH(B28,Staff!$A$2:$A$101,0)),"Unknown employee",IF(H28="?","Unknown site",IF(G28&lt;=0,"Check times",IF(G28&gt;12,"Over 12h",IF(COUNTIFS($L$2:$L$2001,L28)&gt;1,"Duplicate?",IF(A28&gt;TODAY(),"Future date","OK"))))))))</f>
        <v/>
      </c>
      <c r="L28">
        <f>IF(A28="","",TEXT(A28,"yyyy-mm-dd")&amp;"|"&amp;B28&amp;"|"&amp;C28)</f>
        <v/>
      </c>
    </row>
    <row r="29">
      <c r="A29" s="4" t="n"/>
      <c r="D29" s="5" t="n"/>
      <c r="E29" s="5" t="n"/>
      <c r="G29" s="6">
        <f>IF(OR(A29="",D29="",E29=""),"",ROUND(MOD(E29-D29,1)*24-N(F29)/60,2))</f>
        <v/>
      </c>
      <c r="H29" s="7">
        <f>IF(C29="","",IFERROR(INDEX(Sites!$B$2:$B$501,MATCH(C29,Sites!$A$2:$A$501,0)),"?"))</f>
        <v/>
      </c>
      <c r="I29" s="8">
        <f>IF(A29="","",A29-WEEKDAY(A29,3))</f>
        <v/>
      </c>
      <c r="K29" s="7">
        <f>IF(A29="","",IF(OR(B29="",C29="",D29="",E29=""),"Missing info",IF(ISNA(MATCH(B29,Staff!$A$2:$A$101,0)),"Unknown employee",IF(H29="?","Unknown site",IF(G29&lt;=0,"Check times",IF(G29&gt;12,"Over 12h",IF(COUNTIFS($L$2:$L$2001,L29)&gt;1,"Duplicate?",IF(A29&gt;TODAY(),"Future date","OK"))))))))</f>
        <v/>
      </c>
      <c r="L29">
        <f>IF(A29="","",TEXT(A29,"yyyy-mm-dd")&amp;"|"&amp;B29&amp;"|"&amp;C29)</f>
        <v/>
      </c>
    </row>
    <row r="30">
      <c r="A30" s="4" t="n"/>
      <c r="D30" s="5" t="n"/>
      <c r="E30" s="5" t="n"/>
      <c r="G30" s="6">
        <f>IF(OR(A30="",D30="",E30=""),"",ROUND(MOD(E30-D30,1)*24-N(F30)/60,2))</f>
        <v/>
      </c>
      <c r="H30" s="7">
        <f>IF(C30="","",IFERROR(INDEX(Sites!$B$2:$B$501,MATCH(C30,Sites!$A$2:$A$501,0)),"?"))</f>
        <v/>
      </c>
      <c r="I30" s="8">
        <f>IF(A30="","",A30-WEEKDAY(A30,3))</f>
        <v/>
      </c>
      <c r="K30" s="7">
        <f>IF(A30="","",IF(OR(B30="",C30="",D30="",E30=""),"Missing info",IF(ISNA(MATCH(B30,Staff!$A$2:$A$101,0)),"Unknown employee",IF(H30="?","Unknown site",IF(G30&lt;=0,"Check times",IF(G30&gt;12,"Over 12h",IF(COUNTIFS($L$2:$L$2001,L30)&gt;1,"Duplicate?",IF(A30&gt;TODAY(),"Future date","OK"))))))))</f>
        <v/>
      </c>
      <c r="L30">
        <f>IF(A30="","",TEXT(A30,"yyyy-mm-dd")&amp;"|"&amp;B30&amp;"|"&amp;C30)</f>
        <v/>
      </c>
    </row>
    <row r="31">
      <c r="A31" s="4" t="n"/>
      <c r="D31" s="5" t="n"/>
      <c r="E31" s="5" t="n"/>
      <c r="G31" s="6">
        <f>IF(OR(A31="",D31="",E31=""),"",ROUND(MOD(E31-D31,1)*24-N(F31)/60,2))</f>
        <v/>
      </c>
      <c r="H31" s="7">
        <f>IF(C31="","",IFERROR(INDEX(Sites!$B$2:$B$501,MATCH(C31,Sites!$A$2:$A$501,0)),"?"))</f>
        <v/>
      </c>
      <c r="I31" s="8">
        <f>IF(A31="","",A31-WEEKDAY(A31,3))</f>
        <v/>
      </c>
      <c r="K31" s="7">
        <f>IF(A31="","",IF(OR(B31="",C31="",D31="",E31=""),"Missing info",IF(ISNA(MATCH(B31,Staff!$A$2:$A$101,0)),"Unknown employee",IF(H31="?","Unknown site",IF(G31&lt;=0,"Check times",IF(G31&gt;12,"Over 12h",IF(COUNTIFS($L$2:$L$2001,L31)&gt;1,"Duplicate?",IF(A31&gt;TODAY(),"Future date","OK"))))))))</f>
        <v/>
      </c>
      <c r="L31">
        <f>IF(A31="","",TEXT(A31,"yyyy-mm-dd")&amp;"|"&amp;B31&amp;"|"&amp;C31)</f>
        <v/>
      </c>
    </row>
    <row r="32">
      <c r="A32" s="4" t="n"/>
      <c r="D32" s="5" t="n"/>
      <c r="E32" s="5" t="n"/>
      <c r="G32" s="6">
        <f>IF(OR(A32="",D32="",E32=""),"",ROUND(MOD(E32-D32,1)*24-N(F32)/60,2))</f>
        <v/>
      </c>
      <c r="H32" s="7">
        <f>IF(C32="","",IFERROR(INDEX(Sites!$B$2:$B$501,MATCH(C32,Sites!$A$2:$A$501,0)),"?"))</f>
        <v/>
      </c>
      <c r="I32" s="8">
        <f>IF(A32="","",A32-WEEKDAY(A32,3))</f>
        <v/>
      </c>
      <c r="K32" s="7">
        <f>IF(A32="","",IF(OR(B32="",C32="",D32="",E32=""),"Missing info",IF(ISNA(MATCH(B32,Staff!$A$2:$A$101,0)),"Unknown employee",IF(H32="?","Unknown site",IF(G32&lt;=0,"Check times",IF(G32&gt;12,"Over 12h",IF(COUNTIFS($L$2:$L$2001,L32)&gt;1,"Duplicate?",IF(A32&gt;TODAY(),"Future date","OK"))))))))</f>
        <v/>
      </c>
      <c r="L32">
        <f>IF(A32="","",TEXT(A32,"yyyy-mm-dd")&amp;"|"&amp;B32&amp;"|"&amp;C32)</f>
        <v/>
      </c>
    </row>
    <row r="33">
      <c r="A33" s="4" t="n"/>
      <c r="D33" s="5" t="n"/>
      <c r="E33" s="5" t="n"/>
      <c r="G33" s="6">
        <f>IF(OR(A33="",D33="",E33=""),"",ROUND(MOD(E33-D33,1)*24-N(F33)/60,2))</f>
        <v/>
      </c>
      <c r="H33" s="7">
        <f>IF(C33="","",IFERROR(INDEX(Sites!$B$2:$B$501,MATCH(C33,Sites!$A$2:$A$501,0)),"?"))</f>
        <v/>
      </c>
      <c r="I33" s="8">
        <f>IF(A33="","",A33-WEEKDAY(A33,3))</f>
        <v/>
      </c>
      <c r="K33" s="7">
        <f>IF(A33="","",IF(OR(B33="",C33="",D33="",E33=""),"Missing info",IF(ISNA(MATCH(B33,Staff!$A$2:$A$101,0)),"Unknown employee",IF(H33="?","Unknown site",IF(G33&lt;=0,"Check times",IF(G33&gt;12,"Over 12h",IF(COUNTIFS($L$2:$L$2001,L33)&gt;1,"Duplicate?",IF(A33&gt;TODAY(),"Future date","OK"))))))))</f>
        <v/>
      </c>
      <c r="L33">
        <f>IF(A33="","",TEXT(A33,"yyyy-mm-dd")&amp;"|"&amp;B33&amp;"|"&amp;C33)</f>
        <v/>
      </c>
    </row>
    <row r="34">
      <c r="A34" s="4" t="n"/>
      <c r="D34" s="5" t="n"/>
      <c r="E34" s="5" t="n"/>
      <c r="G34" s="6">
        <f>IF(OR(A34="",D34="",E34=""),"",ROUND(MOD(E34-D34,1)*24-N(F34)/60,2))</f>
        <v/>
      </c>
      <c r="H34" s="7">
        <f>IF(C34="","",IFERROR(INDEX(Sites!$B$2:$B$501,MATCH(C34,Sites!$A$2:$A$501,0)),"?"))</f>
        <v/>
      </c>
      <c r="I34" s="8">
        <f>IF(A34="","",A34-WEEKDAY(A34,3))</f>
        <v/>
      </c>
      <c r="K34" s="7">
        <f>IF(A34="","",IF(OR(B34="",C34="",D34="",E34=""),"Missing info",IF(ISNA(MATCH(B34,Staff!$A$2:$A$101,0)),"Unknown employee",IF(H34="?","Unknown site",IF(G34&lt;=0,"Check times",IF(G34&gt;12,"Over 12h",IF(COUNTIFS($L$2:$L$2001,L34)&gt;1,"Duplicate?",IF(A34&gt;TODAY(),"Future date","OK"))))))))</f>
        <v/>
      </c>
      <c r="L34">
        <f>IF(A34="","",TEXT(A34,"yyyy-mm-dd")&amp;"|"&amp;B34&amp;"|"&amp;C34)</f>
        <v/>
      </c>
    </row>
    <row r="35">
      <c r="A35" s="4" t="n"/>
      <c r="D35" s="5" t="n"/>
      <c r="E35" s="5" t="n"/>
      <c r="G35" s="6">
        <f>IF(OR(A35="",D35="",E35=""),"",ROUND(MOD(E35-D35,1)*24-N(F35)/60,2))</f>
        <v/>
      </c>
      <c r="H35" s="7">
        <f>IF(C35="","",IFERROR(INDEX(Sites!$B$2:$B$501,MATCH(C35,Sites!$A$2:$A$501,0)),"?"))</f>
        <v/>
      </c>
      <c r="I35" s="8">
        <f>IF(A35="","",A35-WEEKDAY(A35,3))</f>
        <v/>
      </c>
      <c r="K35" s="7">
        <f>IF(A35="","",IF(OR(B35="",C35="",D35="",E35=""),"Missing info",IF(ISNA(MATCH(B35,Staff!$A$2:$A$101,0)),"Unknown employee",IF(H35="?","Unknown site",IF(G35&lt;=0,"Check times",IF(G35&gt;12,"Over 12h",IF(COUNTIFS($L$2:$L$2001,L35)&gt;1,"Duplicate?",IF(A35&gt;TODAY(),"Future date","OK"))))))))</f>
        <v/>
      </c>
      <c r="L35">
        <f>IF(A35="","",TEXT(A35,"yyyy-mm-dd")&amp;"|"&amp;B35&amp;"|"&amp;C35)</f>
        <v/>
      </c>
    </row>
    <row r="36">
      <c r="A36" s="4" t="n"/>
      <c r="D36" s="5" t="n"/>
      <c r="E36" s="5" t="n"/>
      <c r="G36" s="6">
        <f>IF(OR(A36="",D36="",E36=""),"",ROUND(MOD(E36-D36,1)*24-N(F36)/60,2))</f>
        <v/>
      </c>
      <c r="H36" s="7">
        <f>IF(C36="","",IFERROR(INDEX(Sites!$B$2:$B$501,MATCH(C36,Sites!$A$2:$A$501,0)),"?"))</f>
        <v/>
      </c>
      <c r="I36" s="8">
        <f>IF(A36="","",A36-WEEKDAY(A36,3))</f>
        <v/>
      </c>
      <c r="K36" s="7">
        <f>IF(A36="","",IF(OR(B36="",C36="",D36="",E36=""),"Missing info",IF(ISNA(MATCH(B36,Staff!$A$2:$A$101,0)),"Unknown employee",IF(H36="?","Unknown site",IF(G36&lt;=0,"Check times",IF(G36&gt;12,"Over 12h",IF(COUNTIFS($L$2:$L$2001,L36)&gt;1,"Duplicate?",IF(A36&gt;TODAY(),"Future date","OK"))))))))</f>
        <v/>
      </c>
      <c r="L36">
        <f>IF(A36="","",TEXT(A36,"yyyy-mm-dd")&amp;"|"&amp;B36&amp;"|"&amp;C36)</f>
        <v/>
      </c>
    </row>
    <row r="37">
      <c r="A37" s="4" t="n"/>
      <c r="D37" s="5" t="n"/>
      <c r="E37" s="5" t="n"/>
      <c r="G37" s="6">
        <f>IF(OR(A37="",D37="",E37=""),"",ROUND(MOD(E37-D37,1)*24-N(F37)/60,2))</f>
        <v/>
      </c>
      <c r="H37" s="7">
        <f>IF(C37="","",IFERROR(INDEX(Sites!$B$2:$B$501,MATCH(C37,Sites!$A$2:$A$501,0)),"?"))</f>
        <v/>
      </c>
      <c r="I37" s="8">
        <f>IF(A37="","",A37-WEEKDAY(A37,3))</f>
        <v/>
      </c>
      <c r="K37" s="7">
        <f>IF(A37="","",IF(OR(B37="",C37="",D37="",E37=""),"Missing info",IF(ISNA(MATCH(B37,Staff!$A$2:$A$101,0)),"Unknown employee",IF(H37="?","Unknown site",IF(G37&lt;=0,"Check times",IF(G37&gt;12,"Over 12h",IF(COUNTIFS($L$2:$L$2001,L37)&gt;1,"Duplicate?",IF(A37&gt;TODAY(),"Future date","OK"))))))))</f>
        <v/>
      </c>
      <c r="L37">
        <f>IF(A37="","",TEXT(A37,"yyyy-mm-dd")&amp;"|"&amp;B37&amp;"|"&amp;C37)</f>
        <v/>
      </c>
    </row>
    <row r="38">
      <c r="A38" s="4" t="n"/>
      <c r="D38" s="5" t="n"/>
      <c r="E38" s="5" t="n"/>
      <c r="G38" s="6">
        <f>IF(OR(A38="",D38="",E38=""),"",ROUND(MOD(E38-D38,1)*24-N(F38)/60,2))</f>
        <v/>
      </c>
      <c r="H38" s="7">
        <f>IF(C38="","",IFERROR(INDEX(Sites!$B$2:$B$501,MATCH(C38,Sites!$A$2:$A$501,0)),"?"))</f>
        <v/>
      </c>
      <c r="I38" s="8">
        <f>IF(A38="","",A38-WEEKDAY(A38,3))</f>
        <v/>
      </c>
      <c r="K38" s="7">
        <f>IF(A38="","",IF(OR(B38="",C38="",D38="",E38=""),"Missing info",IF(ISNA(MATCH(B38,Staff!$A$2:$A$101,0)),"Unknown employee",IF(H38="?","Unknown site",IF(G38&lt;=0,"Check times",IF(G38&gt;12,"Over 12h",IF(COUNTIFS($L$2:$L$2001,L38)&gt;1,"Duplicate?",IF(A38&gt;TODAY(),"Future date","OK"))))))))</f>
        <v/>
      </c>
      <c r="L38">
        <f>IF(A38="","",TEXT(A38,"yyyy-mm-dd")&amp;"|"&amp;B38&amp;"|"&amp;C38)</f>
        <v/>
      </c>
    </row>
    <row r="39">
      <c r="A39" s="4" t="n"/>
      <c r="D39" s="5" t="n"/>
      <c r="E39" s="5" t="n"/>
      <c r="G39" s="6">
        <f>IF(OR(A39="",D39="",E39=""),"",ROUND(MOD(E39-D39,1)*24-N(F39)/60,2))</f>
        <v/>
      </c>
      <c r="H39" s="7">
        <f>IF(C39="","",IFERROR(INDEX(Sites!$B$2:$B$501,MATCH(C39,Sites!$A$2:$A$501,0)),"?"))</f>
        <v/>
      </c>
      <c r="I39" s="8">
        <f>IF(A39="","",A39-WEEKDAY(A39,3))</f>
        <v/>
      </c>
      <c r="K39" s="7">
        <f>IF(A39="","",IF(OR(B39="",C39="",D39="",E39=""),"Missing info",IF(ISNA(MATCH(B39,Staff!$A$2:$A$101,0)),"Unknown employee",IF(H39="?","Unknown site",IF(G39&lt;=0,"Check times",IF(G39&gt;12,"Over 12h",IF(COUNTIFS($L$2:$L$2001,L39)&gt;1,"Duplicate?",IF(A39&gt;TODAY(),"Future date","OK"))))))))</f>
        <v/>
      </c>
      <c r="L39">
        <f>IF(A39="","",TEXT(A39,"yyyy-mm-dd")&amp;"|"&amp;B39&amp;"|"&amp;C39)</f>
        <v/>
      </c>
    </row>
    <row r="40">
      <c r="A40" s="4" t="n"/>
      <c r="D40" s="5" t="n"/>
      <c r="E40" s="5" t="n"/>
      <c r="G40" s="6">
        <f>IF(OR(A40="",D40="",E40=""),"",ROUND(MOD(E40-D40,1)*24-N(F40)/60,2))</f>
        <v/>
      </c>
      <c r="H40" s="7">
        <f>IF(C40="","",IFERROR(INDEX(Sites!$B$2:$B$501,MATCH(C40,Sites!$A$2:$A$501,0)),"?"))</f>
        <v/>
      </c>
      <c r="I40" s="8">
        <f>IF(A40="","",A40-WEEKDAY(A40,3))</f>
        <v/>
      </c>
      <c r="K40" s="7">
        <f>IF(A40="","",IF(OR(B40="",C40="",D40="",E40=""),"Missing info",IF(ISNA(MATCH(B40,Staff!$A$2:$A$101,0)),"Unknown employee",IF(H40="?","Unknown site",IF(G40&lt;=0,"Check times",IF(G40&gt;12,"Over 12h",IF(COUNTIFS($L$2:$L$2001,L40)&gt;1,"Duplicate?",IF(A40&gt;TODAY(),"Future date","OK"))))))))</f>
        <v/>
      </c>
      <c r="L40">
        <f>IF(A40="","",TEXT(A40,"yyyy-mm-dd")&amp;"|"&amp;B40&amp;"|"&amp;C40)</f>
        <v/>
      </c>
    </row>
    <row r="41">
      <c r="A41" s="4" t="n"/>
      <c r="D41" s="5" t="n"/>
      <c r="E41" s="5" t="n"/>
      <c r="G41" s="6">
        <f>IF(OR(A41="",D41="",E41=""),"",ROUND(MOD(E41-D41,1)*24-N(F41)/60,2))</f>
        <v/>
      </c>
      <c r="H41" s="7">
        <f>IF(C41="","",IFERROR(INDEX(Sites!$B$2:$B$501,MATCH(C41,Sites!$A$2:$A$501,0)),"?"))</f>
        <v/>
      </c>
      <c r="I41" s="8">
        <f>IF(A41="","",A41-WEEKDAY(A41,3))</f>
        <v/>
      </c>
      <c r="K41" s="7">
        <f>IF(A41="","",IF(OR(B41="",C41="",D41="",E41=""),"Missing info",IF(ISNA(MATCH(B41,Staff!$A$2:$A$101,0)),"Unknown employee",IF(H41="?","Unknown site",IF(G41&lt;=0,"Check times",IF(G41&gt;12,"Over 12h",IF(COUNTIFS($L$2:$L$2001,L41)&gt;1,"Duplicate?",IF(A41&gt;TODAY(),"Future date","OK"))))))))</f>
        <v/>
      </c>
      <c r="L41">
        <f>IF(A41="","",TEXT(A41,"yyyy-mm-dd")&amp;"|"&amp;B41&amp;"|"&amp;C41)</f>
        <v/>
      </c>
    </row>
    <row r="42">
      <c r="A42" s="4" t="n"/>
      <c r="D42" s="5" t="n"/>
      <c r="E42" s="5" t="n"/>
      <c r="G42" s="6">
        <f>IF(OR(A42="",D42="",E42=""),"",ROUND(MOD(E42-D42,1)*24-N(F42)/60,2))</f>
        <v/>
      </c>
      <c r="H42" s="7">
        <f>IF(C42="","",IFERROR(INDEX(Sites!$B$2:$B$501,MATCH(C42,Sites!$A$2:$A$501,0)),"?"))</f>
        <v/>
      </c>
      <c r="I42" s="8">
        <f>IF(A42="","",A42-WEEKDAY(A42,3))</f>
        <v/>
      </c>
      <c r="K42" s="7">
        <f>IF(A42="","",IF(OR(B42="",C42="",D42="",E42=""),"Missing info",IF(ISNA(MATCH(B42,Staff!$A$2:$A$101,0)),"Unknown employee",IF(H42="?","Unknown site",IF(G42&lt;=0,"Check times",IF(G42&gt;12,"Over 12h",IF(COUNTIFS($L$2:$L$2001,L42)&gt;1,"Duplicate?",IF(A42&gt;TODAY(),"Future date","OK"))))))))</f>
        <v/>
      </c>
      <c r="L42">
        <f>IF(A42="","",TEXT(A42,"yyyy-mm-dd")&amp;"|"&amp;B42&amp;"|"&amp;C42)</f>
        <v/>
      </c>
    </row>
    <row r="43">
      <c r="A43" s="4" t="n"/>
      <c r="D43" s="5" t="n"/>
      <c r="E43" s="5" t="n"/>
      <c r="G43" s="6">
        <f>IF(OR(A43="",D43="",E43=""),"",ROUND(MOD(E43-D43,1)*24-N(F43)/60,2))</f>
        <v/>
      </c>
      <c r="H43" s="7">
        <f>IF(C43="","",IFERROR(INDEX(Sites!$B$2:$B$501,MATCH(C43,Sites!$A$2:$A$501,0)),"?"))</f>
        <v/>
      </c>
      <c r="I43" s="8">
        <f>IF(A43="","",A43-WEEKDAY(A43,3))</f>
        <v/>
      </c>
      <c r="K43" s="7">
        <f>IF(A43="","",IF(OR(B43="",C43="",D43="",E43=""),"Missing info",IF(ISNA(MATCH(B43,Staff!$A$2:$A$101,0)),"Unknown employee",IF(H43="?","Unknown site",IF(G43&lt;=0,"Check times",IF(G43&gt;12,"Over 12h",IF(COUNTIFS($L$2:$L$2001,L43)&gt;1,"Duplicate?",IF(A43&gt;TODAY(),"Future date","OK"))))))))</f>
        <v/>
      </c>
      <c r="L43">
        <f>IF(A43="","",TEXT(A43,"yyyy-mm-dd")&amp;"|"&amp;B43&amp;"|"&amp;C43)</f>
        <v/>
      </c>
    </row>
    <row r="44">
      <c r="A44" s="4" t="n"/>
      <c r="D44" s="5" t="n"/>
      <c r="E44" s="5" t="n"/>
      <c r="G44" s="6">
        <f>IF(OR(A44="",D44="",E44=""),"",ROUND(MOD(E44-D44,1)*24-N(F44)/60,2))</f>
        <v/>
      </c>
      <c r="H44" s="7">
        <f>IF(C44="","",IFERROR(INDEX(Sites!$B$2:$B$501,MATCH(C44,Sites!$A$2:$A$501,0)),"?"))</f>
        <v/>
      </c>
      <c r="I44" s="8">
        <f>IF(A44="","",A44-WEEKDAY(A44,3))</f>
        <v/>
      </c>
      <c r="K44" s="7">
        <f>IF(A44="","",IF(OR(B44="",C44="",D44="",E44=""),"Missing info",IF(ISNA(MATCH(B44,Staff!$A$2:$A$101,0)),"Unknown employee",IF(H44="?","Unknown site",IF(G44&lt;=0,"Check times",IF(G44&gt;12,"Over 12h",IF(COUNTIFS($L$2:$L$2001,L44)&gt;1,"Duplicate?",IF(A44&gt;TODAY(),"Future date","OK"))))))))</f>
        <v/>
      </c>
      <c r="L44">
        <f>IF(A44="","",TEXT(A44,"yyyy-mm-dd")&amp;"|"&amp;B44&amp;"|"&amp;C44)</f>
        <v/>
      </c>
    </row>
    <row r="45">
      <c r="A45" s="4" t="n"/>
      <c r="D45" s="5" t="n"/>
      <c r="E45" s="5" t="n"/>
      <c r="G45" s="6">
        <f>IF(OR(A45="",D45="",E45=""),"",ROUND(MOD(E45-D45,1)*24-N(F45)/60,2))</f>
        <v/>
      </c>
      <c r="H45" s="7">
        <f>IF(C45="","",IFERROR(INDEX(Sites!$B$2:$B$501,MATCH(C45,Sites!$A$2:$A$501,0)),"?"))</f>
        <v/>
      </c>
      <c r="I45" s="8">
        <f>IF(A45="","",A45-WEEKDAY(A45,3))</f>
        <v/>
      </c>
      <c r="K45" s="7">
        <f>IF(A45="","",IF(OR(B45="",C45="",D45="",E45=""),"Missing info",IF(ISNA(MATCH(B45,Staff!$A$2:$A$101,0)),"Unknown employee",IF(H45="?","Unknown site",IF(G45&lt;=0,"Check times",IF(G45&gt;12,"Over 12h",IF(COUNTIFS($L$2:$L$2001,L45)&gt;1,"Duplicate?",IF(A45&gt;TODAY(),"Future date","OK"))))))))</f>
        <v/>
      </c>
      <c r="L45">
        <f>IF(A45="","",TEXT(A45,"yyyy-mm-dd")&amp;"|"&amp;B45&amp;"|"&amp;C45)</f>
        <v/>
      </c>
    </row>
    <row r="46">
      <c r="A46" s="4" t="n"/>
      <c r="D46" s="5" t="n"/>
      <c r="E46" s="5" t="n"/>
      <c r="G46" s="6">
        <f>IF(OR(A46="",D46="",E46=""),"",ROUND(MOD(E46-D46,1)*24-N(F46)/60,2))</f>
        <v/>
      </c>
      <c r="H46" s="7">
        <f>IF(C46="","",IFERROR(INDEX(Sites!$B$2:$B$501,MATCH(C46,Sites!$A$2:$A$501,0)),"?"))</f>
        <v/>
      </c>
      <c r="I46" s="8">
        <f>IF(A46="","",A46-WEEKDAY(A46,3))</f>
        <v/>
      </c>
      <c r="K46" s="7">
        <f>IF(A46="","",IF(OR(B46="",C46="",D46="",E46=""),"Missing info",IF(ISNA(MATCH(B46,Staff!$A$2:$A$101,0)),"Unknown employee",IF(H46="?","Unknown site",IF(G46&lt;=0,"Check times",IF(G46&gt;12,"Over 12h",IF(COUNTIFS($L$2:$L$2001,L46)&gt;1,"Duplicate?",IF(A46&gt;TODAY(),"Future date","OK"))))))))</f>
        <v/>
      </c>
      <c r="L46">
        <f>IF(A46="","",TEXT(A46,"yyyy-mm-dd")&amp;"|"&amp;B46&amp;"|"&amp;C46)</f>
        <v/>
      </c>
    </row>
    <row r="47">
      <c r="A47" s="4" t="n"/>
      <c r="D47" s="5" t="n"/>
      <c r="E47" s="5" t="n"/>
      <c r="G47" s="6">
        <f>IF(OR(A47="",D47="",E47=""),"",ROUND(MOD(E47-D47,1)*24-N(F47)/60,2))</f>
        <v/>
      </c>
      <c r="H47" s="7">
        <f>IF(C47="","",IFERROR(INDEX(Sites!$B$2:$B$501,MATCH(C47,Sites!$A$2:$A$501,0)),"?"))</f>
        <v/>
      </c>
      <c r="I47" s="8">
        <f>IF(A47="","",A47-WEEKDAY(A47,3))</f>
        <v/>
      </c>
      <c r="K47" s="7">
        <f>IF(A47="","",IF(OR(B47="",C47="",D47="",E47=""),"Missing info",IF(ISNA(MATCH(B47,Staff!$A$2:$A$101,0)),"Unknown employee",IF(H47="?","Unknown site",IF(G47&lt;=0,"Check times",IF(G47&gt;12,"Over 12h",IF(COUNTIFS($L$2:$L$2001,L47)&gt;1,"Duplicate?",IF(A47&gt;TODAY(),"Future date","OK"))))))))</f>
        <v/>
      </c>
      <c r="L47">
        <f>IF(A47="","",TEXT(A47,"yyyy-mm-dd")&amp;"|"&amp;B47&amp;"|"&amp;C47)</f>
        <v/>
      </c>
    </row>
    <row r="48">
      <c r="A48" s="4" t="n"/>
      <c r="D48" s="5" t="n"/>
      <c r="E48" s="5" t="n"/>
      <c r="G48" s="6">
        <f>IF(OR(A48="",D48="",E48=""),"",ROUND(MOD(E48-D48,1)*24-N(F48)/60,2))</f>
        <v/>
      </c>
      <c r="H48" s="7">
        <f>IF(C48="","",IFERROR(INDEX(Sites!$B$2:$B$501,MATCH(C48,Sites!$A$2:$A$501,0)),"?"))</f>
        <v/>
      </c>
      <c r="I48" s="8">
        <f>IF(A48="","",A48-WEEKDAY(A48,3))</f>
        <v/>
      </c>
      <c r="K48" s="7">
        <f>IF(A48="","",IF(OR(B48="",C48="",D48="",E48=""),"Missing info",IF(ISNA(MATCH(B48,Staff!$A$2:$A$101,0)),"Unknown employee",IF(H48="?","Unknown site",IF(G48&lt;=0,"Check times",IF(G48&gt;12,"Over 12h",IF(COUNTIFS($L$2:$L$2001,L48)&gt;1,"Duplicate?",IF(A48&gt;TODAY(),"Future date","OK"))))))))</f>
        <v/>
      </c>
      <c r="L48">
        <f>IF(A48="","",TEXT(A48,"yyyy-mm-dd")&amp;"|"&amp;B48&amp;"|"&amp;C48)</f>
        <v/>
      </c>
    </row>
    <row r="49">
      <c r="A49" s="4" t="n"/>
      <c r="D49" s="5" t="n"/>
      <c r="E49" s="5" t="n"/>
      <c r="G49" s="6">
        <f>IF(OR(A49="",D49="",E49=""),"",ROUND(MOD(E49-D49,1)*24-N(F49)/60,2))</f>
        <v/>
      </c>
      <c r="H49" s="7">
        <f>IF(C49="","",IFERROR(INDEX(Sites!$B$2:$B$501,MATCH(C49,Sites!$A$2:$A$501,0)),"?"))</f>
        <v/>
      </c>
      <c r="I49" s="8">
        <f>IF(A49="","",A49-WEEKDAY(A49,3))</f>
        <v/>
      </c>
      <c r="K49" s="7">
        <f>IF(A49="","",IF(OR(B49="",C49="",D49="",E49=""),"Missing info",IF(ISNA(MATCH(B49,Staff!$A$2:$A$101,0)),"Unknown employee",IF(H49="?","Unknown site",IF(G49&lt;=0,"Check times",IF(G49&gt;12,"Over 12h",IF(COUNTIFS($L$2:$L$2001,L49)&gt;1,"Duplicate?",IF(A49&gt;TODAY(),"Future date","OK"))))))))</f>
        <v/>
      </c>
      <c r="L49">
        <f>IF(A49="","",TEXT(A49,"yyyy-mm-dd")&amp;"|"&amp;B49&amp;"|"&amp;C49)</f>
        <v/>
      </c>
    </row>
    <row r="50">
      <c r="A50" s="4" t="n"/>
      <c r="D50" s="5" t="n"/>
      <c r="E50" s="5" t="n"/>
      <c r="G50" s="6">
        <f>IF(OR(A50="",D50="",E50=""),"",ROUND(MOD(E50-D50,1)*24-N(F50)/60,2))</f>
        <v/>
      </c>
      <c r="H50" s="7">
        <f>IF(C50="","",IFERROR(INDEX(Sites!$B$2:$B$501,MATCH(C50,Sites!$A$2:$A$501,0)),"?"))</f>
        <v/>
      </c>
      <c r="I50" s="8">
        <f>IF(A50="","",A50-WEEKDAY(A50,3))</f>
        <v/>
      </c>
      <c r="K50" s="7">
        <f>IF(A50="","",IF(OR(B50="",C50="",D50="",E50=""),"Missing info",IF(ISNA(MATCH(B50,Staff!$A$2:$A$101,0)),"Unknown employee",IF(H50="?","Unknown site",IF(G50&lt;=0,"Check times",IF(G50&gt;12,"Over 12h",IF(COUNTIFS($L$2:$L$2001,L50)&gt;1,"Duplicate?",IF(A50&gt;TODAY(),"Future date","OK"))))))))</f>
        <v/>
      </c>
      <c r="L50">
        <f>IF(A50="","",TEXT(A50,"yyyy-mm-dd")&amp;"|"&amp;B50&amp;"|"&amp;C50)</f>
        <v/>
      </c>
    </row>
    <row r="51">
      <c r="A51" s="4" t="n"/>
      <c r="D51" s="5" t="n"/>
      <c r="E51" s="5" t="n"/>
      <c r="G51" s="6">
        <f>IF(OR(A51="",D51="",E51=""),"",ROUND(MOD(E51-D51,1)*24-N(F51)/60,2))</f>
        <v/>
      </c>
      <c r="H51" s="7">
        <f>IF(C51="","",IFERROR(INDEX(Sites!$B$2:$B$501,MATCH(C51,Sites!$A$2:$A$501,0)),"?"))</f>
        <v/>
      </c>
      <c r="I51" s="8">
        <f>IF(A51="","",A51-WEEKDAY(A51,3))</f>
        <v/>
      </c>
      <c r="K51" s="7">
        <f>IF(A51="","",IF(OR(B51="",C51="",D51="",E51=""),"Missing info",IF(ISNA(MATCH(B51,Staff!$A$2:$A$101,0)),"Unknown employee",IF(H51="?","Unknown site",IF(G51&lt;=0,"Check times",IF(G51&gt;12,"Over 12h",IF(COUNTIFS($L$2:$L$2001,L51)&gt;1,"Duplicate?",IF(A51&gt;TODAY(),"Future date","OK"))))))))</f>
        <v/>
      </c>
      <c r="L51">
        <f>IF(A51="","",TEXT(A51,"yyyy-mm-dd")&amp;"|"&amp;B51&amp;"|"&amp;C51)</f>
        <v/>
      </c>
    </row>
    <row r="52">
      <c r="A52" s="4" t="n"/>
      <c r="D52" s="5" t="n"/>
      <c r="E52" s="5" t="n"/>
      <c r="G52" s="6">
        <f>IF(OR(A52="",D52="",E52=""),"",ROUND(MOD(E52-D52,1)*24-N(F52)/60,2))</f>
        <v/>
      </c>
      <c r="H52" s="7">
        <f>IF(C52="","",IFERROR(INDEX(Sites!$B$2:$B$501,MATCH(C52,Sites!$A$2:$A$501,0)),"?"))</f>
        <v/>
      </c>
      <c r="I52" s="8">
        <f>IF(A52="","",A52-WEEKDAY(A52,3))</f>
        <v/>
      </c>
      <c r="K52" s="7">
        <f>IF(A52="","",IF(OR(B52="",C52="",D52="",E52=""),"Missing info",IF(ISNA(MATCH(B52,Staff!$A$2:$A$101,0)),"Unknown employee",IF(H52="?","Unknown site",IF(G52&lt;=0,"Check times",IF(G52&gt;12,"Over 12h",IF(COUNTIFS($L$2:$L$2001,L52)&gt;1,"Duplicate?",IF(A52&gt;TODAY(),"Future date","OK"))))))))</f>
        <v/>
      </c>
      <c r="L52">
        <f>IF(A52="","",TEXT(A52,"yyyy-mm-dd")&amp;"|"&amp;B52&amp;"|"&amp;C52)</f>
        <v/>
      </c>
    </row>
    <row r="53">
      <c r="A53" s="4" t="n"/>
      <c r="D53" s="5" t="n"/>
      <c r="E53" s="5" t="n"/>
      <c r="G53" s="6">
        <f>IF(OR(A53="",D53="",E53=""),"",ROUND(MOD(E53-D53,1)*24-N(F53)/60,2))</f>
        <v/>
      </c>
      <c r="H53" s="7">
        <f>IF(C53="","",IFERROR(INDEX(Sites!$B$2:$B$501,MATCH(C53,Sites!$A$2:$A$501,0)),"?"))</f>
        <v/>
      </c>
      <c r="I53" s="8">
        <f>IF(A53="","",A53-WEEKDAY(A53,3))</f>
        <v/>
      </c>
      <c r="K53" s="7">
        <f>IF(A53="","",IF(OR(B53="",C53="",D53="",E53=""),"Missing info",IF(ISNA(MATCH(B53,Staff!$A$2:$A$101,0)),"Unknown employee",IF(H53="?","Unknown site",IF(G53&lt;=0,"Check times",IF(G53&gt;12,"Over 12h",IF(COUNTIFS($L$2:$L$2001,L53)&gt;1,"Duplicate?",IF(A53&gt;TODAY(),"Future date","OK"))))))))</f>
        <v/>
      </c>
      <c r="L53">
        <f>IF(A53="","",TEXT(A53,"yyyy-mm-dd")&amp;"|"&amp;B53&amp;"|"&amp;C53)</f>
        <v/>
      </c>
    </row>
    <row r="54">
      <c r="A54" s="4" t="n"/>
      <c r="D54" s="5" t="n"/>
      <c r="E54" s="5" t="n"/>
      <c r="G54" s="6">
        <f>IF(OR(A54="",D54="",E54=""),"",ROUND(MOD(E54-D54,1)*24-N(F54)/60,2))</f>
        <v/>
      </c>
      <c r="H54" s="7">
        <f>IF(C54="","",IFERROR(INDEX(Sites!$B$2:$B$501,MATCH(C54,Sites!$A$2:$A$501,0)),"?"))</f>
        <v/>
      </c>
      <c r="I54" s="8">
        <f>IF(A54="","",A54-WEEKDAY(A54,3))</f>
        <v/>
      </c>
      <c r="K54" s="7">
        <f>IF(A54="","",IF(OR(B54="",C54="",D54="",E54=""),"Missing info",IF(ISNA(MATCH(B54,Staff!$A$2:$A$101,0)),"Unknown employee",IF(H54="?","Unknown site",IF(G54&lt;=0,"Check times",IF(G54&gt;12,"Over 12h",IF(COUNTIFS($L$2:$L$2001,L54)&gt;1,"Duplicate?",IF(A54&gt;TODAY(),"Future date","OK"))))))))</f>
        <v/>
      </c>
      <c r="L54">
        <f>IF(A54="","",TEXT(A54,"yyyy-mm-dd")&amp;"|"&amp;B54&amp;"|"&amp;C54)</f>
        <v/>
      </c>
    </row>
    <row r="55">
      <c r="A55" s="4" t="n"/>
      <c r="D55" s="5" t="n"/>
      <c r="E55" s="5" t="n"/>
      <c r="G55" s="6">
        <f>IF(OR(A55="",D55="",E55=""),"",ROUND(MOD(E55-D55,1)*24-N(F55)/60,2))</f>
        <v/>
      </c>
      <c r="H55" s="7">
        <f>IF(C55="","",IFERROR(INDEX(Sites!$B$2:$B$501,MATCH(C55,Sites!$A$2:$A$501,0)),"?"))</f>
        <v/>
      </c>
      <c r="I55" s="8">
        <f>IF(A55="","",A55-WEEKDAY(A55,3))</f>
        <v/>
      </c>
      <c r="K55" s="7">
        <f>IF(A55="","",IF(OR(B55="",C55="",D55="",E55=""),"Missing info",IF(ISNA(MATCH(B55,Staff!$A$2:$A$101,0)),"Unknown employee",IF(H55="?","Unknown site",IF(G55&lt;=0,"Check times",IF(G55&gt;12,"Over 12h",IF(COUNTIFS($L$2:$L$2001,L55)&gt;1,"Duplicate?",IF(A55&gt;TODAY(),"Future date","OK"))))))))</f>
        <v/>
      </c>
      <c r="L55">
        <f>IF(A55="","",TEXT(A55,"yyyy-mm-dd")&amp;"|"&amp;B55&amp;"|"&amp;C55)</f>
        <v/>
      </c>
    </row>
    <row r="56">
      <c r="A56" s="4" t="n"/>
      <c r="D56" s="5" t="n"/>
      <c r="E56" s="5" t="n"/>
      <c r="G56" s="6">
        <f>IF(OR(A56="",D56="",E56=""),"",ROUND(MOD(E56-D56,1)*24-N(F56)/60,2))</f>
        <v/>
      </c>
      <c r="H56" s="7">
        <f>IF(C56="","",IFERROR(INDEX(Sites!$B$2:$B$501,MATCH(C56,Sites!$A$2:$A$501,0)),"?"))</f>
        <v/>
      </c>
      <c r="I56" s="8">
        <f>IF(A56="","",A56-WEEKDAY(A56,3))</f>
        <v/>
      </c>
      <c r="K56" s="7">
        <f>IF(A56="","",IF(OR(B56="",C56="",D56="",E56=""),"Missing info",IF(ISNA(MATCH(B56,Staff!$A$2:$A$101,0)),"Unknown employee",IF(H56="?","Unknown site",IF(G56&lt;=0,"Check times",IF(G56&gt;12,"Over 12h",IF(COUNTIFS($L$2:$L$2001,L56)&gt;1,"Duplicate?",IF(A56&gt;TODAY(),"Future date","OK"))))))))</f>
        <v/>
      </c>
      <c r="L56">
        <f>IF(A56="","",TEXT(A56,"yyyy-mm-dd")&amp;"|"&amp;B56&amp;"|"&amp;C56)</f>
        <v/>
      </c>
    </row>
    <row r="57">
      <c r="A57" s="4" t="n"/>
      <c r="D57" s="5" t="n"/>
      <c r="E57" s="5" t="n"/>
      <c r="G57" s="6">
        <f>IF(OR(A57="",D57="",E57=""),"",ROUND(MOD(E57-D57,1)*24-N(F57)/60,2))</f>
        <v/>
      </c>
      <c r="H57" s="7">
        <f>IF(C57="","",IFERROR(INDEX(Sites!$B$2:$B$501,MATCH(C57,Sites!$A$2:$A$501,0)),"?"))</f>
        <v/>
      </c>
      <c r="I57" s="8">
        <f>IF(A57="","",A57-WEEKDAY(A57,3))</f>
        <v/>
      </c>
      <c r="K57" s="7">
        <f>IF(A57="","",IF(OR(B57="",C57="",D57="",E57=""),"Missing info",IF(ISNA(MATCH(B57,Staff!$A$2:$A$101,0)),"Unknown employee",IF(H57="?","Unknown site",IF(G57&lt;=0,"Check times",IF(G57&gt;12,"Over 12h",IF(COUNTIFS($L$2:$L$2001,L57)&gt;1,"Duplicate?",IF(A57&gt;TODAY(),"Future date","OK"))))))))</f>
        <v/>
      </c>
      <c r="L57">
        <f>IF(A57="","",TEXT(A57,"yyyy-mm-dd")&amp;"|"&amp;B57&amp;"|"&amp;C57)</f>
        <v/>
      </c>
    </row>
    <row r="58">
      <c r="A58" s="4" t="n"/>
      <c r="D58" s="5" t="n"/>
      <c r="E58" s="5" t="n"/>
      <c r="G58" s="6">
        <f>IF(OR(A58="",D58="",E58=""),"",ROUND(MOD(E58-D58,1)*24-N(F58)/60,2))</f>
        <v/>
      </c>
      <c r="H58" s="7">
        <f>IF(C58="","",IFERROR(INDEX(Sites!$B$2:$B$501,MATCH(C58,Sites!$A$2:$A$501,0)),"?"))</f>
        <v/>
      </c>
      <c r="I58" s="8">
        <f>IF(A58="","",A58-WEEKDAY(A58,3))</f>
        <v/>
      </c>
      <c r="K58" s="7">
        <f>IF(A58="","",IF(OR(B58="",C58="",D58="",E58=""),"Missing info",IF(ISNA(MATCH(B58,Staff!$A$2:$A$101,0)),"Unknown employee",IF(H58="?","Unknown site",IF(G58&lt;=0,"Check times",IF(G58&gt;12,"Over 12h",IF(COUNTIFS($L$2:$L$2001,L58)&gt;1,"Duplicate?",IF(A58&gt;TODAY(),"Future date","OK"))))))))</f>
        <v/>
      </c>
      <c r="L58">
        <f>IF(A58="","",TEXT(A58,"yyyy-mm-dd")&amp;"|"&amp;B58&amp;"|"&amp;C58)</f>
        <v/>
      </c>
    </row>
    <row r="59">
      <c r="A59" s="4" t="n"/>
      <c r="D59" s="5" t="n"/>
      <c r="E59" s="5" t="n"/>
      <c r="G59" s="6">
        <f>IF(OR(A59="",D59="",E59=""),"",ROUND(MOD(E59-D59,1)*24-N(F59)/60,2))</f>
        <v/>
      </c>
      <c r="H59" s="7">
        <f>IF(C59="","",IFERROR(INDEX(Sites!$B$2:$B$501,MATCH(C59,Sites!$A$2:$A$501,0)),"?"))</f>
        <v/>
      </c>
      <c r="I59" s="8">
        <f>IF(A59="","",A59-WEEKDAY(A59,3))</f>
        <v/>
      </c>
      <c r="K59" s="7">
        <f>IF(A59="","",IF(OR(B59="",C59="",D59="",E59=""),"Missing info",IF(ISNA(MATCH(B59,Staff!$A$2:$A$101,0)),"Unknown employee",IF(H59="?","Unknown site",IF(G59&lt;=0,"Check times",IF(G59&gt;12,"Over 12h",IF(COUNTIFS($L$2:$L$2001,L59)&gt;1,"Duplicate?",IF(A59&gt;TODAY(),"Future date","OK"))))))))</f>
        <v/>
      </c>
      <c r="L59">
        <f>IF(A59="","",TEXT(A59,"yyyy-mm-dd")&amp;"|"&amp;B59&amp;"|"&amp;C59)</f>
        <v/>
      </c>
    </row>
    <row r="60">
      <c r="A60" s="4" t="n"/>
      <c r="D60" s="5" t="n"/>
      <c r="E60" s="5" t="n"/>
      <c r="G60" s="6">
        <f>IF(OR(A60="",D60="",E60=""),"",ROUND(MOD(E60-D60,1)*24-N(F60)/60,2))</f>
        <v/>
      </c>
      <c r="H60" s="7">
        <f>IF(C60="","",IFERROR(INDEX(Sites!$B$2:$B$501,MATCH(C60,Sites!$A$2:$A$501,0)),"?"))</f>
        <v/>
      </c>
      <c r="I60" s="8">
        <f>IF(A60="","",A60-WEEKDAY(A60,3))</f>
        <v/>
      </c>
      <c r="K60" s="7">
        <f>IF(A60="","",IF(OR(B60="",C60="",D60="",E60=""),"Missing info",IF(ISNA(MATCH(B60,Staff!$A$2:$A$101,0)),"Unknown employee",IF(H60="?","Unknown site",IF(G60&lt;=0,"Check times",IF(G60&gt;12,"Over 12h",IF(COUNTIFS($L$2:$L$2001,L60)&gt;1,"Duplicate?",IF(A60&gt;TODAY(),"Future date","OK"))))))))</f>
        <v/>
      </c>
      <c r="L60">
        <f>IF(A60="","",TEXT(A60,"yyyy-mm-dd")&amp;"|"&amp;B60&amp;"|"&amp;C60)</f>
        <v/>
      </c>
    </row>
    <row r="61">
      <c r="A61" s="4" t="n"/>
      <c r="D61" s="5" t="n"/>
      <c r="E61" s="5" t="n"/>
      <c r="G61" s="6">
        <f>IF(OR(A61="",D61="",E61=""),"",ROUND(MOD(E61-D61,1)*24-N(F61)/60,2))</f>
        <v/>
      </c>
      <c r="H61" s="7">
        <f>IF(C61="","",IFERROR(INDEX(Sites!$B$2:$B$501,MATCH(C61,Sites!$A$2:$A$501,0)),"?"))</f>
        <v/>
      </c>
      <c r="I61" s="8">
        <f>IF(A61="","",A61-WEEKDAY(A61,3))</f>
        <v/>
      </c>
      <c r="K61" s="7">
        <f>IF(A61="","",IF(OR(B61="",C61="",D61="",E61=""),"Missing info",IF(ISNA(MATCH(B61,Staff!$A$2:$A$101,0)),"Unknown employee",IF(H61="?","Unknown site",IF(G61&lt;=0,"Check times",IF(G61&gt;12,"Over 12h",IF(COUNTIFS($L$2:$L$2001,L61)&gt;1,"Duplicate?",IF(A61&gt;TODAY(),"Future date","OK"))))))))</f>
        <v/>
      </c>
      <c r="L61">
        <f>IF(A61="","",TEXT(A61,"yyyy-mm-dd")&amp;"|"&amp;B61&amp;"|"&amp;C61)</f>
        <v/>
      </c>
    </row>
    <row r="62">
      <c r="A62" s="4" t="n"/>
      <c r="D62" s="5" t="n"/>
      <c r="E62" s="5" t="n"/>
      <c r="G62" s="6">
        <f>IF(OR(A62="",D62="",E62=""),"",ROUND(MOD(E62-D62,1)*24-N(F62)/60,2))</f>
        <v/>
      </c>
      <c r="H62" s="7">
        <f>IF(C62="","",IFERROR(INDEX(Sites!$B$2:$B$501,MATCH(C62,Sites!$A$2:$A$501,0)),"?"))</f>
        <v/>
      </c>
      <c r="I62" s="8">
        <f>IF(A62="","",A62-WEEKDAY(A62,3))</f>
        <v/>
      </c>
      <c r="K62" s="7">
        <f>IF(A62="","",IF(OR(B62="",C62="",D62="",E62=""),"Missing info",IF(ISNA(MATCH(B62,Staff!$A$2:$A$101,0)),"Unknown employee",IF(H62="?","Unknown site",IF(G62&lt;=0,"Check times",IF(G62&gt;12,"Over 12h",IF(COUNTIFS($L$2:$L$2001,L62)&gt;1,"Duplicate?",IF(A62&gt;TODAY(),"Future date","OK"))))))))</f>
        <v/>
      </c>
      <c r="L62">
        <f>IF(A62="","",TEXT(A62,"yyyy-mm-dd")&amp;"|"&amp;B62&amp;"|"&amp;C62)</f>
        <v/>
      </c>
    </row>
    <row r="63">
      <c r="A63" s="4" t="n"/>
      <c r="D63" s="5" t="n"/>
      <c r="E63" s="5" t="n"/>
      <c r="G63" s="6">
        <f>IF(OR(A63="",D63="",E63=""),"",ROUND(MOD(E63-D63,1)*24-N(F63)/60,2))</f>
        <v/>
      </c>
      <c r="H63" s="7">
        <f>IF(C63="","",IFERROR(INDEX(Sites!$B$2:$B$501,MATCH(C63,Sites!$A$2:$A$501,0)),"?"))</f>
        <v/>
      </c>
      <c r="I63" s="8">
        <f>IF(A63="","",A63-WEEKDAY(A63,3))</f>
        <v/>
      </c>
      <c r="K63" s="7">
        <f>IF(A63="","",IF(OR(B63="",C63="",D63="",E63=""),"Missing info",IF(ISNA(MATCH(B63,Staff!$A$2:$A$101,0)),"Unknown employee",IF(H63="?","Unknown site",IF(G63&lt;=0,"Check times",IF(G63&gt;12,"Over 12h",IF(COUNTIFS($L$2:$L$2001,L63)&gt;1,"Duplicate?",IF(A63&gt;TODAY(),"Future date","OK"))))))))</f>
        <v/>
      </c>
      <c r="L63">
        <f>IF(A63="","",TEXT(A63,"yyyy-mm-dd")&amp;"|"&amp;B63&amp;"|"&amp;C63)</f>
        <v/>
      </c>
    </row>
    <row r="64">
      <c r="A64" s="4" t="n"/>
      <c r="D64" s="5" t="n"/>
      <c r="E64" s="5" t="n"/>
      <c r="G64" s="6">
        <f>IF(OR(A64="",D64="",E64=""),"",ROUND(MOD(E64-D64,1)*24-N(F64)/60,2))</f>
        <v/>
      </c>
      <c r="H64" s="7">
        <f>IF(C64="","",IFERROR(INDEX(Sites!$B$2:$B$501,MATCH(C64,Sites!$A$2:$A$501,0)),"?"))</f>
        <v/>
      </c>
      <c r="I64" s="8">
        <f>IF(A64="","",A64-WEEKDAY(A64,3))</f>
        <v/>
      </c>
      <c r="K64" s="7">
        <f>IF(A64="","",IF(OR(B64="",C64="",D64="",E64=""),"Missing info",IF(ISNA(MATCH(B64,Staff!$A$2:$A$101,0)),"Unknown employee",IF(H64="?","Unknown site",IF(G64&lt;=0,"Check times",IF(G64&gt;12,"Over 12h",IF(COUNTIFS($L$2:$L$2001,L64)&gt;1,"Duplicate?",IF(A64&gt;TODAY(),"Future date","OK"))))))))</f>
        <v/>
      </c>
      <c r="L64">
        <f>IF(A64="","",TEXT(A64,"yyyy-mm-dd")&amp;"|"&amp;B64&amp;"|"&amp;C64)</f>
        <v/>
      </c>
    </row>
    <row r="65">
      <c r="A65" s="4" t="n"/>
      <c r="D65" s="5" t="n"/>
      <c r="E65" s="5" t="n"/>
      <c r="G65" s="6">
        <f>IF(OR(A65="",D65="",E65=""),"",ROUND(MOD(E65-D65,1)*24-N(F65)/60,2))</f>
        <v/>
      </c>
      <c r="H65" s="7">
        <f>IF(C65="","",IFERROR(INDEX(Sites!$B$2:$B$501,MATCH(C65,Sites!$A$2:$A$501,0)),"?"))</f>
        <v/>
      </c>
      <c r="I65" s="8">
        <f>IF(A65="","",A65-WEEKDAY(A65,3))</f>
        <v/>
      </c>
      <c r="K65" s="7">
        <f>IF(A65="","",IF(OR(B65="",C65="",D65="",E65=""),"Missing info",IF(ISNA(MATCH(B65,Staff!$A$2:$A$101,0)),"Unknown employee",IF(H65="?","Unknown site",IF(G65&lt;=0,"Check times",IF(G65&gt;12,"Over 12h",IF(COUNTIFS($L$2:$L$2001,L65)&gt;1,"Duplicate?",IF(A65&gt;TODAY(),"Future date","OK"))))))))</f>
        <v/>
      </c>
      <c r="L65">
        <f>IF(A65="","",TEXT(A65,"yyyy-mm-dd")&amp;"|"&amp;B65&amp;"|"&amp;C65)</f>
        <v/>
      </c>
    </row>
    <row r="66">
      <c r="A66" s="4" t="n"/>
      <c r="D66" s="5" t="n"/>
      <c r="E66" s="5" t="n"/>
      <c r="G66" s="6">
        <f>IF(OR(A66="",D66="",E66=""),"",ROUND(MOD(E66-D66,1)*24-N(F66)/60,2))</f>
        <v/>
      </c>
      <c r="H66" s="7">
        <f>IF(C66="","",IFERROR(INDEX(Sites!$B$2:$B$501,MATCH(C66,Sites!$A$2:$A$501,0)),"?"))</f>
        <v/>
      </c>
      <c r="I66" s="8">
        <f>IF(A66="","",A66-WEEKDAY(A66,3))</f>
        <v/>
      </c>
      <c r="K66" s="7">
        <f>IF(A66="","",IF(OR(B66="",C66="",D66="",E66=""),"Missing info",IF(ISNA(MATCH(B66,Staff!$A$2:$A$101,0)),"Unknown employee",IF(H66="?","Unknown site",IF(G66&lt;=0,"Check times",IF(G66&gt;12,"Over 12h",IF(COUNTIFS($L$2:$L$2001,L66)&gt;1,"Duplicate?",IF(A66&gt;TODAY(),"Future date","OK"))))))))</f>
        <v/>
      </c>
      <c r="L66">
        <f>IF(A66="","",TEXT(A66,"yyyy-mm-dd")&amp;"|"&amp;B66&amp;"|"&amp;C66)</f>
        <v/>
      </c>
    </row>
    <row r="67">
      <c r="A67" s="4" t="n"/>
      <c r="D67" s="5" t="n"/>
      <c r="E67" s="5" t="n"/>
      <c r="G67" s="6">
        <f>IF(OR(A67="",D67="",E67=""),"",ROUND(MOD(E67-D67,1)*24-N(F67)/60,2))</f>
        <v/>
      </c>
      <c r="H67" s="7">
        <f>IF(C67="","",IFERROR(INDEX(Sites!$B$2:$B$501,MATCH(C67,Sites!$A$2:$A$501,0)),"?"))</f>
        <v/>
      </c>
      <c r="I67" s="8">
        <f>IF(A67="","",A67-WEEKDAY(A67,3))</f>
        <v/>
      </c>
      <c r="K67" s="7">
        <f>IF(A67="","",IF(OR(B67="",C67="",D67="",E67=""),"Missing info",IF(ISNA(MATCH(B67,Staff!$A$2:$A$101,0)),"Unknown employee",IF(H67="?","Unknown site",IF(G67&lt;=0,"Check times",IF(G67&gt;12,"Over 12h",IF(COUNTIFS($L$2:$L$2001,L67)&gt;1,"Duplicate?",IF(A67&gt;TODAY(),"Future date","OK"))))))))</f>
        <v/>
      </c>
      <c r="L67">
        <f>IF(A67="","",TEXT(A67,"yyyy-mm-dd")&amp;"|"&amp;B67&amp;"|"&amp;C67)</f>
        <v/>
      </c>
    </row>
    <row r="68">
      <c r="A68" s="4" t="n"/>
      <c r="D68" s="5" t="n"/>
      <c r="E68" s="5" t="n"/>
      <c r="G68" s="6">
        <f>IF(OR(A68="",D68="",E68=""),"",ROUND(MOD(E68-D68,1)*24-N(F68)/60,2))</f>
        <v/>
      </c>
      <c r="H68" s="7">
        <f>IF(C68="","",IFERROR(INDEX(Sites!$B$2:$B$501,MATCH(C68,Sites!$A$2:$A$501,0)),"?"))</f>
        <v/>
      </c>
      <c r="I68" s="8">
        <f>IF(A68="","",A68-WEEKDAY(A68,3))</f>
        <v/>
      </c>
      <c r="K68" s="7">
        <f>IF(A68="","",IF(OR(B68="",C68="",D68="",E68=""),"Missing info",IF(ISNA(MATCH(B68,Staff!$A$2:$A$101,0)),"Unknown employee",IF(H68="?","Unknown site",IF(G68&lt;=0,"Check times",IF(G68&gt;12,"Over 12h",IF(COUNTIFS($L$2:$L$2001,L68)&gt;1,"Duplicate?",IF(A68&gt;TODAY(),"Future date","OK"))))))))</f>
        <v/>
      </c>
      <c r="L68">
        <f>IF(A68="","",TEXT(A68,"yyyy-mm-dd")&amp;"|"&amp;B68&amp;"|"&amp;C68)</f>
        <v/>
      </c>
    </row>
    <row r="69">
      <c r="A69" s="4" t="n"/>
      <c r="D69" s="5" t="n"/>
      <c r="E69" s="5" t="n"/>
      <c r="G69" s="6">
        <f>IF(OR(A69="",D69="",E69=""),"",ROUND(MOD(E69-D69,1)*24-N(F69)/60,2))</f>
        <v/>
      </c>
      <c r="H69" s="7">
        <f>IF(C69="","",IFERROR(INDEX(Sites!$B$2:$B$501,MATCH(C69,Sites!$A$2:$A$501,0)),"?"))</f>
        <v/>
      </c>
      <c r="I69" s="8">
        <f>IF(A69="","",A69-WEEKDAY(A69,3))</f>
        <v/>
      </c>
      <c r="K69" s="7">
        <f>IF(A69="","",IF(OR(B69="",C69="",D69="",E69=""),"Missing info",IF(ISNA(MATCH(B69,Staff!$A$2:$A$101,0)),"Unknown employee",IF(H69="?","Unknown site",IF(G69&lt;=0,"Check times",IF(G69&gt;12,"Over 12h",IF(COUNTIFS($L$2:$L$2001,L69)&gt;1,"Duplicate?",IF(A69&gt;TODAY(),"Future date","OK"))))))))</f>
        <v/>
      </c>
      <c r="L69">
        <f>IF(A69="","",TEXT(A69,"yyyy-mm-dd")&amp;"|"&amp;B69&amp;"|"&amp;C69)</f>
        <v/>
      </c>
    </row>
    <row r="70">
      <c r="A70" s="4" t="n"/>
      <c r="D70" s="5" t="n"/>
      <c r="E70" s="5" t="n"/>
      <c r="G70" s="6">
        <f>IF(OR(A70="",D70="",E70=""),"",ROUND(MOD(E70-D70,1)*24-N(F70)/60,2))</f>
        <v/>
      </c>
      <c r="H70" s="7">
        <f>IF(C70="","",IFERROR(INDEX(Sites!$B$2:$B$501,MATCH(C70,Sites!$A$2:$A$501,0)),"?"))</f>
        <v/>
      </c>
      <c r="I70" s="8">
        <f>IF(A70="","",A70-WEEKDAY(A70,3))</f>
        <v/>
      </c>
      <c r="K70" s="7">
        <f>IF(A70="","",IF(OR(B70="",C70="",D70="",E70=""),"Missing info",IF(ISNA(MATCH(B70,Staff!$A$2:$A$101,0)),"Unknown employee",IF(H70="?","Unknown site",IF(G70&lt;=0,"Check times",IF(G70&gt;12,"Over 12h",IF(COUNTIFS($L$2:$L$2001,L70)&gt;1,"Duplicate?",IF(A70&gt;TODAY(),"Future date","OK"))))))))</f>
        <v/>
      </c>
      <c r="L70">
        <f>IF(A70="","",TEXT(A70,"yyyy-mm-dd")&amp;"|"&amp;B70&amp;"|"&amp;C70)</f>
        <v/>
      </c>
    </row>
    <row r="71">
      <c r="A71" s="4" t="n"/>
      <c r="D71" s="5" t="n"/>
      <c r="E71" s="5" t="n"/>
      <c r="G71" s="6">
        <f>IF(OR(A71="",D71="",E71=""),"",ROUND(MOD(E71-D71,1)*24-N(F71)/60,2))</f>
        <v/>
      </c>
      <c r="H71" s="7">
        <f>IF(C71="","",IFERROR(INDEX(Sites!$B$2:$B$501,MATCH(C71,Sites!$A$2:$A$501,0)),"?"))</f>
        <v/>
      </c>
      <c r="I71" s="8">
        <f>IF(A71="","",A71-WEEKDAY(A71,3))</f>
        <v/>
      </c>
      <c r="K71" s="7">
        <f>IF(A71="","",IF(OR(B71="",C71="",D71="",E71=""),"Missing info",IF(ISNA(MATCH(B71,Staff!$A$2:$A$101,0)),"Unknown employee",IF(H71="?","Unknown site",IF(G71&lt;=0,"Check times",IF(G71&gt;12,"Over 12h",IF(COUNTIFS($L$2:$L$2001,L71)&gt;1,"Duplicate?",IF(A71&gt;TODAY(),"Future date","OK"))))))))</f>
        <v/>
      </c>
      <c r="L71">
        <f>IF(A71="","",TEXT(A71,"yyyy-mm-dd")&amp;"|"&amp;B71&amp;"|"&amp;C71)</f>
        <v/>
      </c>
    </row>
    <row r="72">
      <c r="A72" s="4" t="n"/>
      <c r="D72" s="5" t="n"/>
      <c r="E72" s="5" t="n"/>
      <c r="G72" s="6">
        <f>IF(OR(A72="",D72="",E72=""),"",ROUND(MOD(E72-D72,1)*24-N(F72)/60,2))</f>
        <v/>
      </c>
      <c r="H72" s="7">
        <f>IF(C72="","",IFERROR(INDEX(Sites!$B$2:$B$501,MATCH(C72,Sites!$A$2:$A$501,0)),"?"))</f>
        <v/>
      </c>
      <c r="I72" s="8">
        <f>IF(A72="","",A72-WEEKDAY(A72,3))</f>
        <v/>
      </c>
      <c r="K72" s="7">
        <f>IF(A72="","",IF(OR(B72="",C72="",D72="",E72=""),"Missing info",IF(ISNA(MATCH(B72,Staff!$A$2:$A$101,0)),"Unknown employee",IF(H72="?","Unknown site",IF(G72&lt;=0,"Check times",IF(G72&gt;12,"Over 12h",IF(COUNTIFS($L$2:$L$2001,L72)&gt;1,"Duplicate?",IF(A72&gt;TODAY(),"Future date","OK"))))))))</f>
        <v/>
      </c>
      <c r="L72">
        <f>IF(A72="","",TEXT(A72,"yyyy-mm-dd")&amp;"|"&amp;B72&amp;"|"&amp;C72)</f>
        <v/>
      </c>
    </row>
    <row r="73">
      <c r="A73" s="4" t="n"/>
      <c r="D73" s="5" t="n"/>
      <c r="E73" s="5" t="n"/>
      <c r="G73" s="6">
        <f>IF(OR(A73="",D73="",E73=""),"",ROUND(MOD(E73-D73,1)*24-N(F73)/60,2))</f>
        <v/>
      </c>
      <c r="H73" s="7">
        <f>IF(C73="","",IFERROR(INDEX(Sites!$B$2:$B$501,MATCH(C73,Sites!$A$2:$A$501,0)),"?"))</f>
        <v/>
      </c>
      <c r="I73" s="8">
        <f>IF(A73="","",A73-WEEKDAY(A73,3))</f>
        <v/>
      </c>
      <c r="K73" s="7">
        <f>IF(A73="","",IF(OR(B73="",C73="",D73="",E73=""),"Missing info",IF(ISNA(MATCH(B73,Staff!$A$2:$A$101,0)),"Unknown employee",IF(H73="?","Unknown site",IF(G73&lt;=0,"Check times",IF(G73&gt;12,"Over 12h",IF(COUNTIFS($L$2:$L$2001,L73)&gt;1,"Duplicate?",IF(A73&gt;TODAY(),"Future date","OK"))))))))</f>
        <v/>
      </c>
      <c r="L73">
        <f>IF(A73="","",TEXT(A73,"yyyy-mm-dd")&amp;"|"&amp;B73&amp;"|"&amp;C73)</f>
        <v/>
      </c>
    </row>
    <row r="74">
      <c r="A74" s="4" t="n"/>
      <c r="D74" s="5" t="n"/>
      <c r="E74" s="5" t="n"/>
      <c r="G74" s="6">
        <f>IF(OR(A74="",D74="",E74=""),"",ROUND(MOD(E74-D74,1)*24-N(F74)/60,2))</f>
        <v/>
      </c>
      <c r="H74" s="7">
        <f>IF(C74="","",IFERROR(INDEX(Sites!$B$2:$B$501,MATCH(C74,Sites!$A$2:$A$501,0)),"?"))</f>
        <v/>
      </c>
      <c r="I74" s="8">
        <f>IF(A74="","",A74-WEEKDAY(A74,3))</f>
        <v/>
      </c>
      <c r="K74" s="7">
        <f>IF(A74="","",IF(OR(B74="",C74="",D74="",E74=""),"Missing info",IF(ISNA(MATCH(B74,Staff!$A$2:$A$101,0)),"Unknown employee",IF(H74="?","Unknown site",IF(G74&lt;=0,"Check times",IF(G74&gt;12,"Over 12h",IF(COUNTIFS($L$2:$L$2001,L74)&gt;1,"Duplicate?",IF(A74&gt;TODAY(),"Future date","OK"))))))))</f>
        <v/>
      </c>
      <c r="L74">
        <f>IF(A74="","",TEXT(A74,"yyyy-mm-dd")&amp;"|"&amp;B74&amp;"|"&amp;C74)</f>
        <v/>
      </c>
    </row>
    <row r="75">
      <c r="A75" s="4" t="n"/>
      <c r="D75" s="5" t="n"/>
      <c r="E75" s="5" t="n"/>
      <c r="G75" s="6">
        <f>IF(OR(A75="",D75="",E75=""),"",ROUND(MOD(E75-D75,1)*24-N(F75)/60,2))</f>
        <v/>
      </c>
      <c r="H75" s="7">
        <f>IF(C75="","",IFERROR(INDEX(Sites!$B$2:$B$501,MATCH(C75,Sites!$A$2:$A$501,0)),"?"))</f>
        <v/>
      </c>
      <c r="I75" s="8">
        <f>IF(A75="","",A75-WEEKDAY(A75,3))</f>
        <v/>
      </c>
      <c r="K75" s="7">
        <f>IF(A75="","",IF(OR(B75="",C75="",D75="",E75=""),"Missing info",IF(ISNA(MATCH(B75,Staff!$A$2:$A$101,0)),"Unknown employee",IF(H75="?","Unknown site",IF(G75&lt;=0,"Check times",IF(G75&gt;12,"Over 12h",IF(COUNTIFS($L$2:$L$2001,L75)&gt;1,"Duplicate?",IF(A75&gt;TODAY(),"Future date","OK"))))))))</f>
        <v/>
      </c>
      <c r="L75">
        <f>IF(A75="","",TEXT(A75,"yyyy-mm-dd")&amp;"|"&amp;B75&amp;"|"&amp;C75)</f>
        <v/>
      </c>
    </row>
    <row r="76">
      <c r="A76" s="4" t="n"/>
      <c r="D76" s="5" t="n"/>
      <c r="E76" s="5" t="n"/>
      <c r="G76" s="6">
        <f>IF(OR(A76="",D76="",E76=""),"",ROUND(MOD(E76-D76,1)*24-N(F76)/60,2))</f>
        <v/>
      </c>
      <c r="H76" s="7">
        <f>IF(C76="","",IFERROR(INDEX(Sites!$B$2:$B$501,MATCH(C76,Sites!$A$2:$A$501,0)),"?"))</f>
        <v/>
      </c>
      <c r="I76" s="8">
        <f>IF(A76="","",A76-WEEKDAY(A76,3))</f>
        <v/>
      </c>
      <c r="K76" s="7">
        <f>IF(A76="","",IF(OR(B76="",C76="",D76="",E76=""),"Missing info",IF(ISNA(MATCH(B76,Staff!$A$2:$A$101,0)),"Unknown employee",IF(H76="?","Unknown site",IF(G76&lt;=0,"Check times",IF(G76&gt;12,"Over 12h",IF(COUNTIFS($L$2:$L$2001,L76)&gt;1,"Duplicate?",IF(A76&gt;TODAY(),"Future date","OK"))))))))</f>
        <v/>
      </c>
      <c r="L76">
        <f>IF(A76="","",TEXT(A76,"yyyy-mm-dd")&amp;"|"&amp;B76&amp;"|"&amp;C76)</f>
        <v/>
      </c>
    </row>
    <row r="77">
      <c r="A77" s="4" t="n"/>
      <c r="D77" s="5" t="n"/>
      <c r="E77" s="5" t="n"/>
      <c r="G77" s="6">
        <f>IF(OR(A77="",D77="",E77=""),"",ROUND(MOD(E77-D77,1)*24-N(F77)/60,2))</f>
        <v/>
      </c>
      <c r="H77" s="7">
        <f>IF(C77="","",IFERROR(INDEX(Sites!$B$2:$B$501,MATCH(C77,Sites!$A$2:$A$501,0)),"?"))</f>
        <v/>
      </c>
      <c r="I77" s="8">
        <f>IF(A77="","",A77-WEEKDAY(A77,3))</f>
        <v/>
      </c>
      <c r="K77" s="7">
        <f>IF(A77="","",IF(OR(B77="",C77="",D77="",E77=""),"Missing info",IF(ISNA(MATCH(B77,Staff!$A$2:$A$101,0)),"Unknown employee",IF(H77="?","Unknown site",IF(G77&lt;=0,"Check times",IF(G77&gt;12,"Over 12h",IF(COUNTIFS($L$2:$L$2001,L77)&gt;1,"Duplicate?",IF(A77&gt;TODAY(),"Future date","OK"))))))))</f>
        <v/>
      </c>
      <c r="L77">
        <f>IF(A77="","",TEXT(A77,"yyyy-mm-dd")&amp;"|"&amp;B77&amp;"|"&amp;C77)</f>
        <v/>
      </c>
    </row>
    <row r="78">
      <c r="A78" s="4" t="n"/>
      <c r="D78" s="5" t="n"/>
      <c r="E78" s="5" t="n"/>
      <c r="G78" s="6">
        <f>IF(OR(A78="",D78="",E78=""),"",ROUND(MOD(E78-D78,1)*24-N(F78)/60,2))</f>
        <v/>
      </c>
      <c r="H78" s="7">
        <f>IF(C78="","",IFERROR(INDEX(Sites!$B$2:$B$501,MATCH(C78,Sites!$A$2:$A$501,0)),"?"))</f>
        <v/>
      </c>
      <c r="I78" s="8">
        <f>IF(A78="","",A78-WEEKDAY(A78,3))</f>
        <v/>
      </c>
      <c r="K78" s="7">
        <f>IF(A78="","",IF(OR(B78="",C78="",D78="",E78=""),"Missing info",IF(ISNA(MATCH(B78,Staff!$A$2:$A$101,0)),"Unknown employee",IF(H78="?","Unknown site",IF(G78&lt;=0,"Check times",IF(G78&gt;12,"Over 12h",IF(COUNTIFS($L$2:$L$2001,L78)&gt;1,"Duplicate?",IF(A78&gt;TODAY(),"Future date","OK"))))))))</f>
        <v/>
      </c>
      <c r="L78">
        <f>IF(A78="","",TEXT(A78,"yyyy-mm-dd")&amp;"|"&amp;B78&amp;"|"&amp;C78)</f>
        <v/>
      </c>
    </row>
    <row r="79">
      <c r="A79" s="4" t="n"/>
      <c r="D79" s="5" t="n"/>
      <c r="E79" s="5" t="n"/>
      <c r="G79" s="6">
        <f>IF(OR(A79="",D79="",E79=""),"",ROUND(MOD(E79-D79,1)*24-N(F79)/60,2))</f>
        <v/>
      </c>
      <c r="H79" s="7">
        <f>IF(C79="","",IFERROR(INDEX(Sites!$B$2:$B$501,MATCH(C79,Sites!$A$2:$A$501,0)),"?"))</f>
        <v/>
      </c>
      <c r="I79" s="8">
        <f>IF(A79="","",A79-WEEKDAY(A79,3))</f>
        <v/>
      </c>
      <c r="K79" s="7">
        <f>IF(A79="","",IF(OR(B79="",C79="",D79="",E79=""),"Missing info",IF(ISNA(MATCH(B79,Staff!$A$2:$A$101,0)),"Unknown employee",IF(H79="?","Unknown site",IF(G79&lt;=0,"Check times",IF(G79&gt;12,"Over 12h",IF(COUNTIFS($L$2:$L$2001,L79)&gt;1,"Duplicate?",IF(A79&gt;TODAY(),"Future date","OK"))))))))</f>
        <v/>
      </c>
      <c r="L79">
        <f>IF(A79="","",TEXT(A79,"yyyy-mm-dd")&amp;"|"&amp;B79&amp;"|"&amp;C79)</f>
        <v/>
      </c>
    </row>
    <row r="80">
      <c r="A80" s="4" t="n"/>
      <c r="D80" s="5" t="n"/>
      <c r="E80" s="5" t="n"/>
      <c r="G80" s="6">
        <f>IF(OR(A80="",D80="",E80=""),"",ROUND(MOD(E80-D80,1)*24-N(F80)/60,2))</f>
        <v/>
      </c>
      <c r="H80" s="7">
        <f>IF(C80="","",IFERROR(INDEX(Sites!$B$2:$B$501,MATCH(C80,Sites!$A$2:$A$501,0)),"?"))</f>
        <v/>
      </c>
      <c r="I80" s="8">
        <f>IF(A80="","",A80-WEEKDAY(A80,3))</f>
        <v/>
      </c>
      <c r="K80" s="7">
        <f>IF(A80="","",IF(OR(B80="",C80="",D80="",E80=""),"Missing info",IF(ISNA(MATCH(B80,Staff!$A$2:$A$101,0)),"Unknown employee",IF(H80="?","Unknown site",IF(G80&lt;=0,"Check times",IF(G80&gt;12,"Over 12h",IF(COUNTIFS($L$2:$L$2001,L80)&gt;1,"Duplicate?",IF(A80&gt;TODAY(),"Future date","OK"))))))))</f>
        <v/>
      </c>
      <c r="L80">
        <f>IF(A80="","",TEXT(A80,"yyyy-mm-dd")&amp;"|"&amp;B80&amp;"|"&amp;C80)</f>
        <v/>
      </c>
    </row>
    <row r="81">
      <c r="A81" s="4" t="n"/>
      <c r="D81" s="5" t="n"/>
      <c r="E81" s="5" t="n"/>
      <c r="G81" s="6">
        <f>IF(OR(A81="",D81="",E81=""),"",ROUND(MOD(E81-D81,1)*24-N(F81)/60,2))</f>
        <v/>
      </c>
      <c r="H81" s="7">
        <f>IF(C81="","",IFERROR(INDEX(Sites!$B$2:$B$501,MATCH(C81,Sites!$A$2:$A$501,0)),"?"))</f>
        <v/>
      </c>
      <c r="I81" s="8">
        <f>IF(A81="","",A81-WEEKDAY(A81,3))</f>
        <v/>
      </c>
      <c r="K81" s="7">
        <f>IF(A81="","",IF(OR(B81="",C81="",D81="",E81=""),"Missing info",IF(ISNA(MATCH(B81,Staff!$A$2:$A$101,0)),"Unknown employee",IF(H81="?","Unknown site",IF(G81&lt;=0,"Check times",IF(G81&gt;12,"Over 12h",IF(COUNTIFS($L$2:$L$2001,L81)&gt;1,"Duplicate?",IF(A81&gt;TODAY(),"Future date","OK"))))))))</f>
        <v/>
      </c>
      <c r="L81">
        <f>IF(A81="","",TEXT(A81,"yyyy-mm-dd")&amp;"|"&amp;B81&amp;"|"&amp;C81)</f>
        <v/>
      </c>
    </row>
    <row r="82">
      <c r="A82" s="4" t="n"/>
      <c r="D82" s="5" t="n"/>
      <c r="E82" s="5" t="n"/>
      <c r="G82" s="6">
        <f>IF(OR(A82="",D82="",E82=""),"",ROUND(MOD(E82-D82,1)*24-N(F82)/60,2))</f>
        <v/>
      </c>
      <c r="H82" s="7">
        <f>IF(C82="","",IFERROR(INDEX(Sites!$B$2:$B$501,MATCH(C82,Sites!$A$2:$A$501,0)),"?"))</f>
        <v/>
      </c>
      <c r="I82" s="8">
        <f>IF(A82="","",A82-WEEKDAY(A82,3))</f>
        <v/>
      </c>
      <c r="K82" s="7">
        <f>IF(A82="","",IF(OR(B82="",C82="",D82="",E82=""),"Missing info",IF(ISNA(MATCH(B82,Staff!$A$2:$A$101,0)),"Unknown employee",IF(H82="?","Unknown site",IF(G82&lt;=0,"Check times",IF(G82&gt;12,"Over 12h",IF(COUNTIFS($L$2:$L$2001,L82)&gt;1,"Duplicate?",IF(A82&gt;TODAY(),"Future date","OK"))))))))</f>
        <v/>
      </c>
      <c r="L82">
        <f>IF(A82="","",TEXT(A82,"yyyy-mm-dd")&amp;"|"&amp;B82&amp;"|"&amp;C82)</f>
        <v/>
      </c>
    </row>
    <row r="83">
      <c r="A83" s="4" t="n"/>
      <c r="D83" s="5" t="n"/>
      <c r="E83" s="5" t="n"/>
      <c r="G83" s="6">
        <f>IF(OR(A83="",D83="",E83=""),"",ROUND(MOD(E83-D83,1)*24-N(F83)/60,2))</f>
        <v/>
      </c>
      <c r="H83" s="7">
        <f>IF(C83="","",IFERROR(INDEX(Sites!$B$2:$B$501,MATCH(C83,Sites!$A$2:$A$501,0)),"?"))</f>
        <v/>
      </c>
      <c r="I83" s="8">
        <f>IF(A83="","",A83-WEEKDAY(A83,3))</f>
        <v/>
      </c>
      <c r="K83" s="7">
        <f>IF(A83="","",IF(OR(B83="",C83="",D83="",E83=""),"Missing info",IF(ISNA(MATCH(B83,Staff!$A$2:$A$101,0)),"Unknown employee",IF(H83="?","Unknown site",IF(G83&lt;=0,"Check times",IF(G83&gt;12,"Over 12h",IF(COUNTIFS($L$2:$L$2001,L83)&gt;1,"Duplicate?",IF(A83&gt;TODAY(),"Future date","OK"))))))))</f>
        <v/>
      </c>
      <c r="L83">
        <f>IF(A83="","",TEXT(A83,"yyyy-mm-dd")&amp;"|"&amp;B83&amp;"|"&amp;C83)</f>
        <v/>
      </c>
    </row>
    <row r="84">
      <c r="A84" s="4" t="n"/>
      <c r="D84" s="5" t="n"/>
      <c r="E84" s="5" t="n"/>
      <c r="G84" s="6">
        <f>IF(OR(A84="",D84="",E84=""),"",ROUND(MOD(E84-D84,1)*24-N(F84)/60,2))</f>
        <v/>
      </c>
      <c r="H84" s="7">
        <f>IF(C84="","",IFERROR(INDEX(Sites!$B$2:$B$501,MATCH(C84,Sites!$A$2:$A$501,0)),"?"))</f>
        <v/>
      </c>
      <c r="I84" s="8">
        <f>IF(A84="","",A84-WEEKDAY(A84,3))</f>
        <v/>
      </c>
      <c r="K84" s="7">
        <f>IF(A84="","",IF(OR(B84="",C84="",D84="",E84=""),"Missing info",IF(ISNA(MATCH(B84,Staff!$A$2:$A$101,0)),"Unknown employee",IF(H84="?","Unknown site",IF(G84&lt;=0,"Check times",IF(G84&gt;12,"Over 12h",IF(COUNTIFS($L$2:$L$2001,L84)&gt;1,"Duplicate?",IF(A84&gt;TODAY(),"Future date","OK"))))))))</f>
        <v/>
      </c>
      <c r="L84">
        <f>IF(A84="","",TEXT(A84,"yyyy-mm-dd")&amp;"|"&amp;B84&amp;"|"&amp;C84)</f>
        <v/>
      </c>
    </row>
    <row r="85">
      <c r="A85" s="4" t="n"/>
      <c r="D85" s="5" t="n"/>
      <c r="E85" s="5" t="n"/>
      <c r="G85" s="6">
        <f>IF(OR(A85="",D85="",E85=""),"",ROUND(MOD(E85-D85,1)*24-N(F85)/60,2))</f>
        <v/>
      </c>
      <c r="H85" s="7">
        <f>IF(C85="","",IFERROR(INDEX(Sites!$B$2:$B$501,MATCH(C85,Sites!$A$2:$A$501,0)),"?"))</f>
        <v/>
      </c>
      <c r="I85" s="8">
        <f>IF(A85="","",A85-WEEKDAY(A85,3))</f>
        <v/>
      </c>
      <c r="K85" s="7">
        <f>IF(A85="","",IF(OR(B85="",C85="",D85="",E85=""),"Missing info",IF(ISNA(MATCH(B85,Staff!$A$2:$A$101,0)),"Unknown employee",IF(H85="?","Unknown site",IF(G85&lt;=0,"Check times",IF(G85&gt;12,"Over 12h",IF(COUNTIFS($L$2:$L$2001,L85)&gt;1,"Duplicate?",IF(A85&gt;TODAY(),"Future date","OK"))))))))</f>
        <v/>
      </c>
      <c r="L85">
        <f>IF(A85="","",TEXT(A85,"yyyy-mm-dd")&amp;"|"&amp;B85&amp;"|"&amp;C85)</f>
        <v/>
      </c>
    </row>
    <row r="86">
      <c r="A86" s="4" t="n"/>
      <c r="D86" s="5" t="n"/>
      <c r="E86" s="5" t="n"/>
      <c r="G86" s="6">
        <f>IF(OR(A86="",D86="",E86=""),"",ROUND(MOD(E86-D86,1)*24-N(F86)/60,2))</f>
        <v/>
      </c>
      <c r="H86" s="7">
        <f>IF(C86="","",IFERROR(INDEX(Sites!$B$2:$B$501,MATCH(C86,Sites!$A$2:$A$501,0)),"?"))</f>
        <v/>
      </c>
      <c r="I86" s="8">
        <f>IF(A86="","",A86-WEEKDAY(A86,3))</f>
        <v/>
      </c>
      <c r="K86" s="7">
        <f>IF(A86="","",IF(OR(B86="",C86="",D86="",E86=""),"Missing info",IF(ISNA(MATCH(B86,Staff!$A$2:$A$101,0)),"Unknown employee",IF(H86="?","Unknown site",IF(G86&lt;=0,"Check times",IF(G86&gt;12,"Over 12h",IF(COUNTIFS($L$2:$L$2001,L86)&gt;1,"Duplicate?",IF(A86&gt;TODAY(),"Future date","OK"))))))))</f>
        <v/>
      </c>
      <c r="L86">
        <f>IF(A86="","",TEXT(A86,"yyyy-mm-dd")&amp;"|"&amp;B86&amp;"|"&amp;C86)</f>
        <v/>
      </c>
    </row>
    <row r="87">
      <c r="A87" s="4" t="n"/>
      <c r="D87" s="5" t="n"/>
      <c r="E87" s="5" t="n"/>
      <c r="G87" s="6">
        <f>IF(OR(A87="",D87="",E87=""),"",ROUND(MOD(E87-D87,1)*24-N(F87)/60,2))</f>
        <v/>
      </c>
      <c r="H87" s="7">
        <f>IF(C87="","",IFERROR(INDEX(Sites!$B$2:$B$501,MATCH(C87,Sites!$A$2:$A$501,0)),"?"))</f>
        <v/>
      </c>
      <c r="I87" s="8">
        <f>IF(A87="","",A87-WEEKDAY(A87,3))</f>
        <v/>
      </c>
      <c r="K87" s="7">
        <f>IF(A87="","",IF(OR(B87="",C87="",D87="",E87=""),"Missing info",IF(ISNA(MATCH(B87,Staff!$A$2:$A$101,0)),"Unknown employee",IF(H87="?","Unknown site",IF(G87&lt;=0,"Check times",IF(G87&gt;12,"Over 12h",IF(COUNTIFS($L$2:$L$2001,L87)&gt;1,"Duplicate?",IF(A87&gt;TODAY(),"Future date","OK"))))))))</f>
        <v/>
      </c>
      <c r="L87">
        <f>IF(A87="","",TEXT(A87,"yyyy-mm-dd")&amp;"|"&amp;B87&amp;"|"&amp;C87)</f>
        <v/>
      </c>
    </row>
    <row r="88">
      <c r="A88" s="4" t="n"/>
      <c r="D88" s="5" t="n"/>
      <c r="E88" s="5" t="n"/>
      <c r="G88" s="6">
        <f>IF(OR(A88="",D88="",E88=""),"",ROUND(MOD(E88-D88,1)*24-N(F88)/60,2))</f>
        <v/>
      </c>
      <c r="H88" s="7">
        <f>IF(C88="","",IFERROR(INDEX(Sites!$B$2:$B$501,MATCH(C88,Sites!$A$2:$A$501,0)),"?"))</f>
        <v/>
      </c>
      <c r="I88" s="8">
        <f>IF(A88="","",A88-WEEKDAY(A88,3))</f>
        <v/>
      </c>
      <c r="K88" s="7">
        <f>IF(A88="","",IF(OR(B88="",C88="",D88="",E88=""),"Missing info",IF(ISNA(MATCH(B88,Staff!$A$2:$A$101,0)),"Unknown employee",IF(H88="?","Unknown site",IF(G88&lt;=0,"Check times",IF(G88&gt;12,"Over 12h",IF(COUNTIFS($L$2:$L$2001,L88)&gt;1,"Duplicate?",IF(A88&gt;TODAY(),"Future date","OK"))))))))</f>
        <v/>
      </c>
      <c r="L88">
        <f>IF(A88="","",TEXT(A88,"yyyy-mm-dd")&amp;"|"&amp;B88&amp;"|"&amp;C88)</f>
        <v/>
      </c>
    </row>
    <row r="89">
      <c r="A89" s="4" t="n"/>
      <c r="D89" s="5" t="n"/>
      <c r="E89" s="5" t="n"/>
      <c r="G89" s="6">
        <f>IF(OR(A89="",D89="",E89=""),"",ROUND(MOD(E89-D89,1)*24-N(F89)/60,2))</f>
        <v/>
      </c>
      <c r="H89" s="7">
        <f>IF(C89="","",IFERROR(INDEX(Sites!$B$2:$B$501,MATCH(C89,Sites!$A$2:$A$501,0)),"?"))</f>
        <v/>
      </c>
      <c r="I89" s="8">
        <f>IF(A89="","",A89-WEEKDAY(A89,3))</f>
        <v/>
      </c>
      <c r="K89" s="7">
        <f>IF(A89="","",IF(OR(B89="",C89="",D89="",E89=""),"Missing info",IF(ISNA(MATCH(B89,Staff!$A$2:$A$101,0)),"Unknown employee",IF(H89="?","Unknown site",IF(G89&lt;=0,"Check times",IF(G89&gt;12,"Over 12h",IF(COUNTIFS($L$2:$L$2001,L89)&gt;1,"Duplicate?",IF(A89&gt;TODAY(),"Future date","OK"))))))))</f>
        <v/>
      </c>
      <c r="L89">
        <f>IF(A89="","",TEXT(A89,"yyyy-mm-dd")&amp;"|"&amp;B89&amp;"|"&amp;C89)</f>
        <v/>
      </c>
    </row>
    <row r="90">
      <c r="A90" s="4" t="n"/>
      <c r="D90" s="5" t="n"/>
      <c r="E90" s="5" t="n"/>
      <c r="G90" s="6">
        <f>IF(OR(A90="",D90="",E90=""),"",ROUND(MOD(E90-D90,1)*24-N(F90)/60,2))</f>
        <v/>
      </c>
      <c r="H90" s="7">
        <f>IF(C90="","",IFERROR(INDEX(Sites!$B$2:$B$501,MATCH(C90,Sites!$A$2:$A$501,0)),"?"))</f>
        <v/>
      </c>
      <c r="I90" s="8">
        <f>IF(A90="","",A90-WEEKDAY(A90,3))</f>
        <v/>
      </c>
      <c r="K90" s="7">
        <f>IF(A90="","",IF(OR(B90="",C90="",D90="",E90=""),"Missing info",IF(ISNA(MATCH(B90,Staff!$A$2:$A$101,0)),"Unknown employee",IF(H90="?","Unknown site",IF(G90&lt;=0,"Check times",IF(G90&gt;12,"Over 12h",IF(COUNTIFS($L$2:$L$2001,L90)&gt;1,"Duplicate?",IF(A90&gt;TODAY(),"Future date","OK"))))))))</f>
        <v/>
      </c>
      <c r="L90">
        <f>IF(A90="","",TEXT(A90,"yyyy-mm-dd")&amp;"|"&amp;B90&amp;"|"&amp;C90)</f>
        <v/>
      </c>
    </row>
    <row r="91">
      <c r="A91" s="4" t="n"/>
      <c r="D91" s="5" t="n"/>
      <c r="E91" s="5" t="n"/>
      <c r="G91" s="6">
        <f>IF(OR(A91="",D91="",E91=""),"",ROUND(MOD(E91-D91,1)*24-N(F91)/60,2))</f>
        <v/>
      </c>
      <c r="H91" s="7">
        <f>IF(C91="","",IFERROR(INDEX(Sites!$B$2:$B$501,MATCH(C91,Sites!$A$2:$A$501,0)),"?"))</f>
        <v/>
      </c>
      <c r="I91" s="8">
        <f>IF(A91="","",A91-WEEKDAY(A91,3))</f>
        <v/>
      </c>
      <c r="K91" s="7">
        <f>IF(A91="","",IF(OR(B91="",C91="",D91="",E91=""),"Missing info",IF(ISNA(MATCH(B91,Staff!$A$2:$A$101,0)),"Unknown employee",IF(H91="?","Unknown site",IF(G91&lt;=0,"Check times",IF(G91&gt;12,"Over 12h",IF(COUNTIFS($L$2:$L$2001,L91)&gt;1,"Duplicate?",IF(A91&gt;TODAY(),"Future date","OK"))))))))</f>
        <v/>
      </c>
      <c r="L91">
        <f>IF(A91="","",TEXT(A91,"yyyy-mm-dd")&amp;"|"&amp;B91&amp;"|"&amp;C91)</f>
        <v/>
      </c>
    </row>
    <row r="92">
      <c r="A92" s="4" t="n"/>
      <c r="D92" s="5" t="n"/>
      <c r="E92" s="5" t="n"/>
      <c r="G92" s="6">
        <f>IF(OR(A92="",D92="",E92=""),"",ROUND(MOD(E92-D92,1)*24-N(F92)/60,2))</f>
        <v/>
      </c>
      <c r="H92" s="7">
        <f>IF(C92="","",IFERROR(INDEX(Sites!$B$2:$B$501,MATCH(C92,Sites!$A$2:$A$501,0)),"?"))</f>
        <v/>
      </c>
      <c r="I92" s="8">
        <f>IF(A92="","",A92-WEEKDAY(A92,3))</f>
        <v/>
      </c>
      <c r="K92" s="7">
        <f>IF(A92="","",IF(OR(B92="",C92="",D92="",E92=""),"Missing info",IF(ISNA(MATCH(B92,Staff!$A$2:$A$101,0)),"Unknown employee",IF(H92="?","Unknown site",IF(G92&lt;=0,"Check times",IF(G92&gt;12,"Over 12h",IF(COUNTIFS($L$2:$L$2001,L92)&gt;1,"Duplicate?",IF(A92&gt;TODAY(),"Future date","OK"))))))))</f>
        <v/>
      </c>
      <c r="L92">
        <f>IF(A92="","",TEXT(A92,"yyyy-mm-dd")&amp;"|"&amp;B92&amp;"|"&amp;C92)</f>
        <v/>
      </c>
    </row>
    <row r="93">
      <c r="A93" s="4" t="n"/>
      <c r="D93" s="5" t="n"/>
      <c r="E93" s="5" t="n"/>
      <c r="G93" s="6">
        <f>IF(OR(A93="",D93="",E93=""),"",ROUND(MOD(E93-D93,1)*24-N(F93)/60,2))</f>
        <v/>
      </c>
      <c r="H93" s="7">
        <f>IF(C93="","",IFERROR(INDEX(Sites!$B$2:$B$501,MATCH(C93,Sites!$A$2:$A$501,0)),"?"))</f>
        <v/>
      </c>
      <c r="I93" s="8">
        <f>IF(A93="","",A93-WEEKDAY(A93,3))</f>
        <v/>
      </c>
      <c r="K93" s="7">
        <f>IF(A93="","",IF(OR(B93="",C93="",D93="",E93=""),"Missing info",IF(ISNA(MATCH(B93,Staff!$A$2:$A$101,0)),"Unknown employee",IF(H93="?","Unknown site",IF(G93&lt;=0,"Check times",IF(G93&gt;12,"Over 12h",IF(COUNTIFS($L$2:$L$2001,L93)&gt;1,"Duplicate?",IF(A93&gt;TODAY(),"Future date","OK"))))))))</f>
        <v/>
      </c>
      <c r="L93">
        <f>IF(A93="","",TEXT(A93,"yyyy-mm-dd")&amp;"|"&amp;B93&amp;"|"&amp;C93)</f>
        <v/>
      </c>
    </row>
    <row r="94">
      <c r="A94" s="4" t="n"/>
      <c r="D94" s="5" t="n"/>
      <c r="E94" s="5" t="n"/>
      <c r="G94" s="6">
        <f>IF(OR(A94="",D94="",E94=""),"",ROUND(MOD(E94-D94,1)*24-N(F94)/60,2))</f>
        <v/>
      </c>
      <c r="H94" s="7">
        <f>IF(C94="","",IFERROR(INDEX(Sites!$B$2:$B$501,MATCH(C94,Sites!$A$2:$A$501,0)),"?"))</f>
        <v/>
      </c>
      <c r="I94" s="8">
        <f>IF(A94="","",A94-WEEKDAY(A94,3))</f>
        <v/>
      </c>
      <c r="K94" s="7">
        <f>IF(A94="","",IF(OR(B94="",C94="",D94="",E94=""),"Missing info",IF(ISNA(MATCH(B94,Staff!$A$2:$A$101,0)),"Unknown employee",IF(H94="?","Unknown site",IF(G94&lt;=0,"Check times",IF(G94&gt;12,"Over 12h",IF(COUNTIFS($L$2:$L$2001,L94)&gt;1,"Duplicate?",IF(A94&gt;TODAY(),"Future date","OK"))))))))</f>
        <v/>
      </c>
      <c r="L94">
        <f>IF(A94="","",TEXT(A94,"yyyy-mm-dd")&amp;"|"&amp;B94&amp;"|"&amp;C94)</f>
        <v/>
      </c>
    </row>
    <row r="95">
      <c r="A95" s="4" t="n"/>
      <c r="D95" s="5" t="n"/>
      <c r="E95" s="5" t="n"/>
      <c r="G95" s="6">
        <f>IF(OR(A95="",D95="",E95=""),"",ROUND(MOD(E95-D95,1)*24-N(F95)/60,2))</f>
        <v/>
      </c>
      <c r="H95" s="7">
        <f>IF(C95="","",IFERROR(INDEX(Sites!$B$2:$B$501,MATCH(C95,Sites!$A$2:$A$501,0)),"?"))</f>
        <v/>
      </c>
      <c r="I95" s="8">
        <f>IF(A95="","",A95-WEEKDAY(A95,3))</f>
        <v/>
      </c>
      <c r="K95" s="7">
        <f>IF(A95="","",IF(OR(B95="",C95="",D95="",E95=""),"Missing info",IF(ISNA(MATCH(B95,Staff!$A$2:$A$101,0)),"Unknown employee",IF(H95="?","Unknown site",IF(G95&lt;=0,"Check times",IF(G95&gt;12,"Over 12h",IF(COUNTIFS($L$2:$L$2001,L95)&gt;1,"Duplicate?",IF(A95&gt;TODAY(),"Future date","OK"))))))))</f>
        <v/>
      </c>
      <c r="L95">
        <f>IF(A95="","",TEXT(A95,"yyyy-mm-dd")&amp;"|"&amp;B95&amp;"|"&amp;C95)</f>
        <v/>
      </c>
    </row>
    <row r="96">
      <c r="A96" s="4" t="n"/>
      <c r="D96" s="5" t="n"/>
      <c r="E96" s="5" t="n"/>
      <c r="G96" s="6">
        <f>IF(OR(A96="",D96="",E96=""),"",ROUND(MOD(E96-D96,1)*24-N(F96)/60,2))</f>
        <v/>
      </c>
      <c r="H96" s="7">
        <f>IF(C96="","",IFERROR(INDEX(Sites!$B$2:$B$501,MATCH(C96,Sites!$A$2:$A$501,0)),"?"))</f>
        <v/>
      </c>
      <c r="I96" s="8">
        <f>IF(A96="","",A96-WEEKDAY(A96,3))</f>
        <v/>
      </c>
      <c r="K96" s="7">
        <f>IF(A96="","",IF(OR(B96="",C96="",D96="",E96=""),"Missing info",IF(ISNA(MATCH(B96,Staff!$A$2:$A$101,0)),"Unknown employee",IF(H96="?","Unknown site",IF(G96&lt;=0,"Check times",IF(G96&gt;12,"Over 12h",IF(COUNTIFS($L$2:$L$2001,L96)&gt;1,"Duplicate?",IF(A96&gt;TODAY(),"Future date","OK"))))))))</f>
        <v/>
      </c>
      <c r="L96">
        <f>IF(A96="","",TEXT(A96,"yyyy-mm-dd")&amp;"|"&amp;B96&amp;"|"&amp;C96)</f>
        <v/>
      </c>
    </row>
    <row r="97">
      <c r="A97" s="4" t="n"/>
      <c r="D97" s="5" t="n"/>
      <c r="E97" s="5" t="n"/>
      <c r="G97" s="6">
        <f>IF(OR(A97="",D97="",E97=""),"",ROUND(MOD(E97-D97,1)*24-N(F97)/60,2))</f>
        <v/>
      </c>
      <c r="H97" s="7">
        <f>IF(C97="","",IFERROR(INDEX(Sites!$B$2:$B$501,MATCH(C97,Sites!$A$2:$A$501,0)),"?"))</f>
        <v/>
      </c>
      <c r="I97" s="8">
        <f>IF(A97="","",A97-WEEKDAY(A97,3))</f>
        <v/>
      </c>
      <c r="K97" s="7">
        <f>IF(A97="","",IF(OR(B97="",C97="",D97="",E97=""),"Missing info",IF(ISNA(MATCH(B97,Staff!$A$2:$A$101,0)),"Unknown employee",IF(H97="?","Unknown site",IF(G97&lt;=0,"Check times",IF(G97&gt;12,"Over 12h",IF(COUNTIFS($L$2:$L$2001,L97)&gt;1,"Duplicate?",IF(A97&gt;TODAY(),"Future date","OK"))))))))</f>
        <v/>
      </c>
      <c r="L97">
        <f>IF(A97="","",TEXT(A97,"yyyy-mm-dd")&amp;"|"&amp;B97&amp;"|"&amp;C97)</f>
        <v/>
      </c>
    </row>
    <row r="98">
      <c r="A98" s="4" t="n"/>
      <c r="D98" s="5" t="n"/>
      <c r="E98" s="5" t="n"/>
      <c r="G98" s="6">
        <f>IF(OR(A98="",D98="",E98=""),"",ROUND(MOD(E98-D98,1)*24-N(F98)/60,2))</f>
        <v/>
      </c>
      <c r="H98" s="7">
        <f>IF(C98="","",IFERROR(INDEX(Sites!$B$2:$B$501,MATCH(C98,Sites!$A$2:$A$501,0)),"?"))</f>
        <v/>
      </c>
      <c r="I98" s="8">
        <f>IF(A98="","",A98-WEEKDAY(A98,3))</f>
        <v/>
      </c>
      <c r="K98" s="7">
        <f>IF(A98="","",IF(OR(B98="",C98="",D98="",E98=""),"Missing info",IF(ISNA(MATCH(B98,Staff!$A$2:$A$101,0)),"Unknown employee",IF(H98="?","Unknown site",IF(G98&lt;=0,"Check times",IF(G98&gt;12,"Over 12h",IF(COUNTIFS($L$2:$L$2001,L98)&gt;1,"Duplicate?",IF(A98&gt;TODAY(),"Future date","OK"))))))))</f>
        <v/>
      </c>
      <c r="L98">
        <f>IF(A98="","",TEXT(A98,"yyyy-mm-dd")&amp;"|"&amp;B98&amp;"|"&amp;C98)</f>
        <v/>
      </c>
    </row>
    <row r="99">
      <c r="A99" s="4" t="n"/>
      <c r="D99" s="5" t="n"/>
      <c r="E99" s="5" t="n"/>
      <c r="G99" s="6">
        <f>IF(OR(A99="",D99="",E99=""),"",ROUND(MOD(E99-D99,1)*24-N(F99)/60,2))</f>
        <v/>
      </c>
      <c r="H99" s="7">
        <f>IF(C99="","",IFERROR(INDEX(Sites!$B$2:$B$501,MATCH(C99,Sites!$A$2:$A$501,0)),"?"))</f>
        <v/>
      </c>
      <c r="I99" s="8">
        <f>IF(A99="","",A99-WEEKDAY(A99,3))</f>
        <v/>
      </c>
      <c r="K99" s="7">
        <f>IF(A99="","",IF(OR(B99="",C99="",D99="",E99=""),"Missing info",IF(ISNA(MATCH(B99,Staff!$A$2:$A$101,0)),"Unknown employee",IF(H99="?","Unknown site",IF(G99&lt;=0,"Check times",IF(G99&gt;12,"Over 12h",IF(COUNTIFS($L$2:$L$2001,L99)&gt;1,"Duplicate?",IF(A99&gt;TODAY(),"Future date","OK"))))))))</f>
        <v/>
      </c>
      <c r="L99">
        <f>IF(A99="","",TEXT(A99,"yyyy-mm-dd")&amp;"|"&amp;B99&amp;"|"&amp;C99)</f>
        <v/>
      </c>
    </row>
    <row r="100">
      <c r="A100" s="4" t="n"/>
      <c r="D100" s="5" t="n"/>
      <c r="E100" s="5" t="n"/>
      <c r="G100" s="6">
        <f>IF(OR(A100="",D100="",E100=""),"",ROUND(MOD(E100-D100,1)*24-N(F100)/60,2))</f>
        <v/>
      </c>
      <c r="H100" s="7">
        <f>IF(C100="","",IFERROR(INDEX(Sites!$B$2:$B$501,MATCH(C100,Sites!$A$2:$A$501,0)),"?"))</f>
        <v/>
      </c>
      <c r="I100" s="8">
        <f>IF(A100="","",A100-WEEKDAY(A100,3))</f>
        <v/>
      </c>
      <c r="K100" s="7">
        <f>IF(A100="","",IF(OR(B100="",C100="",D100="",E100=""),"Missing info",IF(ISNA(MATCH(B100,Staff!$A$2:$A$101,0)),"Unknown employee",IF(H100="?","Unknown site",IF(G100&lt;=0,"Check times",IF(G100&gt;12,"Over 12h",IF(COUNTIFS($L$2:$L$2001,L100)&gt;1,"Duplicate?",IF(A100&gt;TODAY(),"Future date","OK"))))))))</f>
        <v/>
      </c>
      <c r="L100">
        <f>IF(A100="","",TEXT(A100,"yyyy-mm-dd")&amp;"|"&amp;B100&amp;"|"&amp;C100)</f>
        <v/>
      </c>
    </row>
    <row r="101">
      <c r="A101" s="4" t="n"/>
      <c r="D101" s="5" t="n"/>
      <c r="E101" s="5" t="n"/>
      <c r="G101" s="6">
        <f>IF(OR(A101="",D101="",E101=""),"",ROUND(MOD(E101-D101,1)*24-N(F101)/60,2))</f>
        <v/>
      </c>
      <c r="H101" s="7">
        <f>IF(C101="","",IFERROR(INDEX(Sites!$B$2:$B$501,MATCH(C101,Sites!$A$2:$A$501,0)),"?"))</f>
        <v/>
      </c>
      <c r="I101" s="8">
        <f>IF(A101="","",A101-WEEKDAY(A101,3))</f>
        <v/>
      </c>
      <c r="K101" s="7">
        <f>IF(A101="","",IF(OR(B101="",C101="",D101="",E101=""),"Missing info",IF(ISNA(MATCH(B101,Staff!$A$2:$A$101,0)),"Unknown employee",IF(H101="?","Unknown site",IF(G101&lt;=0,"Check times",IF(G101&gt;12,"Over 12h",IF(COUNTIFS($L$2:$L$2001,L101)&gt;1,"Duplicate?",IF(A101&gt;TODAY(),"Future date","OK"))))))))</f>
        <v/>
      </c>
      <c r="L101">
        <f>IF(A101="","",TEXT(A101,"yyyy-mm-dd")&amp;"|"&amp;B101&amp;"|"&amp;C101)</f>
        <v/>
      </c>
    </row>
    <row r="102">
      <c r="A102" s="4" t="n"/>
      <c r="D102" s="5" t="n"/>
      <c r="E102" s="5" t="n"/>
      <c r="G102" s="6">
        <f>IF(OR(A102="",D102="",E102=""),"",ROUND(MOD(E102-D102,1)*24-N(F102)/60,2))</f>
        <v/>
      </c>
      <c r="H102" s="7">
        <f>IF(C102="","",IFERROR(INDEX(Sites!$B$2:$B$501,MATCH(C102,Sites!$A$2:$A$501,0)),"?"))</f>
        <v/>
      </c>
      <c r="I102" s="8">
        <f>IF(A102="","",A102-WEEKDAY(A102,3))</f>
        <v/>
      </c>
      <c r="K102" s="7">
        <f>IF(A102="","",IF(OR(B102="",C102="",D102="",E102=""),"Missing info",IF(ISNA(MATCH(B102,Staff!$A$2:$A$101,0)),"Unknown employee",IF(H102="?","Unknown site",IF(G102&lt;=0,"Check times",IF(G102&gt;12,"Over 12h",IF(COUNTIFS($L$2:$L$2001,L102)&gt;1,"Duplicate?",IF(A102&gt;TODAY(),"Future date","OK"))))))))</f>
        <v/>
      </c>
      <c r="L102">
        <f>IF(A102="","",TEXT(A102,"yyyy-mm-dd")&amp;"|"&amp;B102&amp;"|"&amp;C102)</f>
        <v/>
      </c>
    </row>
    <row r="103">
      <c r="A103" s="4" t="n"/>
      <c r="D103" s="5" t="n"/>
      <c r="E103" s="5" t="n"/>
      <c r="G103" s="6">
        <f>IF(OR(A103="",D103="",E103=""),"",ROUND(MOD(E103-D103,1)*24-N(F103)/60,2))</f>
        <v/>
      </c>
      <c r="H103" s="7">
        <f>IF(C103="","",IFERROR(INDEX(Sites!$B$2:$B$501,MATCH(C103,Sites!$A$2:$A$501,0)),"?"))</f>
        <v/>
      </c>
      <c r="I103" s="8">
        <f>IF(A103="","",A103-WEEKDAY(A103,3))</f>
        <v/>
      </c>
      <c r="K103" s="7">
        <f>IF(A103="","",IF(OR(B103="",C103="",D103="",E103=""),"Missing info",IF(ISNA(MATCH(B103,Staff!$A$2:$A$101,0)),"Unknown employee",IF(H103="?","Unknown site",IF(G103&lt;=0,"Check times",IF(G103&gt;12,"Over 12h",IF(COUNTIFS($L$2:$L$2001,L103)&gt;1,"Duplicate?",IF(A103&gt;TODAY(),"Future date","OK"))))))))</f>
        <v/>
      </c>
      <c r="L103">
        <f>IF(A103="","",TEXT(A103,"yyyy-mm-dd")&amp;"|"&amp;B103&amp;"|"&amp;C103)</f>
        <v/>
      </c>
    </row>
    <row r="104">
      <c r="A104" s="4" t="n"/>
      <c r="D104" s="5" t="n"/>
      <c r="E104" s="5" t="n"/>
      <c r="G104" s="6">
        <f>IF(OR(A104="",D104="",E104=""),"",ROUND(MOD(E104-D104,1)*24-N(F104)/60,2))</f>
        <v/>
      </c>
      <c r="H104" s="7">
        <f>IF(C104="","",IFERROR(INDEX(Sites!$B$2:$B$501,MATCH(C104,Sites!$A$2:$A$501,0)),"?"))</f>
        <v/>
      </c>
      <c r="I104" s="8">
        <f>IF(A104="","",A104-WEEKDAY(A104,3))</f>
        <v/>
      </c>
      <c r="K104" s="7">
        <f>IF(A104="","",IF(OR(B104="",C104="",D104="",E104=""),"Missing info",IF(ISNA(MATCH(B104,Staff!$A$2:$A$101,0)),"Unknown employee",IF(H104="?","Unknown site",IF(G104&lt;=0,"Check times",IF(G104&gt;12,"Over 12h",IF(COUNTIFS($L$2:$L$2001,L104)&gt;1,"Duplicate?",IF(A104&gt;TODAY(),"Future date","OK"))))))))</f>
        <v/>
      </c>
      <c r="L104">
        <f>IF(A104="","",TEXT(A104,"yyyy-mm-dd")&amp;"|"&amp;B104&amp;"|"&amp;C104)</f>
        <v/>
      </c>
    </row>
    <row r="105">
      <c r="A105" s="4" t="n"/>
      <c r="D105" s="5" t="n"/>
      <c r="E105" s="5" t="n"/>
      <c r="G105" s="6">
        <f>IF(OR(A105="",D105="",E105=""),"",ROUND(MOD(E105-D105,1)*24-N(F105)/60,2))</f>
        <v/>
      </c>
      <c r="H105" s="7">
        <f>IF(C105="","",IFERROR(INDEX(Sites!$B$2:$B$501,MATCH(C105,Sites!$A$2:$A$501,0)),"?"))</f>
        <v/>
      </c>
      <c r="I105" s="8">
        <f>IF(A105="","",A105-WEEKDAY(A105,3))</f>
        <v/>
      </c>
      <c r="K105" s="7">
        <f>IF(A105="","",IF(OR(B105="",C105="",D105="",E105=""),"Missing info",IF(ISNA(MATCH(B105,Staff!$A$2:$A$101,0)),"Unknown employee",IF(H105="?","Unknown site",IF(G105&lt;=0,"Check times",IF(G105&gt;12,"Over 12h",IF(COUNTIFS($L$2:$L$2001,L105)&gt;1,"Duplicate?",IF(A105&gt;TODAY(),"Future date","OK"))))))))</f>
        <v/>
      </c>
      <c r="L105">
        <f>IF(A105="","",TEXT(A105,"yyyy-mm-dd")&amp;"|"&amp;B105&amp;"|"&amp;C105)</f>
        <v/>
      </c>
    </row>
    <row r="106">
      <c r="A106" s="4" t="n"/>
      <c r="D106" s="5" t="n"/>
      <c r="E106" s="5" t="n"/>
      <c r="G106" s="6">
        <f>IF(OR(A106="",D106="",E106=""),"",ROUND(MOD(E106-D106,1)*24-N(F106)/60,2))</f>
        <v/>
      </c>
      <c r="H106" s="7">
        <f>IF(C106="","",IFERROR(INDEX(Sites!$B$2:$B$501,MATCH(C106,Sites!$A$2:$A$501,0)),"?"))</f>
        <v/>
      </c>
      <c r="I106" s="8">
        <f>IF(A106="","",A106-WEEKDAY(A106,3))</f>
        <v/>
      </c>
      <c r="K106" s="7">
        <f>IF(A106="","",IF(OR(B106="",C106="",D106="",E106=""),"Missing info",IF(ISNA(MATCH(B106,Staff!$A$2:$A$101,0)),"Unknown employee",IF(H106="?","Unknown site",IF(G106&lt;=0,"Check times",IF(G106&gt;12,"Over 12h",IF(COUNTIFS($L$2:$L$2001,L106)&gt;1,"Duplicate?",IF(A106&gt;TODAY(),"Future date","OK"))))))))</f>
        <v/>
      </c>
      <c r="L106">
        <f>IF(A106="","",TEXT(A106,"yyyy-mm-dd")&amp;"|"&amp;B106&amp;"|"&amp;C106)</f>
        <v/>
      </c>
    </row>
    <row r="107">
      <c r="A107" s="4" t="n"/>
      <c r="D107" s="5" t="n"/>
      <c r="E107" s="5" t="n"/>
      <c r="G107" s="6">
        <f>IF(OR(A107="",D107="",E107=""),"",ROUND(MOD(E107-D107,1)*24-N(F107)/60,2))</f>
        <v/>
      </c>
      <c r="H107" s="7">
        <f>IF(C107="","",IFERROR(INDEX(Sites!$B$2:$B$501,MATCH(C107,Sites!$A$2:$A$501,0)),"?"))</f>
        <v/>
      </c>
      <c r="I107" s="8">
        <f>IF(A107="","",A107-WEEKDAY(A107,3))</f>
        <v/>
      </c>
      <c r="K107" s="7">
        <f>IF(A107="","",IF(OR(B107="",C107="",D107="",E107=""),"Missing info",IF(ISNA(MATCH(B107,Staff!$A$2:$A$101,0)),"Unknown employee",IF(H107="?","Unknown site",IF(G107&lt;=0,"Check times",IF(G107&gt;12,"Over 12h",IF(COUNTIFS($L$2:$L$2001,L107)&gt;1,"Duplicate?",IF(A107&gt;TODAY(),"Future date","OK"))))))))</f>
        <v/>
      </c>
      <c r="L107">
        <f>IF(A107="","",TEXT(A107,"yyyy-mm-dd")&amp;"|"&amp;B107&amp;"|"&amp;C107)</f>
        <v/>
      </c>
    </row>
    <row r="108">
      <c r="A108" s="4" t="n"/>
      <c r="D108" s="5" t="n"/>
      <c r="E108" s="5" t="n"/>
      <c r="G108" s="6">
        <f>IF(OR(A108="",D108="",E108=""),"",ROUND(MOD(E108-D108,1)*24-N(F108)/60,2))</f>
        <v/>
      </c>
      <c r="H108" s="7">
        <f>IF(C108="","",IFERROR(INDEX(Sites!$B$2:$B$501,MATCH(C108,Sites!$A$2:$A$501,0)),"?"))</f>
        <v/>
      </c>
      <c r="I108" s="8">
        <f>IF(A108="","",A108-WEEKDAY(A108,3))</f>
        <v/>
      </c>
      <c r="K108" s="7">
        <f>IF(A108="","",IF(OR(B108="",C108="",D108="",E108=""),"Missing info",IF(ISNA(MATCH(B108,Staff!$A$2:$A$101,0)),"Unknown employee",IF(H108="?","Unknown site",IF(G108&lt;=0,"Check times",IF(G108&gt;12,"Over 12h",IF(COUNTIFS($L$2:$L$2001,L108)&gt;1,"Duplicate?",IF(A108&gt;TODAY(),"Future date","OK"))))))))</f>
        <v/>
      </c>
      <c r="L108">
        <f>IF(A108="","",TEXT(A108,"yyyy-mm-dd")&amp;"|"&amp;B108&amp;"|"&amp;C108)</f>
        <v/>
      </c>
    </row>
    <row r="109">
      <c r="A109" s="4" t="n"/>
      <c r="D109" s="5" t="n"/>
      <c r="E109" s="5" t="n"/>
      <c r="G109" s="6">
        <f>IF(OR(A109="",D109="",E109=""),"",ROUND(MOD(E109-D109,1)*24-N(F109)/60,2))</f>
        <v/>
      </c>
      <c r="H109" s="7">
        <f>IF(C109="","",IFERROR(INDEX(Sites!$B$2:$B$501,MATCH(C109,Sites!$A$2:$A$501,0)),"?"))</f>
        <v/>
      </c>
      <c r="I109" s="8">
        <f>IF(A109="","",A109-WEEKDAY(A109,3))</f>
        <v/>
      </c>
      <c r="K109" s="7">
        <f>IF(A109="","",IF(OR(B109="",C109="",D109="",E109=""),"Missing info",IF(ISNA(MATCH(B109,Staff!$A$2:$A$101,0)),"Unknown employee",IF(H109="?","Unknown site",IF(G109&lt;=0,"Check times",IF(G109&gt;12,"Over 12h",IF(COUNTIFS($L$2:$L$2001,L109)&gt;1,"Duplicate?",IF(A109&gt;TODAY(),"Future date","OK"))))))))</f>
        <v/>
      </c>
      <c r="L109">
        <f>IF(A109="","",TEXT(A109,"yyyy-mm-dd")&amp;"|"&amp;B109&amp;"|"&amp;C109)</f>
        <v/>
      </c>
    </row>
    <row r="110">
      <c r="A110" s="4" t="n"/>
      <c r="D110" s="5" t="n"/>
      <c r="E110" s="5" t="n"/>
      <c r="G110" s="6">
        <f>IF(OR(A110="",D110="",E110=""),"",ROUND(MOD(E110-D110,1)*24-N(F110)/60,2))</f>
        <v/>
      </c>
      <c r="H110" s="7">
        <f>IF(C110="","",IFERROR(INDEX(Sites!$B$2:$B$501,MATCH(C110,Sites!$A$2:$A$501,0)),"?"))</f>
        <v/>
      </c>
      <c r="I110" s="8">
        <f>IF(A110="","",A110-WEEKDAY(A110,3))</f>
        <v/>
      </c>
      <c r="K110" s="7">
        <f>IF(A110="","",IF(OR(B110="",C110="",D110="",E110=""),"Missing info",IF(ISNA(MATCH(B110,Staff!$A$2:$A$101,0)),"Unknown employee",IF(H110="?","Unknown site",IF(G110&lt;=0,"Check times",IF(G110&gt;12,"Over 12h",IF(COUNTIFS($L$2:$L$2001,L110)&gt;1,"Duplicate?",IF(A110&gt;TODAY(),"Future date","OK"))))))))</f>
        <v/>
      </c>
      <c r="L110">
        <f>IF(A110="","",TEXT(A110,"yyyy-mm-dd")&amp;"|"&amp;B110&amp;"|"&amp;C110)</f>
        <v/>
      </c>
    </row>
    <row r="111">
      <c r="A111" s="4" t="n"/>
      <c r="D111" s="5" t="n"/>
      <c r="E111" s="5" t="n"/>
      <c r="G111" s="6">
        <f>IF(OR(A111="",D111="",E111=""),"",ROUND(MOD(E111-D111,1)*24-N(F111)/60,2))</f>
        <v/>
      </c>
      <c r="H111" s="7">
        <f>IF(C111="","",IFERROR(INDEX(Sites!$B$2:$B$501,MATCH(C111,Sites!$A$2:$A$501,0)),"?"))</f>
        <v/>
      </c>
      <c r="I111" s="8">
        <f>IF(A111="","",A111-WEEKDAY(A111,3))</f>
        <v/>
      </c>
      <c r="K111" s="7">
        <f>IF(A111="","",IF(OR(B111="",C111="",D111="",E111=""),"Missing info",IF(ISNA(MATCH(B111,Staff!$A$2:$A$101,0)),"Unknown employee",IF(H111="?","Unknown site",IF(G111&lt;=0,"Check times",IF(G111&gt;12,"Over 12h",IF(COUNTIFS($L$2:$L$2001,L111)&gt;1,"Duplicate?",IF(A111&gt;TODAY(),"Future date","OK"))))))))</f>
        <v/>
      </c>
      <c r="L111">
        <f>IF(A111="","",TEXT(A111,"yyyy-mm-dd")&amp;"|"&amp;B111&amp;"|"&amp;C111)</f>
        <v/>
      </c>
    </row>
    <row r="112">
      <c r="A112" s="4" t="n"/>
      <c r="D112" s="5" t="n"/>
      <c r="E112" s="5" t="n"/>
      <c r="G112" s="6">
        <f>IF(OR(A112="",D112="",E112=""),"",ROUND(MOD(E112-D112,1)*24-N(F112)/60,2))</f>
        <v/>
      </c>
      <c r="H112" s="7">
        <f>IF(C112="","",IFERROR(INDEX(Sites!$B$2:$B$501,MATCH(C112,Sites!$A$2:$A$501,0)),"?"))</f>
        <v/>
      </c>
      <c r="I112" s="8">
        <f>IF(A112="","",A112-WEEKDAY(A112,3))</f>
        <v/>
      </c>
      <c r="K112" s="7">
        <f>IF(A112="","",IF(OR(B112="",C112="",D112="",E112=""),"Missing info",IF(ISNA(MATCH(B112,Staff!$A$2:$A$101,0)),"Unknown employee",IF(H112="?","Unknown site",IF(G112&lt;=0,"Check times",IF(G112&gt;12,"Over 12h",IF(COUNTIFS($L$2:$L$2001,L112)&gt;1,"Duplicate?",IF(A112&gt;TODAY(),"Future date","OK"))))))))</f>
        <v/>
      </c>
      <c r="L112">
        <f>IF(A112="","",TEXT(A112,"yyyy-mm-dd")&amp;"|"&amp;B112&amp;"|"&amp;C112)</f>
        <v/>
      </c>
    </row>
    <row r="113">
      <c r="A113" s="4" t="n"/>
      <c r="D113" s="5" t="n"/>
      <c r="E113" s="5" t="n"/>
      <c r="G113" s="6">
        <f>IF(OR(A113="",D113="",E113=""),"",ROUND(MOD(E113-D113,1)*24-N(F113)/60,2))</f>
        <v/>
      </c>
      <c r="H113" s="7">
        <f>IF(C113="","",IFERROR(INDEX(Sites!$B$2:$B$501,MATCH(C113,Sites!$A$2:$A$501,0)),"?"))</f>
        <v/>
      </c>
      <c r="I113" s="8">
        <f>IF(A113="","",A113-WEEKDAY(A113,3))</f>
        <v/>
      </c>
      <c r="K113" s="7">
        <f>IF(A113="","",IF(OR(B113="",C113="",D113="",E113=""),"Missing info",IF(ISNA(MATCH(B113,Staff!$A$2:$A$101,0)),"Unknown employee",IF(H113="?","Unknown site",IF(G113&lt;=0,"Check times",IF(G113&gt;12,"Over 12h",IF(COUNTIFS($L$2:$L$2001,L113)&gt;1,"Duplicate?",IF(A113&gt;TODAY(),"Future date","OK"))))))))</f>
        <v/>
      </c>
      <c r="L113">
        <f>IF(A113="","",TEXT(A113,"yyyy-mm-dd")&amp;"|"&amp;B113&amp;"|"&amp;C113)</f>
        <v/>
      </c>
    </row>
    <row r="114">
      <c r="A114" s="4" t="n"/>
      <c r="D114" s="5" t="n"/>
      <c r="E114" s="5" t="n"/>
      <c r="G114" s="6">
        <f>IF(OR(A114="",D114="",E114=""),"",ROUND(MOD(E114-D114,1)*24-N(F114)/60,2))</f>
        <v/>
      </c>
      <c r="H114" s="7">
        <f>IF(C114="","",IFERROR(INDEX(Sites!$B$2:$B$501,MATCH(C114,Sites!$A$2:$A$501,0)),"?"))</f>
        <v/>
      </c>
      <c r="I114" s="8">
        <f>IF(A114="","",A114-WEEKDAY(A114,3))</f>
        <v/>
      </c>
      <c r="K114" s="7">
        <f>IF(A114="","",IF(OR(B114="",C114="",D114="",E114=""),"Missing info",IF(ISNA(MATCH(B114,Staff!$A$2:$A$101,0)),"Unknown employee",IF(H114="?","Unknown site",IF(G114&lt;=0,"Check times",IF(G114&gt;12,"Over 12h",IF(COUNTIFS($L$2:$L$2001,L114)&gt;1,"Duplicate?",IF(A114&gt;TODAY(),"Future date","OK"))))))))</f>
        <v/>
      </c>
      <c r="L114">
        <f>IF(A114="","",TEXT(A114,"yyyy-mm-dd")&amp;"|"&amp;B114&amp;"|"&amp;C114)</f>
        <v/>
      </c>
    </row>
    <row r="115">
      <c r="A115" s="4" t="n"/>
      <c r="D115" s="5" t="n"/>
      <c r="E115" s="5" t="n"/>
      <c r="G115" s="6">
        <f>IF(OR(A115="",D115="",E115=""),"",ROUND(MOD(E115-D115,1)*24-N(F115)/60,2))</f>
        <v/>
      </c>
      <c r="H115" s="7">
        <f>IF(C115="","",IFERROR(INDEX(Sites!$B$2:$B$501,MATCH(C115,Sites!$A$2:$A$501,0)),"?"))</f>
        <v/>
      </c>
      <c r="I115" s="8">
        <f>IF(A115="","",A115-WEEKDAY(A115,3))</f>
        <v/>
      </c>
      <c r="K115" s="7">
        <f>IF(A115="","",IF(OR(B115="",C115="",D115="",E115=""),"Missing info",IF(ISNA(MATCH(B115,Staff!$A$2:$A$101,0)),"Unknown employee",IF(H115="?","Unknown site",IF(G115&lt;=0,"Check times",IF(G115&gt;12,"Over 12h",IF(COUNTIFS($L$2:$L$2001,L115)&gt;1,"Duplicate?",IF(A115&gt;TODAY(),"Future date","OK"))))))))</f>
        <v/>
      </c>
      <c r="L115">
        <f>IF(A115="","",TEXT(A115,"yyyy-mm-dd")&amp;"|"&amp;B115&amp;"|"&amp;C115)</f>
        <v/>
      </c>
    </row>
    <row r="116">
      <c r="A116" s="4" t="n"/>
      <c r="D116" s="5" t="n"/>
      <c r="E116" s="5" t="n"/>
      <c r="G116" s="6">
        <f>IF(OR(A116="",D116="",E116=""),"",ROUND(MOD(E116-D116,1)*24-N(F116)/60,2))</f>
        <v/>
      </c>
      <c r="H116" s="7">
        <f>IF(C116="","",IFERROR(INDEX(Sites!$B$2:$B$501,MATCH(C116,Sites!$A$2:$A$501,0)),"?"))</f>
        <v/>
      </c>
      <c r="I116" s="8">
        <f>IF(A116="","",A116-WEEKDAY(A116,3))</f>
        <v/>
      </c>
      <c r="K116" s="7">
        <f>IF(A116="","",IF(OR(B116="",C116="",D116="",E116=""),"Missing info",IF(ISNA(MATCH(B116,Staff!$A$2:$A$101,0)),"Unknown employee",IF(H116="?","Unknown site",IF(G116&lt;=0,"Check times",IF(G116&gt;12,"Over 12h",IF(COUNTIFS($L$2:$L$2001,L116)&gt;1,"Duplicate?",IF(A116&gt;TODAY(),"Future date","OK"))))))))</f>
        <v/>
      </c>
      <c r="L116">
        <f>IF(A116="","",TEXT(A116,"yyyy-mm-dd")&amp;"|"&amp;B116&amp;"|"&amp;C116)</f>
        <v/>
      </c>
    </row>
    <row r="117">
      <c r="A117" s="4" t="n"/>
      <c r="D117" s="5" t="n"/>
      <c r="E117" s="5" t="n"/>
      <c r="G117" s="6">
        <f>IF(OR(A117="",D117="",E117=""),"",ROUND(MOD(E117-D117,1)*24-N(F117)/60,2))</f>
        <v/>
      </c>
      <c r="H117" s="7">
        <f>IF(C117="","",IFERROR(INDEX(Sites!$B$2:$B$501,MATCH(C117,Sites!$A$2:$A$501,0)),"?"))</f>
        <v/>
      </c>
      <c r="I117" s="8">
        <f>IF(A117="","",A117-WEEKDAY(A117,3))</f>
        <v/>
      </c>
      <c r="K117" s="7">
        <f>IF(A117="","",IF(OR(B117="",C117="",D117="",E117=""),"Missing info",IF(ISNA(MATCH(B117,Staff!$A$2:$A$101,0)),"Unknown employee",IF(H117="?","Unknown site",IF(G117&lt;=0,"Check times",IF(G117&gt;12,"Over 12h",IF(COUNTIFS($L$2:$L$2001,L117)&gt;1,"Duplicate?",IF(A117&gt;TODAY(),"Future date","OK"))))))))</f>
        <v/>
      </c>
      <c r="L117">
        <f>IF(A117="","",TEXT(A117,"yyyy-mm-dd")&amp;"|"&amp;B117&amp;"|"&amp;C117)</f>
        <v/>
      </c>
    </row>
    <row r="118">
      <c r="A118" s="4" t="n"/>
      <c r="D118" s="5" t="n"/>
      <c r="E118" s="5" t="n"/>
      <c r="G118" s="6">
        <f>IF(OR(A118="",D118="",E118=""),"",ROUND(MOD(E118-D118,1)*24-N(F118)/60,2))</f>
        <v/>
      </c>
      <c r="H118" s="7">
        <f>IF(C118="","",IFERROR(INDEX(Sites!$B$2:$B$501,MATCH(C118,Sites!$A$2:$A$501,0)),"?"))</f>
        <v/>
      </c>
      <c r="I118" s="8">
        <f>IF(A118="","",A118-WEEKDAY(A118,3))</f>
        <v/>
      </c>
      <c r="K118" s="7">
        <f>IF(A118="","",IF(OR(B118="",C118="",D118="",E118=""),"Missing info",IF(ISNA(MATCH(B118,Staff!$A$2:$A$101,0)),"Unknown employee",IF(H118="?","Unknown site",IF(G118&lt;=0,"Check times",IF(G118&gt;12,"Over 12h",IF(COUNTIFS($L$2:$L$2001,L118)&gt;1,"Duplicate?",IF(A118&gt;TODAY(),"Future date","OK"))))))))</f>
        <v/>
      </c>
      <c r="L118">
        <f>IF(A118="","",TEXT(A118,"yyyy-mm-dd")&amp;"|"&amp;B118&amp;"|"&amp;C118)</f>
        <v/>
      </c>
    </row>
    <row r="119">
      <c r="A119" s="4" t="n"/>
      <c r="D119" s="5" t="n"/>
      <c r="E119" s="5" t="n"/>
      <c r="G119" s="6">
        <f>IF(OR(A119="",D119="",E119=""),"",ROUND(MOD(E119-D119,1)*24-N(F119)/60,2))</f>
        <v/>
      </c>
      <c r="H119" s="7">
        <f>IF(C119="","",IFERROR(INDEX(Sites!$B$2:$B$501,MATCH(C119,Sites!$A$2:$A$501,0)),"?"))</f>
        <v/>
      </c>
      <c r="I119" s="8">
        <f>IF(A119="","",A119-WEEKDAY(A119,3))</f>
        <v/>
      </c>
      <c r="K119" s="7">
        <f>IF(A119="","",IF(OR(B119="",C119="",D119="",E119=""),"Missing info",IF(ISNA(MATCH(B119,Staff!$A$2:$A$101,0)),"Unknown employee",IF(H119="?","Unknown site",IF(G119&lt;=0,"Check times",IF(G119&gt;12,"Over 12h",IF(COUNTIFS($L$2:$L$2001,L119)&gt;1,"Duplicate?",IF(A119&gt;TODAY(),"Future date","OK"))))))))</f>
        <v/>
      </c>
      <c r="L119">
        <f>IF(A119="","",TEXT(A119,"yyyy-mm-dd")&amp;"|"&amp;B119&amp;"|"&amp;C119)</f>
        <v/>
      </c>
    </row>
    <row r="120">
      <c r="A120" s="4" t="n"/>
      <c r="D120" s="5" t="n"/>
      <c r="E120" s="5" t="n"/>
      <c r="G120" s="6">
        <f>IF(OR(A120="",D120="",E120=""),"",ROUND(MOD(E120-D120,1)*24-N(F120)/60,2))</f>
        <v/>
      </c>
      <c r="H120" s="7">
        <f>IF(C120="","",IFERROR(INDEX(Sites!$B$2:$B$501,MATCH(C120,Sites!$A$2:$A$501,0)),"?"))</f>
        <v/>
      </c>
      <c r="I120" s="8">
        <f>IF(A120="","",A120-WEEKDAY(A120,3))</f>
        <v/>
      </c>
      <c r="K120" s="7">
        <f>IF(A120="","",IF(OR(B120="",C120="",D120="",E120=""),"Missing info",IF(ISNA(MATCH(B120,Staff!$A$2:$A$101,0)),"Unknown employee",IF(H120="?","Unknown site",IF(G120&lt;=0,"Check times",IF(G120&gt;12,"Over 12h",IF(COUNTIFS($L$2:$L$2001,L120)&gt;1,"Duplicate?",IF(A120&gt;TODAY(),"Future date","OK"))))))))</f>
        <v/>
      </c>
      <c r="L120">
        <f>IF(A120="","",TEXT(A120,"yyyy-mm-dd")&amp;"|"&amp;B120&amp;"|"&amp;C120)</f>
        <v/>
      </c>
    </row>
    <row r="121">
      <c r="A121" s="4" t="n"/>
      <c r="D121" s="5" t="n"/>
      <c r="E121" s="5" t="n"/>
      <c r="G121" s="6">
        <f>IF(OR(A121="",D121="",E121=""),"",ROUND(MOD(E121-D121,1)*24-N(F121)/60,2))</f>
        <v/>
      </c>
      <c r="H121" s="7">
        <f>IF(C121="","",IFERROR(INDEX(Sites!$B$2:$B$501,MATCH(C121,Sites!$A$2:$A$501,0)),"?"))</f>
        <v/>
      </c>
      <c r="I121" s="8">
        <f>IF(A121="","",A121-WEEKDAY(A121,3))</f>
        <v/>
      </c>
      <c r="K121" s="7">
        <f>IF(A121="","",IF(OR(B121="",C121="",D121="",E121=""),"Missing info",IF(ISNA(MATCH(B121,Staff!$A$2:$A$101,0)),"Unknown employee",IF(H121="?","Unknown site",IF(G121&lt;=0,"Check times",IF(G121&gt;12,"Over 12h",IF(COUNTIFS($L$2:$L$2001,L121)&gt;1,"Duplicate?",IF(A121&gt;TODAY(),"Future date","OK"))))))))</f>
        <v/>
      </c>
      <c r="L121">
        <f>IF(A121="","",TEXT(A121,"yyyy-mm-dd")&amp;"|"&amp;B121&amp;"|"&amp;C121)</f>
        <v/>
      </c>
    </row>
    <row r="122">
      <c r="A122" s="4" t="n"/>
      <c r="D122" s="5" t="n"/>
      <c r="E122" s="5" t="n"/>
      <c r="G122" s="6">
        <f>IF(OR(A122="",D122="",E122=""),"",ROUND(MOD(E122-D122,1)*24-N(F122)/60,2))</f>
        <v/>
      </c>
      <c r="H122" s="7">
        <f>IF(C122="","",IFERROR(INDEX(Sites!$B$2:$B$501,MATCH(C122,Sites!$A$2:$A$501,0)),"?"))</f>
        <v/>
      </c>
      <c r="I122" s="8">
        <f>IF(A122="","",A122-WEEKDAY(A122,3))</f>
        <v/>
      </c>
      <c r="K122" s="7">
        <f>IF(A122="","",IF(OR(B122="",C122="",D122="",E122=""),"Missing info",IF(ISNA(MATCH(B122,Staff!$A$2:$A$101,0)),"Unknown employee",IF(H122="?","Unknown site",IF(G122&lt;=0,"Check times",IF(G122&gt;12,"Over 12h",IF(COUNTIFS($L$2:$L$2001,L122)&gt;1,"Duplicate?",IF(A122&gt;TODAY(),"Future date","OK"))))))))</f>
        <v/>
      </c>
      <c r="L122">
        <f>IF(A122="","",TEXT(A122,"yyyy-mm-dd")&amp;"|"&amp;B122&amp;"|"&amp;C122)</f>
        <v/>
      </c>
    </row>
    <row r="123">
      <c r="A123" s="4" t="n"/>
      <c r="D123" s="5" t="n"/>
      <c r="E123" s="5" t="n"/>
      <c r="G123" s="6">
        <f>IF(OR(A123="",D123="",E123=""),"",ROUND(MOD(E123-D123,1)*24-N(F123)/60,2))</f>
        <v/>
      </c>
      <c r="H123" s="7">
        <f>IF(C123="","",IFERROR(INDEX(Sites!$B$2:$B$501,MATCH(C123,Sites!$A$2:$A$501,0)),"?"))</f>
        <v/>
      </c>
      <c r="I123" s="8">
        <f>IF(A123="","",A123-WEEKDAY(A123,3))</f>
        <v/>
      </c>
      <c r="K123" s="7">
        <f>IF(A123="","",IF(OR(B123="",C123="",D123="",E123=""),"Missing info",IF(ISNA(MATCH(B123,Staff!$A$2:$A$101,0)),"Unknown employee",IF(H123="?","Unknown site",IF(G123&lt;=0,"Check times",IF(G123&gt;12,"Over 12h",IF(COUNTIFS($L$2:$L$2001,L123)&gt;1,"Duplicate?",IF(A123&gt;TODAY(),"Future date","OK"))))))))</f>
        <v/>
      </c>
      <c r="L123">
        <f>IF(A123="","",TEXT(A123,"yyyy-mm-dd")&amp;"|"&amp;B123&amp;"|"&amp;C123)</f>
        <v/>
      </c>
    </row>
    <row r="124">
      <c r="A124" s="4" t="n"/>
      <c r="D124" s="5" t="n"/>
      <c r="E124" s="5" t="n"/>
      <c r="G124" s="6">
        <f>IF(OR(A124="",D124="",E124=""),"",ROUND(MOD(E124-D124,1)*24-N(F124)/60,2))</f>
        <v/>
      </c>
      <c r="H124" s="7">
        <f>IF(C124="","",IFERROR(INDEX(Sites!$B$2:$B$501,MATCH(C124,Sites!$A$2:$A$501,0)),"?"))</f>
        <v/>
      </c>
      <c r="I124" s="8">
        <f>IF(A124="","",A124-WEEKDAY(A124,3))</f>
        <v/>
      </c>
      <c r="K124" s="7">
        <f>IF(A124="","",IF(OR(B124="",C124="",D124="",E124=""),"Missing info",IF(ISNA(MATCH(B124,Staff!$A$2:$A$101,0)),"Unknown employee",IF(H124="?","Unknown site",IF(G124&lt;=0,"Check times",IF(G124&gt;12,"Over 12h",IF(COUNTIFS($L$2:$L$2001,L124)&gt;1,"Duplicate?",IF(A124&gt;TODAY(),"Future date","OK"))))))))</f>
        <v/>
      </c>
      <c r="L124">
        <f>IF(A124="","",TEXT(A124,"yyyy-mm-dd")&amp;"|"&amp;B124&amp;"|"&amp;C124)</f>
        <v/>
      </c>
    </row>
    <row r="125">
      <c r="A125" s="4" t="n"/>
      <c r="D125" s="5" t="n"/>
      <c r="E125" s="5" t="n"/>
      <c r="G125" s="6">
        <f>IF(OR(A125="",D125="",E125=""),"",ROUND(MOD(E125-D125,1)*24-N(F125)/60,2))</f>
        <v/>
      </c>
      <c r="H125" s="7">
        <f>IF(C125="","",IFERROR(INDEX(Sites!$B$2:$B$501,MATCH(C125,Sites!$A$2:$A$501,0)),"?"))</f>
        <v/>
      </c>
      <c r="I125" s="8">
        <f>IF(A125="","",A125-WEEKDAY(A125,3))</f>
        <v/>
      </c>
      <c r="K125" s="7">
        <f>IF(A125="","",IF(OR(B125="",C125="",D125="",E125=""),"Missing info",IF(ISNA(MATCH(B125,Staff!$A$2:$A$101,0)),"Unknown employee",IF(H125="?","Unknown site",IF(G125&lt;=0,"Check times",IF(G125&gt;12,"Over 12h",IF(COUNTIFS($L$2:$L$2001,L125)&gt;1,"Duplicate?",IF(A125&gt;TODAY(),"Future date","OK"))))))))</f>
        <v/>
      </c>
      <c r="L125">
        <f>IF(A125="","",TEXT(A125,"yyyy-mm-dd")&amp;"|"&amp;B125&amp;"|"&amp;C125)</f>
        <v/>
      </c>
    </row>
    <row r="126">
      <c r="A126" s="4" t="n"/>
      <c r="D126" s="5" t="n"/>
      <c r="E126" s="5" t="n"/>
      <c r="G126" s="6">
        <f>IF(OR(A126="",D126="",E126=""),"",ROUND(MOD(E126-D126,1)*24-N(F126)/60,2))</f>
        <v/>
      </c>
      <c r="H126" s="7">
        <f>IF(C126="","",IFERROR(INDEX(Sites!$B$2:$B$501,MATCH(C126,Sites!$A$2:$A$501,0)),"?"))</f>
        <v/>
      </c>
      <c r="I126" s="8">
        <f>IF(A126="","",A126-WEEKDAY(A126,3))</f>
        <v/>
      </c>
      <c r="K126" s="7">
        <f>IF(A126="","",IF(OR(B126="",C126="",D126="",E126=""),"Missing info",IF(ISNA(MATCH(B126,Staff!$A$2:$A$101,0)),"Unknown employee",IF(H126="?","Unknown site",IF(G126&lt;=0,"Check times",IF(G126&gt;12,"Over 12h",IF(COUNTIFS($L$2:$L$2001,L126)&gt;1,"Duplicate?",IF(A126&gt;TODAY(),"Future date","OK"))))))))</f>
        <v/>
      </c>
      <c r="L126">
        <f>IF(A126="","",TEXT(A126,"yyyy-mm-dd")&amp;"|"&amp;B126&amp;"|"&amp;C126)</f>
        <v/>
      </c>
    </row>
    <row r="127">
      <c r="A127" s="4" t="n"/>
      <c r="D127" s="5" t="n"/>
      <c r="E127" s="5" t="n"/>
      <c r="G127" s="6">
        <f>IF(OR(A127="",D127="",E127=""),"",ROUND(MOD(E127-D127,1)*24-N(F127)/60,2))</f>
        <v/>
      </c>
      <c r="H127" s="7">
        <f>IF(C127="","",IFERROR(INDEX(Sites!$B$2:$B$501,MATCH(C127,Sites!$A$2:$A$501,0)),"?"))</f>
        <v/>
      </c>
      <c r="I127" s="8">
        <f>IF(A127="","",A127-WEEKDAY(A127,3))</f>
        <v/>
      </c>
      <c r="K127" s="7">
        <f>IF(A127="","",IF(OR(B127="",C127="",D127="",E127=""),"Missing info",IF(ISNA(MATCH(B127,Staff!$A$2:$A$101,0)),"Unknown employee",IF(H127="?","Unknown site",IF(G127&lt;=0,"Check times",IF(G127&gt;12,"Over 12h",IF(COUNTIFS($L$2:$L$2001,L127)&gt;1,"Duplicate?",IF(A127&gt;TODAY(),"Future date","OK"))))))))</f>
        <v/>
      </c>
      <c r="L127">
        <f>IF(A127="","",TEXT(A127,"yyyy-mm-dd")&amp;"|"&amp;B127&amp;"|"&amp;C127)</f>
        <v/>
      </c>
    </row>
    <row r="128">
      <c r="A128" s="4" t="n"/>
      <c r="D128" s="5" t="n"/>
      <c r="E128" s="5" t="n"/>
      <c r="G128" s="6">
        <f>IF(OR(A128="",D128="",E128=""),"",ROUND(MOD(E128-D128,1)*24-N(F128)/60,2))</f>
        <v/>
      </c>
      <c r="H128" s="7">
        <f>IF(C128="","",IFERROR(INDEX(Sites!$B$2:$B$501,MATCH(C128,Sites!$A$2:$A$501,0)),"?"))</f>
        <v/>
      </c>
      <c r="I128" s="8">
        <f>IF(A128="","",A128-WEEKDAY(A128,3))</f>
        <v/>
      </c>
      <c r="K128" s="7">
        <f>IF(A128="","",IF(OR(B128="",C128="",D128="",E128=""),"Missing info",IF(ISNA(MATCH(B128,Staff!$A$2:$A$101,0)),"Unknown employee",IF(H128="?","Unknown site",IF(G128&lt;=0,"Check times",IF(G128&gt;12,"Over 12h",IF(COUNTIFS($L$2:$L$2001,L128)&gt;1,"Duplicate?",IF(A128&gt;TODAY(),"Future date","OK"))))))))</f>
        <v/>
      </c>
      <c r="L128">
        <f>IF(A128="","",TEXT(A128,"yyyy-mm-dd")&amp;"|"&amp;B128&amp;"|"&amp;C128)</f>
        <v/>
      </c>
    </row>
    <row r="129">
      <c r="A129" s="4" t="n"/>
      <c r="D129" s="5" t="n"/>
      <c r="E129" s="5" t="n"/>
      <c r="G129" s="6">
        <f>IF(OR(A129="",D129="",E129=""),"",ROUND(MOD(E129-D129,1)*24-N(F129)/60,2))</f>
        <v/>
      </c>
      <c r="H129" s="7">
        <f>IF(C129="","",IFERROR(INDEX(Sites!$B$2:$B$501,MATCH(C129,Sites!$A$2:$A$501,0)),"?"))</f>
        <v/>
      </c>
      <c r="I129" s="8">
        <f>IF(A129="","",A129-WEEKDAY(A129,3))</f>
        <v/>
      </c>
      <c r="K129" s="7">
        <f>IF(A129="","",IF(OR(B129="",C129="",D129="",E129=""),"Missing info",IF(ISNA(MATCH(B129,Staff!$A$2:$A$101,0)),"Unknown employee",IF(H129="?","Unknown site",IF(G129&lt;=0,"Check times",IF(G129&gt;12,"Over 12h",IF(COUNTIFS($L$2:$L$2001,L129)&gt;1,"Duplicate?",IF(A129&gt;TODAY(),"Future date","OK"))))))))</f>
        <v/>
      </c>
      <c r="L129">
        <f>IF(A129="","",TEXT(A129,"yyyy-mm-dd")&amp;"|"&amp;B129&amp;"|"&amp;C129)</f>
        <v/>
      </c>
    </row>
    <row r="130">
      <c r="A130" s="4" t="n"/>
      <c r="D130" s="5" t="n"/>
      <c r="E130" s="5" t="n"/>
      <c r="G130" s="6">
        <f>IF(OR(A130="",D130="",E130=""),"",ROUND(MOD(E130-D130,1)*24-N(F130)/60,2))</f>
        <v/>
      </c>
      <c r="H130" s="7">
        <f>IF(C130="","",IFERROR(INDEX(Sites!$B$2:$B$501,MATCH(C130,Sites!$A$2:$A$501,0)),"?"))</f>
        <v/>
      </c>
      <c r="I130" s="8">
        <f>IF(A130="","",A130-WEEKDAY(A130,3))</f>
        <v/>
      </c>
      <c r="K130" s="7">
        <f>IF(A130="","",IF(OR(B130="",C130="",D130="",E130=""),"Missing info",IF(ISNA(MATCH(B130,Staff!$A$2:$A$101,0)),"Unknown employee",IF(H130="?","Unknown site",IF(G130&lt;=0,"Check times",IF(G130&gt;12,"Over 12h",IF(COUNTIFS($L$2:$L$2001,L130)&gt;1,"Duplicate?",IF(A130&gt;TODAY(),"Future date","OK"))))))))</f>
        <v/>
      </c>
      <c r="L130">
        <f>IF(A130="","",TEXT(A130,"yyyy-mm-dd")&amp;"|"&amp;B130&amp;"|"&amp;C130)</f>
        <v/>
      </c>
    </row>
    <row r="131">
      <c r="A131" s="4" t="n"/>
      <c r="D131" s="5" t="n"/>
      <c r="E131" s="5" t="n"/>
      <c r="G131" s="6">
        <f>IF(OR(A131="",D131="",E131=""),"",ROUND(MOD(E131-D131,1)*24-N(F131)/60,2))</f>
        <v/>
      </c>
      <c r="H131" s="7">
        <f>IF(C131="","",IFERROR(INDEX(Sites!$B$2:$B$501,MATCH(C131,Sites!$A$2:$A$501,0)),"?"))</f>
        <v/>
      </c>
      <c r="I131" s="8">
        <f>IF(A131="","",A131-WEEKDAY(A131,3))</f>
        <v/>
      </c>
      <c r="K131" s="7">
        <f>IF(A131="","",IF(OR(B131="",C131="",D131="",E131=""),"Missing info",IF(ISNA(MATCH(B131,Staff!$A$2:$A$101,0)),"Unknown employee",IF(H131="?","Unknown site",IF(G131&lt;=0,"Check times",IF(G131&gt;12,"Over 12h",IF(COUNTIFS($L$2:$L$2001,L131)&gt;1,"Duplicate?",IF(A131&gt;TODAY(),"Future date","OK"))))))))</f>
        <v/>
      </c>
      <c r="L131">
        <f>IF(A131="","",TEXT(A131,"yyyy-mm-dd")&amp;"|"&amp;B131&amp;"|"&amp;C131)</f>
        <v/>
      </c>
    </row>
    <row r="132">
      <c r="A132" s="4" t="n"/>
      <c r="D132" s="5" t="n"/>
      <c r="E132" s="5" t="n"/>
      <c r="G132" s="6">
        <f>IF(OR(A132="",D132="",E132=""),"",ROUND(MOD(E132-D132,1)*24-N(F132)/60,2))</f>
        <v/>
      </c>
      <c r="H132" s="7">
        <f>IF(C132="","",IFERROR(INDEX(Sites!$B$2:$B$501,MATCH(C132,Sites!$A$2:$A$501,0)),"?"))</f>
        <v/>
      </c>
      <c r="I132" s="8">
        <f>IF(A132="","",A132-WEEKDAY(A132,3))</f>
        <v/>
      </c>
      <c r="K132" s="7">
        <f>IF(A132="","",IF(OR(B132="",C132="",D132="",E132=""),"Missing info",IF(ISNA(MATCH(B132,Staff!$A$2:$A$101,0)),"Unknown employee",IF(H132="?","Unknown site",IF(G132&lt;=0,"Check times",IF(G132&gt;12,"Over 12h",IF(COUNTIFS($L$2:$L$2001,L132)&gt;1,"Duplicate?",IF(A132&gt;TODAY(),"Future date","OK"))))))))</f>
        <v/>
      </c>
      <c r="L132">
        <f>IF(A132="","",TEXT(A132,"yyyy-mm-dd")&amp;"|"&amp;B132&amp;"|"&amp;C132)</f>
        <v/>
      </c>
    </row>
    <row r="133">
      <c r="A133" s="4" t="n"/>
      <c r="D133" s="5" t="n"/>
      <c r="E133" s="5" t="n"/>
      <c r="G133" s="6">
        <f>IF(OR(A133="",D133="",E133=""),"",ROUND(MOD(E133-D133,1)*24-N(F133)/60,2))</f>
        <v/>
      </c>
      <c r="H133" s="7">
        <f>IF(C133="","",IFERROR(INDEX(Sites!$B$2:$B$501,MATCH(C133,Sites!$A$2:$A$501,0)),"?"))</f>
        <v/>
      </c>
      <c r="I133" s="8">
        <f>IF(A133="","",A133-WEEKDAY(A133,3))</f>
        <v/>
      </c>
      <c r="K133" s="7">
        <f>IF(A133="","",IF(OR(B133="",C133="",D133="",E133=""),"Missing info",IF(ISNA(MATCH(B133,Staff!$A$2:$A$101,0)),"Unknown employee",IF(H133="?","Unknown site",IF(G133&lt;=0,"Check times",IF(G133&gt;12,"Over 12h",IF(COUNTIFS($L$2:$L$2001,L133)&gt;1,"Duplicate?",IF(A133&gt;TODAY(),"Future date","OK"))))))))</f>
        <v/>
      </c>
      <c r="L133">
        <f>IF(A133="","",TEXT(A133,"yyyy-mm-dd")&amp;"|"&amp;B133&amp;"|"&amp;C133)</f>
        <v/>
      </c>
    </row>
    <row r="134">
      <c r="A134" s="4" t="n"/>
      <c r="D134" s="5" t="n"/>
      <c r="E134" s="5" t="n"/>
      <c r="G134" s="6">
        <f>IF(OR(A134="",D134="",E134=""),"",ROUND(MOD(E134-D134,1)*24-N(F134)/60,2))</f>
        <v/>
      </c>
      <c r="H134" s="7">
        <f>IF(C134="","",IFERROR(INDEX(Sites!$B$2:$B$501,MATCH(C134,Sites!$A$2:$A$501,0)),"?"))</f>
        <v/>
      </c>
      <c r="I134" s="8">
        <f>IF(A134="","",A134-WEEKDAY(A134,3))</f>
        <v/>
      </c>
      <c r="K134" s="7">
        <f>IF(A134="","",IF(OR(B134="",C134="",D134="",E134=""),"Missing info",IF(ISNA(MATCH(B134,Staff!$A$2:$A$101,0)),"Unknown employee",IF(H134="?","Unknown site",IF(G134&lt;=0,"Check times",IF(G134&gt;12,"Over 12h",IF(COUNTIFS($L$2:$L$2001,L134)&gt;1,"Duplicate?",IF(A134&gt;TODAY(),"Future date","OK"))))))))</f>
        <v/>
      </c>
      <c r="L134">
        <f>IF(A134="","",TEXT(A134,"yyyy-mm-dd")&amp;"|"&amp;B134&amp;"|"&amp;C134)</f>
        <v/>
      </c>
    </row>
    <row r="135">
      <c r="A135" s="4" t="n"/>
      <c r="D135" s="5" t="n"/>
      <c r="E135" s="5" t="n"/>
      <c r="G135" s="6">
        <f>IF(OR(A135="",D135="",E135=""),"",ROUND(MOD(E135-D135,1)*24-N(F135)/60,2))</f>
        <v/>
      </c>
      <c r="H135" s="7">
        <f>IF(C135="","",IFERROR(INDEX(Sites!$B$2:$B$501,MATCH(C135,Sites!$A$2:$A$501,0)),"?"))</f>
        <v/>
      </c>
      <c r="I135" s="8">
        <f>IF(A135="","",A135-WEEKDAY(A135,3))</f>
        <v/>
      </c>
      <c r="K135" s="7">
        <f>IF(A135="","",IF(OR(B135="",C135="",D135="",E135=""),"Missing info",IF(ISNA(MATCH(B135,Staff!$A$2:$A$101,0)),"Unknown employee",IF(H135="?","Unknown site",IF(G135&lt;=0,"Check times",IF(G135&gt;12,"Over 12h",IF(COUNTIFS($L$2:$L$2001,L135)&gt;1,"Duplicate?",IF(A135&gt;TODAY(),"Future date","OK"))))))))</f>
        <v/>
      </c>
      <c r="L135">
        <f>IF(A135="","",TEXT(A135,"yyyy-mm-dd")&amp;"|"&amp;B135&amp;"|"&amp;C135)</f>
        <v/>
      </c>
    </row>
    <row r="136">
      <c r="A136" s="4" t="n"/>
      <c r="D136" s="5" t="n"/>
      <c r="E136" s="5" t="n"/>
      <c r="G136" s="6">
        <f>IF(OR(A136="",D136="",E136=""),"",ROUND(MOD(E136-D136,1)*24-N(F136)/60,2))</f>
        <v/>
      </c>
      <c r="H136" s="7">
        <f>IF(C136="","",IFERROR(INDEX(Sites!$B$2:$B$501,MATCH(C136,Sites!$A$2:$A$501,0)),"?"))</f>
        <v/>
      </c>
      <c r="I136" s="8">
        <f>IF(A136="","",A136-WEEKDAY(A136,3))</f>
        <v/>
      </c>
      <c r="K136" s="7">
        <f>IF(A136="","",IF(OR(B136="",C136="",D136="",E136=""),"Missing info",IF(ISNA(MATCH(B136,Staff!$A$2:$A$101,0)),"Unknown employee",IF(H136="?","Unknown site",IF(G136&lt;=0,"Check times",IF(G136&gt;12,"Over 12h",IF(COUNTIFS($L$2:$L$2001,L136)&gt;1,"Duplicate?",IF(A136&gt;TODAY(),"Future date","OK"))))))))</f>
        <v/>
      </c>
      <c r="L136">
        <f>IF(A136="","",TEXT(A136,"yyyy-mm-dd")&amp;"|"&amp;B136&amp;"|"&amp;C136)</f>
        <v/>
      </c>
    </row>
    <row r="137">
      <c r="A137" s="4" t="n"/>
      <c r="D137" s="5" t="n"/>
      <c r="E137" s="5" t="n"/>
      <c r="G137" s="6">
        <f>IF(OR(A137="",D137="",E137=""),"",ROUND(MOD(E137-D137,1)*24-N(F137)/60,2))</f>
        <v/>
      </c>
      <c r="H137" s="7">
        <f>IF(C137="","",IFERROR(INDEX(Sites!$B$2:$B$501,MATCH(C137,Sites!$A$2:$A$501,0)),"?"))</f>
        <v/>
      </c>
      <c r="I137" s="8">
        <f>IF(A137="","",A137-WEEKDAY(A137,3))</f>
        <v/>
      </c>
      <c r="K137" s="7">
        <f>IF(A137="","",IF(OR(B137="",C137="",D137="",E137=""),"Missing info",IF(ISNA(MATCH(B137,Staff!$A$2:$A$101,0)),"Unknown employee",IF(H137="?","Unknown site",IF(G137&lt;=0,"Check times",IF(G137&gt;12,"Over 12h",IF(COUNTIFS($L$2:$L$2001,L137)&gt;1,"Duplicate?",IF(A137&gt;TODAY(),"Future date","OK"))))))))</f>
        <v/>
      </c>
      <c r="L137">
        <f>IF(A137="","",TEXT(A137,"yyyy-mm-dd")&amp;"|"&amp;B137&amp;"|"&amp;C137)</f>
        <v/>
      </c>
    </row>
    <row r="138">
      <c r="A138" s="4" t="n"/>
      <c r="D138" s="5" t="n"/>
      <c r="E138" s="5" t="n"/>
      <c r="G138" s="6">
        <f>IF(OR(A138="",D138="",E138=""),"",ROUND(MOD(E138-D138,1)*24-N(F138)/60,2))</f>
        <v/>
      </c>
      <c r="H138" s="7">
        <f>IF(C138="","",IFERROR(INDEX(Sites!$B$2:$B$501,MATCH(C138,Sites!$A$2:$A$501,0)),"?"))</f>
        <v/>
      </c>
      <c r="I138" s="8">
        <f>IF(A138="","",A138-WEEKDAY(A138,3))</f>
        <v/>
      </c>
      <c r="K138" s="7">
        <f>IF(A138="","",IF(OR(B138="",C138="",D138="",E138=""),"Missing info",IF(ISNA(MATCH(B138,Staff!$A$2:$A$101,0)),"Unknown employee",IF(H138="?","Unknown site",IF(G138&lt;=0,"Check times",IF(G138&gt;12,"Over 12h",IF(COUNTIFS($L$2:$L$2001,L138)&gt;1,"Duplicate?",IF(A138&gt;TODAY(),"Future date","OK"))))))))</f>
        <v/>
      </c>
      <c r="L138">
        <f>IF(A138="","",TEXT(A138,"yyyy-mm-dd")&amp;"|"&amp;B138&amp;"|"&amp;C138)</f>
        <v/>
      </c>
    </row>
    <row r="139">
      <c r="A139" s="4" t="n"/>
      <c r="D139" s="5" t="n"/>
      <c r="E139" s="5" t="n"/>
      <c r="G139" s="6">
        <f>IF(OR(A139="",D139="",E139=""),"",ROUND(MOD(E139-D139,1)*24-N(F139)/60,2))</f>
        <v/>
      </c>
      <c r="H139" s="7">
        <f>IF(C139="","",IFERROR(INDEX(Sites!$B$2:$B$501,MATCH(C139,Sites!$A$2:$A$501,0)),"?"))</f>
        <v/>
      </c>
      <c r="I139" s="8">
        <f>IF(A139="","",A139-WEEKDAY(A139,3))</f>
        <v/>
      </c>
      <c r="K139" s="7">
        <f>IF(A139="","",IF(OR(B139="",C139="",D139="",E139=""),"Missing info",IF(ISNA(MATCH(B139,Staff!$A$2:$A$101,0)),"Unknown employee",IF(H139="?","Unknown site",IF(G139&lt;=0,"Check times",IF(G139&gt;12,"Over 12h",IF(COUNTIFS($L$2:$L$2001,L139)&gt;1,"Duplicate?",IF(A139&gt;TODAY(),"Future date","OK"))))))))</f>
        <v/>
      </c>
      <c r="L139">
        <f>IF(A139="","",TEXT(A139,"yyyy-mm-dd")&amp;"|"&amp;B139&amp;"|"&amp;C139)</f>
        <v/>
      </c>
    </row>
    <row r="140">
      <c r="A140" s="4" t="n"/>
      <c r="D140" s="5" t="n"/>
      <c r="E140" s="5" t="n"/>
      <c r="G140" s="6">
        <f>IF(OR(A140="",D140="",E140=""),"",ROUND(MOD(E140-D140,1)*24-N(F140)/60,2))</f>
        <v/>
      </c>
      <c r="H140" s="7">
        <f>IF(C140="","",IFERROR(INDEX(Sites!$B$2:$B$501,MATCH(C140,Sites!$A$2:$A$501,0)),"?"))</f>
        <v/>
      </c>
      <c r="I140" s="8">
        <f>IF(A140="","",A140-WEEKDAY(A140,3))</f>
        <v/>
      </c>
      <c r="K140" s="7">
        <f>IF(A140="","",IF(OR(B140="",C140="",D140="",E140=""),"Missing info",IF(ISNA(MATCH(B140,Staff!$A$2:$A$101,0)),"Unknown employee",IF(H140="?","Unknown site",IF(G140&lt;=0,"Check times",IF(G140&gt;12,"Over 12h",IF(COUNTIFS($L$2:$L$2001,L140)&gt;1,"Duplicate?",IF(A140&gt;TODAY(),"Future date","OK"))))))))</f>
        <v/>
      </c>
      <c r="L140">
        <f>IF(A140="","",TEXT(A140,"yyyy-mm-dd")&amp;"|"&amp;B140&amp;"|"&amp;C140)</f>
        <v/>
      </c>
    </row>
    <row r="141">
      <c r="A141" s="4" t="n"/>
      <c r="D141" s="5" t="n"/>
      <c r="E141" s="5" t="n"/>
      <c r="G141" s="6">
        <f>IF(OR(A141="",D141="",E141=""),"",ROUND(MOD(E141-D141,1)*24-N(F141)/60,2))</f>
        <v/>
      </c>
      <c r="H141" s="7">
        <f>IF(C141="","",IFERROR(INDEX(Sites!$B$2:$B$501,MATCH(C141,Sites!$A$2:$A$501,0)),"?"))</f>
        <v/>
      </c>
      <c r="I141" s="8">
        <f>IF(A141="","",A141-WEEKDAY(A141,3))</f>
        <v/>
      </c>
      <c r="K141" s="7">
        <f>IF(A141="","",IF(OR(B141="",C141="",D141="",E141=""),"Missing info",IF(ISNA(MATCH(B141,Staff!$A$2:$A$101,0)),"Unknown employee",IF(H141="?","Unknown site",IF(G141&lt;=0,"Check times",IF(G141&gt;12,"Over 12h",IF(COUNTIFS($L$2:$L$2001,L141)&gt;1,"Duplicate?",IF(A141&gt;TODAY(),"Future date","OK"))))))))</f>
        <v/>
      </c>
      <c r="L141">
        <f>IF(A141="","",TEXT(A141,"yyyy-mm-dd")&amp;"|"&amp;B141&amp;"|"&amp;C141)</f>
        <v/>
      </c>
    </row>
    <row r="142">
      <c r="A142" s="4" t="n"/>
      <c r="D142" s="5" t="n"/>
      <c r="E142" s="5" t="n"/>
      <c r="G142" s="6">
        <f>IF(OR(A142="",D142="",E142=""),"",ROUND(MOD(E142-D142,1)*24-N(F142)/60,2))</f>
        <v/>
      </c>
      <c r="H142" s="7">
        <f>IF(C142="","",IFERROR(INDEX(Sites!$B$2:$B$501,MATCH(C142,Sites!$A$2:$A$501,0)),"?"))</f>
        <v/>
      </c>
      <c r="I142" s="8">
        <f>IF(A142="","",A142-WEEKDAY(A142,3))</f>
        <v/>
      </c>
      <c r="K142" s="7">
        <f>IF(A142="","",IF(OR(B142="",C142="",D142="",E142=""),"Missing info",IF(ISNA(MATCH(B142,Staff!$A$2:$A$101,0)),"Unknown employee",IF(H142="?","Unknown site",IF(G142&lt;=0,"Check times",IF(G142&gt;12,"Over 12h",IF(COUNTIFS($L$2:$L$2001,L142)&gt;1,"Duplicate?",IF(A142&gt;TODAY(),"Future date","OK"))))))))</f>
        <v/>
      </c>
      <c r="L142">
        <f>IF(A142="","",TEXT(A142,"yyyy-mm-dd")&amp;"|"&amp;B142&amp;"|"&amp;C142)</f>
        <v/>
      </c>
    </row>
    <row r="143">
      <c r="A143" s="4" t="n"/>
      <c r="D143" s="5" t="n"/>
      <c r="E143" s="5" t="n"/>
      <c r="G143" s="6">
        <f>IF(OR(A143="",D143="",E143=""),"",ROUND(MOD(E143-D143,1)*24-N(F143)/60,2))</f>
        <v/>
      </c>
      <c r="H143" s="7">
        <f>IF(C143="","",IFERROR(INDEX(Sites!$B$2:$B$501,MATCH(C143,Sites!$A$2:$A$501,0)),"?"))</f>
        <v/>
      </c>
      <c r="I143" s="8">
        <f>IF(A143="","",A143-WEEKDAY(A143,3))</f>
        <v/>
      </c>
      <c r="K143" s="7">
        <f>IF(A143="","",IF(OR(B143="",C143="",D143="",E143=""),"Missing info",IF(ISNA(MATCH(B143,Staff!$A$2:$A$101,0)),"Unknown employee",IF(H143="?","Unknown site",IF(G143&lt;=0,"Check times",IF(G143&gt;12,"Over 12h",IF(COUNTIFS($L$2:$L$2001,L143)&gt;1,"Duplicate?",IF(A143&gt;TODAY(),"Future date","OK"))))))))</f>
        <v/>
      </c>
      <c r="L143">
        <f>IF(A143="","",TEXT(A143,"yyyy-mm-dd")&amp;"|"&amp;B143&amp;"|"&amp;C143)</f>
        <v/>
      </c>
    </row>
    <row r="144">
      <c r="A144" s="4" t="n"/>
      <c r="D144" s="5" t="n"/>
      <c r="E144" s="5" t="n"/>
      <c r="G144" s="6">
        <f>IF(OR(A144="",D144="",E144=""),"",ROUND(MOD(E144-D144,1)*24-N(F144)/60,2))</f>
        <v/>
      </c>
      <c r="H144" s="7">
        <f>IF(C144="","",IFERROR(INDEX(Sites!$B$2:$B$501,MATCH(C144,Sites!$A$2:$A$501,0)),"?"))</f>
        <v/>
      </c>
      <c r="I144" s="8">
        <f>IF(A144="","",A144-WEEKDAY(A144,3))</f>
        <v/>
      </c>
      <c r="K144" s="7">
        <f>IF(A144="","",IF(OR(B144="",C144="",D144="",E144=""),"Missing info",IF(ISNA(MATCH(B144,Staff!$A$2:$A$101,0)),"Unknown employee",IF(H144="?","Unknown site",IF(G144&lt;=0,"Check times",IF(G144&gt;12,"Over 12h",IF(COUNTIFS($L$2:$L$2001,L144)&gt;1,"Duplicate?",IF(A144&gt;TODAY(),"Future date","OK"))))))))</f>
        <v/>
      </c>
      <c r="L144">
        <f>IF(A144="","",TEXT(A144,"yyyy-mm-dd")&amp;"|"&amp;B144&amp;"|"&amp;C144)</f>
        <v/>
      </c>
    </row>
    <row r="145">
      <c r="A145" s="4" t="n"/>
      <c r="D145" s="5" t="n"/>
      <c r="E145" s="5" t="n"/>
      <c r="G145" s="6">
        <f>IF(OR(A145="",D145="",E145=""),"",ROUND(MOD(E145-D145,1)*24-N(F145)/60,2))</f>
        <v/>
      </c>
      <c r="H145" s="7">
        <f>IF(C145="","",IFERROR(INDEX(Sites!$B$2:$B$501,MATCH(C145,Sites!$A$2:$A$501,0)),"?"))</f>
        <v/>
      </c>
      <c r="I145" s="8">
        <f>IF(A145="","",A145-WEEKDAY(A145,3))</f>
        <v/>
      </c>
      <c r="K145" s="7">
        <f>IF(A145="","",IF(OR(B145="",C145="",D145="",E145=""),"Missing info",IF(ISNA(MATCH(B145,Staff!$A$2:$A$101,0)),"Unknown employee",IF(H145="?","Unknown site",IF(G145&lt;=0,"Check times",IF(G145&gt;12,"Over 12h",IF(COUNTIFS($L$2:$L$2001,L145)&gt;1,"Duplicate?",IF(A145&gt;TODAY(),"Future date","OK"))))))))</f>
        <v/>
      </c>
      <c r="L145">
        <f>IF(A145="","",TEXT(A145,"yyyy-mm-dd")&amp;"|"&amp;B145&amp;"|"&amp;C145)</f>
        <v/>
      </c>
    </row>
    <row r="146">
      <c r="A146" s="4" t="n"/>
      <c r="D146" s="5" t="n"/>
      <c r="E146" s="5" t="n"/>
      <c r="G146" s="6">
        <f>IF(OR(A146="",D146="",E146=""),"",ROUND(MOD(E146-D146,1)*24-N(F146)/60,2))</f>
        <v/>
      </c>
      <c r="H146" s="7">
        <f>IF(C146="","",IFERROR(INDEX(Sites!$B$2:$B$501,MATCH(C146,Sites!$A$2:$A$501,0)),"?"))</f>
        <v/>
      </c>
      <c r="I146" s="8">
        <f>IF(A146="","",A146-WEEKDAY(A146,3))</f>
        <v/>
      </c>
      <c r="K146" s="7">
        <f>IF(A146="","",IF(OR(B146="",C146="",D146="",E146=""),"Missing info",IF(ISNA(MATCH(B146,Staff!$A$2:$A$101,0)),"Unknown employee",IF(H146="?","Unknown site",IF(G146&lt;=0,"Check times",IF(G146&gt;12,"Over 12h",IF(COUNTIFS($L$2:$L$2001,L146)&gt;1,"Duplicate?",IF(A146&gt;TODAY(),"Future date","OK"))))))))</f>
        <v/>
      </c>
      <c r="L146">
        <f>IF(A146="","",TEXT(A146,"yyyy-mm-dd")&amp;"|"&amp;B146&amp;"|"&amp;C146)</f>
        <v/>
      </c>
    </row>
    <row r="147">
      <c r="A147" s="4" t="n"/>
      <c r="D147" s="5" t="n"/>
      <c r="E147" s="5" t="n"/>
      <c r="G147" s="6">
        <f>IF(OR(A147="",D147="",E147=""),"",ROUND(MOD(E147-D147,1)*24-N(F147)/60,2))</f>
        <v/>
      </c>
      <c r="H147" s="7">
        <f>IF(C147="","",IFERROR(INDEX(Sites!$B$2:$B$501,MATCH(C147,Sites!$A$2:$A$501,0)),"?"))</f>
        <v/>
      </c>
      <c r="I147" s="8">
        <f>IF(A147="","",A147-WEEKDAY(A147,3))</f>
        <v/>
      </c>
      <c r="K147" s="7">
        <f>IF(A147="","",IF(OR(B147="",C147="",D147="",E147=""),"Missing info",IF(ISNA(MATCH(B147,Staff!$A$2:$A$101,0)),"Unknown employee",IF(H147="?","Unknown site",IF(G147&lt;=0,"Check times",IF(G147&gt;12,"Over 12h",IF(COUNTIFS($L$2:$L$2001,L147)&gt;1,"Duplicate?",IF(A147&gt;TODAY(),"Future date","OK"))))))))</f>
        <v/>
      </c>
      <c r="L147">
        <f>IF(A147="","",TEXT(A147,"yyyy-mm-dd")&amp;"|"&amp;B147&amp;"|"&amp;C147)</f>
        <v/>
      </c>
    </row>
    <row r="148">
      <c r="A148" s="4" t="n"/>
      <c r="D148" s="5" t="n"/>
      <c r="E148" s="5" t="n"/>
      <c r="G148" s="6">
        <f>IF(OR(A148="",D148="",E148=""),"",ROUND(MOD(E148-D148,1)*24-N(F148)/60,2))</f>
        <v/>
      </c>
      <c r="H148" s="7">
        <f>IF(C148="","",IFERROR(INDEX(Sites!$B$2:$B$501,MATCH(C148,Sites!$A$2:$A$501,0)),"?"))</f>
        <v/>
      </c>
      <c r="I148" s="8">
        <f>IF(A148="","",A148-WEEKDAY(A148,3))</f>
        <v/>
      </c>
      <c r="K148" s="7">
        <f>IF(A148="","",IF(OR(B148="",C148="",D148="",E148=""),"Missing info",IF(ISNA(MATCH(B148,Staff!$A$2:$A$101,0)),"Unknown employee",IF(H148="?","Unknown site",IF(G148&lt;=0,"Check times",IF(G148&gt;12,"Over 12h",IF(COUNTIFS($L$2:$L$2001,L148)&gt;1,"Duplicate?",IF(A148&gt;TODAY(),"Future date","OK"))))))))</f>
        <v/>
      </c>
      <c r="L148">
        <f>IF(A148="","",TEXT(A148,"yyyy-mm-dd")&amp;"|"&amp;B148&amp;"|"&amp;C148)</f>
        <v/>
      </c>
    </row>
    <row r="149">
      <c r="A149" s="4" t="n"/>
      <c r="D149" s="5" t="n"/>
      <c r="E149" s="5" t="n"/>
      <c r="G149" s="6">
        <f>IF(OR(A149="",D149="",E149=""),"",ROUND(MOD(E149-D149,1)*24-N(F149)/60,2))</f>
        <v/>
      </c>
      <c r="H149" s="7">
        <f>IF(C149="","",IFERROR(INDEX(Sites!$B$2:$B$501,MATCH(C149,Sites!$A$2:$A$501,0)),"?"))</f>
        <v/>
      </c>
      <c r="I149" s="8">
        <f>IF(A149="","",A149-WEEKDAY(A149,3))</f>
        <v/>
      </c>
      <c r="K149" s="7">
        <f>IF(A149="","",IF(OR(B149="",C149="",D149="",E149=""),"Missing info",IF(ISNA(MATCH(B149,Staff!$A$2:$A$101,0)),"Unknown employee",IF(H149="?","Unknown site",IF(G149&lt;=0,"Check times",IF(G149&gt;12,"Over 12h",IF(COUNTIFS($L$2:$L$2001,L149)&gt;1,"Duplicate?",IF(A149&gt;TODAY(),"Future date","OK"))))))))</f>
        <v/>
      </c>
      <c r="L149">
        <f>IF(A149="","",TEXT(A149,"yyyy-mm-dd")&amp;"|"&amp;B149&amp;"|"&amp;C149)</f>
        <v/>
      </c>
    </row>
    <row r="150">
      <c r="A150" s="4" t="n"/>
      <c r="D150" s="5" t="n"/>
      <c r="E150" s="5" t="n"/>
      <c r="G150" s="6">
        <f>IF(OR(A150="",D150="",E150=""),"",ROUND(MOD(E150-D150,1)*24-N(F150)/60,2))</f>
        <v/>
      </c>
      <c r="H150" s="7">
        <f>IF(C150="","",IFERROR(INDEX(Sites!$B$2:$B$501,MATCH(C150,Sites!$A$2:$A$501,0)),"?"))</f>
        <v/>
      </c>
      <c r="I150" s="8">
        <f>IF(A150="","",A150-WEEKDAY(A150,3))</f>
        <v/>
      </c>
      <c r="K150" s="7">
        <f>IF(A150="","",IF(OR(B150="",C150="",D150="",E150=""),"Missing info",IF(ISNA(MATCH(B150,Staff!$A$2:$A$101,0)),"Unknown employee",IF(H150="?","Unknown site",IF(G150&lt;=0,"Check times",IF(G150&gt;12,"Over 12h",IF(COUNTIFS($L$2:$L$2001,L150)&gt;1,"Duplicate?",IF(A150&gt;TODAY(),"Future date","OK"))))))))</f>
        <v/>
      </c>
      <c r="L150">
        <f>IF(A150="","",TEXT(A150,"yyyy-mm-dd")&amp;"|"&amp;B150&amp;"|"&amp;C150)</f>
        <v/>
      </c>
    </row>
    <row r="151">
      <c r="A151" s="4" t="n"/>
      <c r="D151" s="5" t="n"/>
      <c r="E151" s="5" t="n"/>
      <c r="G151" s="6">
        <f>IF(OR(A151="",D151="",E151=""),"",ROUND(MOD(E151-D151,1)*24-N(F151)/60,2))</f>
        <v/>
      </c>
      <c r="H151" s="7">
        <f>IF(C151="","",IFERROR(INDEX(Sites!$B$2:$B$501,MATCH(C151,Sites!$A$2:$A$501,0)),"?"))</f>
        <v/>
      </c>
      <c r="I151" s="8">
        <f>IF(A151="","",A151-WEEKDAY(A151,3))</f>
        <v/>
      </c>
      <c r="K151" s="7">
        <f>IF(A151="","",IF(OR(B151="",C151="",D151="",E151=""),"Missing info",IF(ISNA(MATCH(B151,Staff!$A$2:$A$101,0)),"Unknown employee",IF(H151="?","Unknown site",IF(G151&lt;=0,"Check times",IF(G151&gt;12,"Over 12h",IF(COUNTIFS($L$2:$L$2001,L151)&gt;1,"Duplicate?",IF(A151&gt;TODAY(),"Future date","OK"))))))))</f>
        <v/>
      </c>
      <c r="L151">
        <f>IF(A151="","",TEXT(A151,"yyyy-mm-dd")&amp;"|"&amp;B151&amp;"|"&amp;C151)</f>
        <v/>
      </c>
    </row>
    <row r="152">
      <c r="A152" s="4" t="n"/>
      <c r="D152" s="5" t="n"/>
      <c r="E152" s="5" t="n"/>
      <c r="G152" s="6">
        <f>IF(OR(A152="",D152="",E152=""),"",ROUND(MOD(E152-D152,1)*24-N(F152)/60,2))</f>
        <v/>
      </c>
      <c r="H152" s="7">
        <f>IF(C152="","",IFERROR(INDEX(Sites!$B$2:$B$501,MATCH(C152,Sites!$A$2:$A$501,0)),"?"))</f>
        <v/>
      </c>
      <c r="I152" s="8">
        <f>IF(A152="","",A152-WEEKDAY(A152,3))</f>
        <v/>
      </c>
      <c r="K152" s="7">
        <f>IF(A152="","",IF(OR(B152="",C152="",D152="",E152=""),"Missing info",IF(ISNA(MATCH(B152,Staff!$A$2:$A$101,0)),"Unknown employee",IF(H152="?","Unknown site",IF(G152&lt;=0,"Check times",IF(G152&gt;12,"Over 12h",IF(COUNTIFS($L$2:$L$2001,L152)&gt;1,"Duplicate?",IF(A152&gt;TODAY(),"Future date","OK"))))))))</f>
        <v/>
      </c>
      <c r="L152">
        <f>IF(A152="","",TEXT(A152,"yyyy-mm-dd")&amp;"|"&amp;B152&amp;"|"&amp;C152)</f>
        <v/>
      </c>
    </row>
    <row r="153">
      <c r="A153" s="4" t="n"/>
      <c r="D153" s="5" t="n"/>
      <c r="E153" s="5" t="n"/>
      <c r="G153" s="6">
        <f>IF(OR(A153="",D153="",E153=""),"",ROUND(MOD(E153-D153,1)*24-N(F153)/60,2))</f>
        <v/>
      </c>
      <c r="H153" s="7">
        <f>IF(C153="","",IFERROR(INDEX(Sites!$B$2:$B$501,MATCH(C153,Sites!$A$2:$A$501,0)),"?"))</f>
        <v/>
      </c>
      <c r="I153" s="8">
        <f>IF(A153="","",A153-WEEKDAY(A153,3))</f>
        <v/>
      </c>
      <c r="K153" s="7">
        <f>IF(A153="","",IF(OR(B153="",C153="",D153="",E153=""),"Missing info",IF(ISNA(MATCH(B153,Staff!$A$2:$A$101,0)),"Unknown employee",IF(H153="?","Unknown site",IF(G153&lt;=0,"Check times",IF(G153&gt;12,"Over 12h",IF(COUNTIFS($L$2:$L$2001,L153)&gt;1,"Duplicate?",IF(A153&gt;TODAY(),"Future date","OK"))))))))</f>
        <v/>
      </c>
      <c r="L153">
        <f>IF(A153="","",TEXT(A153,"yyyy-mm-dd")&amp;"|"&amp;B153&amp;"|"&amp;C153)</f>
        <v/>
      </c>
    </row>
    <row r="154">
      <c r="A154" s="4" t="n"/>
      <c r="D154" s="5" t="n"/>
      <c r="E154" s="5" t="n"/>
      <c r="G154" s="6">
        <f>IF(OR(A154="",D154="",E154=""),"",ROUND(MOD(E154-D154,1)*24-N(F154)/60,2))</f>
        <v/>
      </c>
      <c r="H154" s="7">
        <f>IF(C154="","",IFERROR(INDEX(Sites!$B$2:$B$501,MATCH(C154,Sites!$A$2:$A$501,0)),"?"))</f>
        <v/>
      </c>
      <c r="I154" s="8">
        <f>IF(A154="","",A154-WEEKDAY(A154,3))</f>
        <v/>
      </c>
      <c r="K154" s="7">
        <f>IF(A154="","",IF(OR(B154="",C154="",D154="",E154=""),"Missing info",IF(ISNA(MATCH(B154,Staff!$A$2:$A$101,0)),"Unknown employee",IF(H154="?","Unknown site",IF(G154&lt;=0,"Check times",IF(G154&gt;12,"Over 12h",IF(COUNTIFS($L$2:$L$2001,L154)&gt;1,"Duplicate?",IF(A154&gt;TODAY(),"Future date","OK"))))))))</f>
        <v/>
      </c>
      <c r="L154">
        <f>IF(A154="","",TEXT(A154,"yyyy-mm-dd")&amp;"|"&amp;B154&amp;"|"&amp;C154)</f>
        <v/>
      </c>
    </row>
    <row r="155">
      <c r="A155" s="4" t="n"/>
      <c r="D155" s="5" t="n"/>
      <c r="E155" s="5" t="n"/>
      <c r="G155" s="6">
        <f>IF(OR(A155="",D155="",E155=""),"",ROUND(MOD(E155-D155,1)*24-N(F155)/60,2))</f>
        <v/>
      </c>
      <c r="H155" s="7">
        <f>IF(C155="","",IFERROR(INDEX(Sites!$B$2:$B$501,MATCH(C155,Sites!$A$2:$A$501,0)),"?"))</f>
        <v/>
      </c>
      <c r="I155" s="8">
        <f>IF(A155="","",A155-WEEKDAY(A155,3))</f>
        <v/>
      </c>
      <c r="K155" s="7">
        <f>IF(A155="","",IF(OR(B155="",C155="",D155="",E155=""),"Missing info",IF(ISNA(MATCH(B155,Staff!$A$2:$A$101,0)),"Unknown employee",IF(H155="?","Unknown site",IF(G155&lt;=0,"Check times",IF(G155&gt;12,"Over 12h",IF(COUNTIFS($L$2:$L$2001,L155)&gt;1,"Duplicate?",IF(A155&gt;TODAY(),"Future date","OK"))))))))</f>
        <v/>
      </c>
      <c r="L155">
        <f>IF(A155="","",TEXT(A155,"yyyy-mm-dd")&amp;"|"&amp;B155&amp;"|"&amp;C155)</f>
        <v/>
      </c>
    </row>
    <row r="156">
      <c r="A156" s="4" t="n"/>
      <c r="D156" s="5" t="n"/>
      <c r="E156" s="5" t="n"/>
      <c r="G156" s="6">
        <f>IF(OR(A156="",D156="",E156=""),"",ROUND(MOD(E156-D156,1)*24-N(F156)/60,2))</f>
        <v/>
      </c>
      <c r="H156" s="7">
        <f>IF(C156="","",IFERROR(INDEX(Sites!$B$2:$B$501,MATCH(C156,Sites!$A$2:$A$501,0)),"?"))</f>
        <v/>
      </c>
      <c r="I156" s="8">
        <f>IF(A156="","",A156-WEEKDAY(A156,3))</f>
        <v/>
      </c>
      <c r="K156" s="7">
        <f>IF(A156="","",IF(OR(B156="",C156="",D156="",E156=""),"Missing info",IF(ISNA(MATCH(B156,Staff!$A$2:$A$101,0)),"Unknown employee",IF(H156="?","Unknown site",IF(G156&lt;=0,"Check times",IF(G156&gt;12,"Over 12h",IF(COUNTIFS($L$2:$L$2001,L156)&gt;1,"Duplicate?",IF(A156&gt;TODAY(),"Future date","OK"))))))))</f>
        <v/>
      </c>
      <c r="L156">
        <f>IF(A156="","",TEXT(A156,"yyyy-mm-dd")&amp;"|"&amp;B156&amp;"|"&amp;C156)</f>
        <v/>
      </c>
    </row>
    <row r="157">
      <c r="A157" s="4" t="n"/>
      <c r="D157" s="5" t="n"/>
      <c r="E157" s="5" t="n"/>
      <c r="G157" s="6">
        <f>IF(OR(A157="",D157="",E157=""),"",ROUND(MOD(E157-D157,1)*24-N(F157)/60,2))</f>
        <v/>
      </c>
      <c r="H157" s="7">
        <f>IF(C157="","",IFERROR(INDEX(Sites!$B$2:$B$501,MATCH(C157,Sites!$A$2:$A$501,0)),"?"))</f>
        <v/>
      </c>
      <c r="I157" s="8">
        <f>IF(A157="","",A157-WEEKDAY(A157,3))</f>
        <v/>
      </c>
      <c r="K157" s="7">
        <f>IF(A157="","",IF(OR(B157="",C157="",D157="",E157=""),"Missing info",IF(ISNA(MATCH(B157,Staff!$A$2:$A$101,0)),"Unknown employee",IF(H157="?","Unknown site",IF(G157&lt;=0,"Check times",IF(G157&gt;12,"Over 12h",IF(COUNTIFS($L$2:$L$2001,L157)&gt;1,"Duplicate?",IF(A157&gt;TODAY(),"Future date","OK"))))))))</f>
        <v/>
      </c>
      <c r="L157">
        <f>IF(A157="","",TEXT(A157,"yyyy-mm-dd")&amp;"|"&amp;B157&amp;"|"&amp;C157)</f>
        <v/>
      </c>
    </row>
    <row r="158">
      <c r="A158" s="4" t="n"/>
      <c r="D158" s="5" t="n"/>
      <c r="E158" s="5" t="n"/>
      <c r="G158" s="6">
        <f>IF(OR(A158="",D158="",E158=""),"",ROUND(MOD(E158-D158,1)*24-N(F158)/60,2))</f>
        <v/>
      </c>
      <c r="H158" s="7">
        <f>IF(C158="","",IFERROR(INDEX(Sites!$B$2:$B$501,MATCH(C158,Sites!$A$2:$A$501,0)),"?"))</f>
        <v/>
      </c>
      <c r="I158" s="8">
        <f>IF(A158="","",A158-WEEKDAY(A158,3))</f>
        <v/>
      </c>
      <c r="K158" s="7">
        <f>IF(A158="","",IF(OR(B158="",C158="",D158="",E158=""),"Missing info",IF(ISNA(MATCH(B158,Staff!$A$2:$A$101,0)),"Unknown employee",IF(H158="?","Unknown site",IF(G158&lt;=0,"Check times",IF(G158&gt;12,"Over 12h",IF(COUNTIFS($L$2:$L$2001,L158)&gt;1,"Duplicate?",IF(A158&gt;TODAY(),"Future date","OK"))))))))</f>
        <v/>
      </c>
      <c r="L158">
        <f>IF(A158="","",TEXT(A158,"yyyy-mm-dd")&amp;"|"&amp;B158&amp;"|"&amp;C158)</f>
        <v/>
      </c>
    </row>
    <row r="159">
      <c r="A159" s="4" t="n"/>
      <c r="D159" s="5" t="n"/>
      <c r="E159" s="5" t="n"/>
      <c r="G159" s="6">
        <f>IF(OR(A159="",D159="",E159=""),"",ROUND(MOD(E159-D159,1)*24-N(F159)/60,2))</f>
        <v/>
      </c>
      <c r="H159" s="7">
        <f>IF(C159="","",IFERROR(INDEX(Sites!$B$2:$B$501,MATCH(C159,Sites!$A$2:$A$501,0)),"?"))</f>
        <v/>
      </c>
      <c r="I159" s="8">
        <f>IF(A159="","",A159-WEEKDAY(A159,3))</f>
        <v/>
      </c>
      <c r="K159" s="7">
        <f>IF(A159="","",IF(OR(B159="",C159="",D159="",E159=""),"Missing info",IF(ISNA(MATCH(B159,Staff!$A$2:$A$101,0)),"Unknown employee",IF(H159="?","Unknown site",IF(G159&lt;=0,"Check times",IF(G159&gt;12,"Over 12h",IF(COUNTIFS($L$2:$L$2001,L159)&gt;1,"Duplicate?",IF(A159&gt;TODAY(),"Future date","OK"))))))))</f>
        <v/>
      </c>
      <c r="L159">
        <f>IF(A159="","",TEXT(A159,"yyyy-mm-dd")&amp;"|"&amp;B159&amp;"|"&amp;C159)</f>
        <v/>
      </c>
    </row>
    <row r="160">
      <c r="A160" s="4" t="n"/>
      <c r="D160" s="5" t="n"/>
      <c r="E160" s="5" t="n"/>
      <c r="G160" s="6">
        <f>IF(OR(A160="",D160="",E160=""),"",ROUND(MOD(E160-D160,1)*24-N(F160)/60,2))</f>
        <v/>
      </c>
      <c r="H160" s="7">
        <f>IF(C160="","",IFERROR(INDEX(Sites!$B$2:$B$501,MATCH(C160,Sites!$A$2:$A$501,0)),"?"))</f>
        <v/>
      </c>
      <c r="I160" s="8">
        <f>IF(A160="","",A160-WEEKDAY(A160,3))</f>
        <v/>
      </c>
      <c r="K160" s="7">
        <f>IF(A160="","",IF(OR(B160="",C160="",D160="",E160=""),"Missing info",IF(ISNA(MATCH(B160,Staff!$A$2:$A$101,0)),"Unknown employee",IF(H160="?","Unknown site",IF(G160&lt;=0,"Check times",IF(G160&gt;12,"Over 12h",IF(COUNTIFS($L$2:$L$2001,L160)&gt;1,"Duplicate?",IF(A160&gt;TODAY(),"Future date","OK"))))))))</f>
        <v/>
      </c>
      <c r="L160">
        <f>IF(A160="","",TEXT(A160,"yyyy-mm-dd")&amp;"|"&amp;B160&amp;"|"&amp;C160)</f>
        <v/>
      </c>
    </row>
    <row r="161">
      <c r="A161" s="4" t="n"/>
      <c r="D161" s="5" t="n"/>
      <c r="E161" s="5" t="n"/>
      <c r="G161" s="6">
        <f>IF(OR(A161="",D161="",E161=""),"",ROUND(MOD(E161-D161,1)*24-N(F161)/60,2))</f>
        <v/>
      </c>
      <c r="H161" s="7">
        <f>IF(C161="","",IFERROR(INDEX(Sites!$B$2:$B$501,MATCH(C161,Sites!$A$2:$A$501,0)),"?"))</f>
        <v/>
      </c>
      <c r="I161" s="8">
        <f>IF(A161="","",A161-WEEKDAY(A161,3))</f>
        <v/>
      </c>
      <c r="K161" s="7">
        <f>IF(A161="","",IF(OR(B161="",C161="",D161="",E161=""),"Missing info",IF(ISNA(MATCH(B161,Staff!$A$2:$A$101,0)),"Unknown employee",IF(H161="?","Unknown site",IF(G161&lt;=0,"Check times",IF(G161&gt;12,"Over 12h",IF(COUNTIFS($L$2:$L$2001,L161)&gt;1,"Duplicate?",IF(A161&gt;TODAY(),"Future date","OK"))))))))</f>
        <v/>
      </c>
      <c r="L161">
        <f>IF(A161="","",TEXT(A161,"yyyy-mm-dd")&amp;"|"&amp;B161&amp;"|"&amp;C161)</f>
        <v/>
      </c>
    </row>
    <row r="162">
      <c r="A162" s="4" t="n"/>
      <c r="D162" s="5" t="n"/>
      <c r="E162" s="5" t="n"/>
      <c r="G162" s="6">
        <f>IF(OR(A162="",D162="",E162=""),"",ROUND(MOD(E162-D162,1)*24-N(F162)/60,2))</f>
        <v/>
      </c>
      <c r="H162" s="7">
        <f>IF(C162="","",IFERROR(INDEX(Sites!$B$2:$B$501,MATCH(C162,Sites!$A$2:$A$501,0)),"?"))</f>
        <v/>
      </c>
      <c r="I162" s="8">
        <f>IF(A162="","",A162-WEEKDAY(A162,3))</f>
        <v/>
      </c>
      <c r="K162" s="7">
        <f>IF(A162="","",IF(OR(B162="",C162="",D162="",E162=""),"Missing info",IF(ISNA(MATCH(B162,Staff!$A$2:$A$101,0)),"Unknown employee",IF(H162="?","Unknown site",IF(G162&lt;=0,"Check times",IF(G162&gt;12,"Over 12h",IF(COUNTIFS($L$2:$L$2001,L162)&gt;1,"Duplicate?",IF(A162&gt;TODAY(),"Future date","OK"))))))))</f>
        <v/>
      </c>
      <c r="L162">
        <f>IF(A162="","",TEXT(A162,"yyyy-mm-dd")&amp;"|"&amp;B162&amp;"|"&amp;C162)</f>
        <v/>
      </c>
    </row>
    <row r="163">
      <c r="A163" s="4" t="n"/>
      <c r="D163" s="5" t="n"/>
      <c r="E163" s="5" t="n"/>
      <c r="G163" s="6">
        <f>IF(OR(A163="",D163="",E163=""),"",ROUND(MOD(E163-D163,1)*24-N(F163)/60,2))</f>
        <v/>
      </c>
      <c r="H163" s="7">
        <f>IF(C163="","",IFERROR(INDEX(Sites!$B$2:$B$501,MATCH(C163,Sites!$A$2:$A$501,0)),"?"))</f>
        <v/>
      </c>
      <c r="I163" s="8">
        <f>IF(A163="","",A163-WEEKDAY(A163,3))</f>
        <v/>
      </c>
      <c r="K163" s="7">
        <f>IF(A163="","",IF(OR(B163="",C163="",D163="",E163=""),"Missing info",IF(ISNA(MATCH(B163,Staff!$A$2:$A$101,0)),"Unknown employee",IF(H163="?","Unknown site",IF(G163&lt;=0,"Check times",IF(G163&gt;12,"Over 12h",IF(COUNTIFS($L$2:$L$2001,L163)&gt;1,"Duplicate?",IF(A163&gt;TODAY(),"Future date","OK"))))))))</f>
        <v/>
      </c>
      <c r="L163">
        <f>IF(A163="","",TEXT(A163,"yyyy-mm-dd")&amp;"|"&amp;B163&amp;"|"&amp;C163)</f>
        <v/>
      </c>
    </row>
    <row r="164">
      <c r="A164" s="4" t="n"/>
      <c r="D164" s="5" t="n"/>
      <c r="E164" s="5" t="n"/>
      <c r="G164" s="6">
        <f>IF(OR(A164="",D164="",E164=""),"",ROUND(MOD(E164-D164,1)*24-N(F164)/60,2))</f>
        <v/>
      </c>
      <c r="H164" s="7">
        <f>IF(C164="","",IFERROR(INDEX(Sites!$B$2:$B$501,MATCH(C164,Sites!$A$2:$A$501,0)),"?"))</f>
        <v/>
      </c>
      <c r="I164" s="8">
        <f>IF(A164="","",A164-WEEKDAY(A164,3))</f>
        <v/>
      </c>
      <c r="K164" s="7">
        <f>IF(A164="","",IF(OR(B164="",C164="",D164="",E164=""),"Missing info",IF(ISNA(MATCH(B164,Staff!$A$2:$A$101,0)),"Unknown employee",IF(H164="?","Unknown site",IF(G164&lt;=0,"Check times",IF(G164&gt;12,"Over 12h",IF(COUNTIFS($L$2:$L$2001,L164)&gt;1,"Duplicate?",IF(A164&gt;TODAY(),"Future date","OK"))))))))</f>
        <v/>
      </c>
      <c r="L164">
        <f>IF(A164="","",TEXT(A164,"yyyy-mm-dd")&amp;"|"&amp;B164&amp;"|"&amp;C164)</f>
        <v/>
      </c>
    </row>
    <row r="165">
      <c r="A165" s="4" t="n"/>
      <c r="D165" s="5" t="n"/>
      <c r="E165" s="5" t="n"/>
      <c r="G165" s="6">
        <f>IF(OR(A165="",D165="",E165=""),"",ROUND(MOD(E165-D165,1)*24-N(F165)/60,2))</f>
        <v/>
      </c>
      <c r="H165" s="7">
        <f>IF(C165="","",IFERROR(INDEX(Sites!$B$2:$B$501,MATCH(C165,Sites!$A$2:$A$501,0)),"?"))</f>
        <v/>
      </c>
      <c r="I165" s="8">
        <f>IF(A165="","",A165-WEEKDAY(A165,3))</f>
        <v/>
      </c>
      <c r="K165" s="7">
        <f>IF(A165="","",IF(OR(B165="",C165="",D165="",E165=""),"Missing info",IF(ISNA(MATCH(B165,Staff!$A$2:$A$101,0)),"Unknown employee",IF(H165="?","Unknown site",IF(G165&lt;=0,"Check times",IF(G165&gt;12,"Over 12h",IF(COUNTIFS($L$2:$L$2001,L165)&gt;1,"Duplicate?",IF(A165&gt;TODAY(),"Future date","OK"))))))))</f>
        <v/>
      </c>
      <c r="L165">
        <f>IF(A165="","",TEXT(A165,"yyyy-mm-dd")&amp;"|"&amp;B165&amp;"|"&amp;C165)</f>
        <v/>
      </c>
    </row>
    <row r="166">
      <c r="A166" s="4" t="n"/>
      <c r="D166" s="5" t="n"/>
      <c r="E166" s="5" t="n"/>
      <c r="G166" s="6">
        <f>IF(OR(A166="",D166="",E166=""),"",ROUND(MOD(E166-D166,1)*24-N(F166)/60,2))</f>
        <v/>
      </c>
      <c r="H166" s="7">
        <f>IF(C166="","",IFERROR(INDEX(Sites!$B$2:$B$501,MATCH(C166,Sites!$A$2:$A$501,0)),"?"))</f>
        <v/>
      </c>
      <c r="I166" s="8">
        <f>IF(A166="","",A166-WEEKDAY(A166,3))</f>
        <v/>
      </c>
      <c r="K166" s="7">
        <f>IF(A166="","",IF(OR(B166="",C166="",D166="",E166=""),"Missing info",IF(ISNA(MATCH(B166,Staff!$A$2:$A$101,0)),"Unknown employee",IF(H166="?","Unknown site",IF(G166&lt;=0,"Check times",IF(G166&gt;12,"Over 12h",IF(COUNTIFS($L$2:$L$2001,L166)&gt;1,"Duplicate?",IF(A166&gt;TODAY(),"Future date","OK"))))))))</f>
        <v/>
      </c>
      <c r="L166">
        <f>IF(A166="","",TEXT(A166,"yyyy-mm-dd")&amp;"|"&amp;B166&amp;"|"&amp;C166)</f>
        <v/>
      </c>
    </row>
    <row r="167">
      <c r="A167" s="4" t="n"/>
      <c r="D167" s="5" t="n"/>
      <c r="E167" s="5" t="n"/>
      <c r="G167" s="6">
        <f>IF(OR(A167="",D167="",E167=""),"",ROUND(MOD(E167-D167,1)*24-N(F167)/60,2))</f>
        <v/>
      </c>
      <c r="H167" s="7">
        <f>IF(C167="","",IFERROR(INDEX(Sites!$B$2:$B$501,MATCH(C167,Sites!$A$2:$A$501,0)),"?"))</f>
        <v/>
      </c>
      <c r="I167" s="8">
        <f>IF(A167="","",A167-WEEKDAY(A167,3))</f>
        <v/>
      </c>
      <c r="K167" s="7">
        <f>IF(A167="","",IF(OR(B167="",C167="",D167="",E167=""),"Missing info",IF(ISNA(MATCH(B167,Staff!$A$2:$A$101,0)),"Unknown employee",IF(H167="?","Unknown site",IF(G167&lt;=0,"Check times",IF(G167&gt;12,"Over 12h",IF(COUNTIFS($L$2:$L$2001,L167)&gt;1,"Duplicate?",IF(A167&gt;TODAY(),"Future date","OK"))))))))</f>
        <v/>
      </c>
      <c r="L167">
        <f>IF(A167="","",TEXT(A167,"yyyy-mm-dd")&amp;"|"&amp;B167&amp;"|"&amp;C167)</f>
        <v/>
      </c>
    </row>
    <row r="168">
      <c r="A168" s="4" t="n"/>
      <c r="D168" s="5" t="n"/>
      <c r="E168" s="5" t="n"/>
      <c r="G168" s="6">
        <f>IF(OR(A168="",D168="",E168=""),"",ROUND(MOD(E168-D168,1)*24-N(F168)/60,2))</f>
        <v/>
      </c>
      <c r="H168" s="7">
        <f>IF(C168="","",IFERROR(INDEX(Sites!$B$2:$B$501,MATCH(C168,Sites!$A$2:$A$501,0)),"?"))</f>
        <v/>
      </c>
      <c r="I168" s="8">
        <f>IF(A168="","",A168-WEEKDAY(A168,3))</f>
        <v/>
      </c>
      <c r="K168" s="7">
        <f>IF(A168="","",IF(OR(B168="",C168="",D168="",E168=""),"Missing info",IF(ISNA(MATCH(B168,Staff!$A$2:$A$101,0)),"Unknown employee",IF(H168="?","Unknown site",IF(G168&lt;=0,"Check times",IF(G168&gt;12,"Over 12h",IF(COUNTIFS($L$2:$L$2001,L168)&gt;1,"Duplicate?",IF(A168&gt;TODAY(),"Future date","OK"))))))))</f>
        <v/>
      </c>
      <c r="L168">
        <f>IF(A168="","",TEXT(A168,"yyyy-mm-dd")&amp;"|"&amp;B168&amp;"|"&amp;C168)</f>
        <v/>
      </c>
    </row>
    <row r="169">
      <c r="A169" s="4" t="n"/>
      <c r="D169" s="5" t="n"/>
      <c r="E169" s="5" t="n"/>
      <c r="G169" s="6">
        <f>IF(OR(A169="",D169="",E169=""),"",ROUND(MOD(E169-D169,1)*24-N(F169)/60,2))</f>
        <v/>
      </c>
      <c r="H169" s="7">
        <f>IF(C169="","",IFERROR(INDEX(Sites!$B$2:$B$501,MATCH(C169,Sites!$A$2:$A$501,0)),"?"))</f>
        <v/>
      </c>
      <c r="I169" s="8">
        <f>IF(A169="","",A169-WEEKDAY(A169,3))</f>
        <v/>
      </c>
      <c r="K169" s="7">
        <f>IF(A169="","",IF(OR(B169="",C169="",D169="",E169=""),"Missing info",IF(ISNA(MATCH(B169,Staff!$A$2:$A$101,0)),"Unknown employee",IF(H169="?","Unknown site",IF(G169&lt;=0,"Check times",IF(G169&gt;12,"Over 12h",IF(COUNTIFS($L$2:$L$2001,L169)&gt;1,"Duplicate?",IF(A169&gt;TODAY(),"Future date","OK"))))))))</f>
        <v/>
      </c>
      <c r="L169">
        <f>IF(A169="","",TEXT(A169,"yyyy-mm-dd")&amp;"|"&amp;B169&amp;"|"&amp;C169)</f>
        <v/>
      </c>
    </row>
    <row r="170">
      <c r="A170" s="4" t="n"/>
      <c r="D170" s="5" t="n"/>
      <c r="E170" s="5" t="n"/>
      <c r="G170" s="6">
        <f>IF(OR(A170="",D170="",E170=""),"",ROUND(MOD(E170-D170,1)*24-N(F170)/60,2))</f>
        <v/>
      </c>
      <c r="H170" s="7">
        <f>IF(C170="","",IFERROR(INDEX(Sites!$B$2:$B$501,MATCH(C170,Sites!$A$2:$A$501,0)),"?"))</f>
        <v/>
      </c>
      <c r="I170" s="8">
        <f>IF(A170="","",A170-WEEKDAY(A170,3))</f>
        <v/>
      </c>
      <c r="K170" s="7">
        <f>IF(A170="","",IF(OR(B170="",C170="",D170="",E170=""),"Missing info",IF(ISNA(MATCH(B170,Staff!$A$2:$A$101,0)),"Unknown employee",IF(H170="?","Unknown site",IF(G170&lt;=0,"Check times",IF(G170&gt;12,"Over 12h",IF(COUNTIFS($L$2:$L$2001,L170)&gt;1,"Duplicate?",IF(A170&gt;TODAY(),"Future date","OK"))))))))</f>
        <v/>
      </c>
      <c r="L170">
        <f>IF(A170="","",TEXT(A170,"yyyy-mm-dd")&amp;"|"&amp;B170&amp;"|"&amp;C170)</f>
        <v/>
      </c>
    </row>
    <row r="171">
      <c r="A171" s="4" t="n"/>
      <c r="D171" s="5" t="n"/>
      <c r="E171" s="5" t="n"/>
      <c r="G171" s="6">
        <f>IF(OR(A171="",D171="",E171=""),"",ROUND(MOD(E171-D171,1)*24-N(F171)/60,2))</f>
        <v/>
      </c>
      <c r="H171" s="7">
        <f>IF(C171="","",IFERROR(INDEX(Sites!$B$2:$B$501,MATCH(C171,Sites!$A$2:$A$501,0)),"?"))</f>
        <v/>
      </c>
      <c r="I171" s="8">
        <f>IF(A171="","",A171-WEEKDAY(A171,3))</f>
        <v/>
      </c>
      <c r="K171" s="7">
        <f>IF(A171="","",IF(OR(B171="",C171="",D171="",E171=""),"Missing info",IF(ISNA(MATCH(B171,Staff!$A$2:$A$101,0)),"Unknown employee",IF(H171="?","Unknown site",IF(G171&lt;=0,"Check times",IF(G171&gt;12,"Over 12h",IF(COUNTIFS($L$2:$L$2001,L171)&gt;1,"Duplicate?",IF(A171&gt;TODAY(),"Future date","OK"))))))))</f>
        <v/>
      </c>
      <c r="L171">
        <f>IF(A171="","",TEXT(A171,"yyyy-mm-dd")&amp;"|"&amp;B171&amp;"|"&amp;C171)</f>
        <v/>
      </c>
    </row>
    <row r="172">
      <c r="A172" s="4" t="n"/>
      <c r="D172" s="5" t="n"/>
      <c r="E172" s="5" t="n"/>
      <c r="G172" s="6">
        <f>IF(OR(A172="",D172="",E172=""),"",ROUND(MOD(E172-D172,1)*24-N(F172)/60,2))</f>
        <v/>
      </c>
      <c r="H172" s="7">
        <f>IF(C172="","",IFERROR(INDEX(Sites!$B$2:$B$501,MATCH(C172,Sites!$A$2:$A$501,0)),"?"))</f>
        <v/>
      </c>
      <c r="I172" s="8">
        <f>IF(A172="","",A172-WEEKDAY(A172,3))</f>
        <v/>
      </c>
      <c r="K172" s="7">
        <f>IF(A172="","",IF(OR(B172="",C172="",D172="",E172=""),"Missing info",IF(ISNA(MATCH(B172,Staff!$A$2:$A$101,0)),"Unknown employee",IF(H172="?","Unknown site",IF(G172&lt;=0,"Check times",IF(G172&gt;12,"Over 12h",IF(COUNTIFS($L$2:$L$2001,L172)&gt;1,"Duplicate?",IF(A172&gt;TODAY(),"Future date","OK"))))))))</f>
        <v/>
      </c>
      <c r="L172">
        <f>IF(A172="","",TEXT(A172,"yyyy-mm-dd")&amp;"|"&amp;B172&amp;"|"&amp;C172)</f>
        <v/>
      </c>
    </row>
    <row r="173">
      <c r="A173" s="4" t="n"/>
      <c r="D173" s="5" t="n"/>
      <c r="E173" s="5" t="n"/>
      <c r="G173" s="6">
        <f>IF(OR(A173="",D173="",E173=""),"",ROUND(MOD(E173-D173,1)*24-N(F173)/60,2))</f>
        <v/>
      </c>
      <c r="H173" s="7">
        <f>IF(C173="","",IFERROR(INDEX(Sites!$B$2:$B$501,MATCH(C173,Sites!$A$2:$A$501,0)),"?"))</f>
        <v/>
      </c>
      <c r="I173" s="8">
        <f>IF(A173="","",A173-WEEKDAY(A173,3))</f>
        <v/>
      </c>
      <c r="K173" s="7">
        <f>IF(A173="","",IF(OR(B173="",C173="",D173="",E173=""),"Missing info",IF(ISNA(MATCH(B173,Staff!$A$2:$A$101,0)),"Unknown employee",IF(H173="?","Unknown site",IF(G173&lt;=0,"Check times",IF(G173&gt;12,"Over 12h",IF(COUNTIFS($L$2:$L$2001,L173)&gt;1,"Duplicate?",IF(A173&gt;TODAY(),"Future date","OK"))))))))</f>
        <v/>
      </c>
      <c r="L173">
        <f>IF(A173="","",TEXT(A173,"yyyy-mm-dd")&amp;"|"&amp;B173&amp;"|"&amp;C173)</f>
        <v/>
      </c>
    </row>
    <row r="174">
      <c r="A174" s="4" t="n"/>
      <c r="D174" s="5" t="n"/>
      <c r="E174" s="5" t="n"/>
      <c r="G174" s="6">
        <f>IF(OR(A174="",D174="",E174=""),"",ROUND(MOD(E174-D174,1)*24-N(F174)/60,2))</f>
        <v/>
      </c>
      <c r="H174" s="7">
        <f>IF(C174="","",IFERROR(INDEX(Sites!$B$2:$B$501,MATCH(C174,Sites!$A$2:$A$501,0)),"?"))</f>
        <v/>
      </c>
      <c r="I174" s="8">
        <f>IF(A174="","",A174-WEEKDAY(A174,3))</f>
        <v/>
      </c>
      <c r="K174" s="7">
        <f>IF(A174="","",IF(OR(B174="",C174="",D174="",E174=""),"Missing info",IF(ISNA(MATCH(B174,Staff!$A$2:$A$101,0)),"Unknown employee",IF(H174="?","Unknown site",IF(G174&lt;=0,"Check times",IF(G174&gt;12,"Over 12h",IF(COUNTIFS($L$2:$L$2001,L174)&gt;1,"Duplicate?",IF(A174&gt;TODAY(),"Future date","OK"))))))))</f>
        <v/>
      </c>
      <c r="L174">
        <f>IF(A174="","",TEXT(A174,"yyyy-mm-dd")&amp;"|"&amp;B174&amp;"|"&amp;C174)</f>
        <v/>
      </c>
    </row>
    <row r="175">
      <c r="A175" s="4" t="n"/>
      <c r="D175" s="5" t="n"/>
      <c r="E175" s="5" t="n"/>
      <c r="G175" s="6">
        <f>IF(OR(A175="",D175="",E175=""),"",ROUND(MOD(E175-D175,1)*24-N(F175)/60,2))</f>
        <v/>
      </c>
      <c r="H175" s="7">
        <f>IF(C175="","",IFERROR(INDEX(Sites!$B$2:$B$501,MATCH(C175,Sites!$A$2:$A$501,0)),"?"))</f>
        <v/>
      </c>
      <c r="I175" s="8">
        <f>IF(A175="","",A175-WEEKDAY(A175,3))</f>
        <v/>
      </c>
      <c r="K175" s="7">
        <f>IF(A175="","",IF(OR(B175="",C175="",D175="",E175=""),"Missing info",IF(ISNA(MATCH(B175,Staff!$A$2:$A$101,0)),"Unknown employee",IF(H175="?","Unknown site",IF(G175&lt;=0,"Check times",IF(G175&gt;12,"Over 12h",IF(COUNTIFS($L$2:$L$2001,L175)&gt;1,"Duplicate?",IF(A175&gt;TODAY(),"Future date","OK"))))))))</f>
        <v/>
      </c>
      <c r="L175">
        <f>IF(A175="","",TEXT(A175,"yyyy-mm-dd")&amp;"|"&amp;B175&amp;"|"&amp;C175)</f>
        <v/>
      </c>
    </row>
    <row r="176">
      <c r="A176" s="4" t="n"/>
      <c r="D176" s="5" t="n"/>
      <c r="E176" s="5" t="n"/>
      <c r="G176" s="6">
        <f>IF(OR(A176="",D176="",E176=""),"",ROUND(MOD(E176-D176,1)*24-N(F176)/60,2))</f>
        <v/>
      </c>
      <c r="H176" s="7">
        <f>IF(C176="","",IFERROR(INDEX(Sites!$B$2:$B$501,MATCH(C176,Sites!$A$2:$A$501,0)),"?"))</f>
        <v/>
      </c>
      <c r="I176" s="8">
        <f>IF(A176="","",A176-WEEKDAY(A176,3))</f>
        <v/>
      </c>
      <c r="K176" s="7">
        <f>IF(A176="","",IF(OR(B176="",C176="",D176="",E176=""),"Missing info",IF(ISNA(MATCH(B176,Staff!$A$2:$A$101,0)),"Unknown employee",IF(H176="?","Unknown site",IF(G176&lt;=0,"Check times",IF(G176&gt;12,"Over 12h",IF(COUNTIFS($L$2:$L$2001,L176)&gt;1,"Duplicate?",IF(A176&gt;TODAY(),"Future date","OK"))))))))</f>
        <v/>
      </c>
      <c r="L176">
        <f>IF(A176="","",TEXT(A176,"yyyy-mm-dd")&amp;"|"&amp;B176&amp;"|"&amp;C176)</f>
        <v/>
      </c>
    </row>
    <row r="177">
      <c r="A177" s="4" t="n"/>
      <c r="D177" s="5" t="n"/>
      <c r="E177" s="5" t="n"/>
      <c r="G177" s="6">
        <f>IF(OR(A177="",D177="",E177=""),"",ROUND(MOD(E177-D177,1)*24-N(F177)/60,2))</f>
        <v/>
      </c>
      <c r="H177" s="7">
        <f>IF(C177="","",IFERROR(INDEX(Sites!$B$2:$B$501,MATCH(C177,Sites!$A$2:$A$501,0)),"?"))</f>
        <v/>
      </c>
      <c r="I177" s="8">
        <f>IF(A177="","",A177-WEEKDAY(A177,3))</f>
        <v/>
      </c>
      <c r="K177" s="7">
        <f>IF(A177="","",IF(OR(B177="",C177="",D177="",E177=""),"Missing info",IF(ISNA(MATCH(B177,Staff!$A$2:$A$101,0)),"Unknown employee",IF(H177="?","Unknown site",IF(G177&lt;=0,"Check times",IF(G177&gt;12,"Over 12h",IF(COUNTIFS($L$2:$L$2001,L177)&gt;1,"Duplicate?",IF(A177&gt;TODAY(),"Future date","OK"))))))))</f>
        <v/>
      </c>
      <c r="L177">
        <f>IF(A177="","",TEXT(A177,"yyyy-mm-dd")&amp;"|"&amp;B177&amp;"|"&amp;C177)</f>
        <v/>
      </c>
    </row>
    <row r="178">
      <c r="A178" s="4" t="n"/>
      <c r="D178" s="5" t="n"/>
      <c r="E178" s="5" t="n"/>
      <c r="G178" s="6">
        <f>IF(OR(A178="",D178="",E178=""),"",ROUND(MOD(E178-D178,1)*24-N(F178)/60,2))</f>
        <v/>
      </c>
      <c r="H178" s="7">
        <f>IF(C178="","",IFERROR(INDEX(Sites!$B$2:$B$501,MATCH(C178,Sites!$A$2:$A$501,0)),"?"))</f>
        <v/>
      </c>
      <c r="I178" s="8">
        <f>IF(A178="","",A178-WEEKDAY(A178,3))</f>
        <v/>
      </c>
      <c r="K178" s="7">
        <f>IF(A178="","",IF(OR(B178="",C178="",D178="",E178=""),"Missing info",IF(ISNA(MATCH(B178,Staff!$A$2:$A$101,0)),"Unknown employee",IF(H178="?","Unknown site",IF(G178&lt;=0,"Check times",IF(G178&gt;12,"Over 12h",IF(COUNTIFS($L$2:$L$2001,L178)&gt;1,"Duplicate?",IF(A178&gt;TODAY(),"Future date","OK"))))))))</f>
        <v/>
      </c>
      <c r="L178">
        <f>IF(A178="","",TEXT(A178,"yyyy-mm-dd")&amp;"|"&amp;B178&amp;"|"&amp;C178)</f>
        <v/>
      </c>
    </row>
    <row r="179">
      <c r="A179" s="4" t="n"/>
      <c r="D179" s="5" t="n"/>
      <c r="E179" s="5" t="n"/>
      <c r="G179" s="6">
        <f>IF(OR(A179="",D179="",E179=""),"",ROUND(MOD(E179-D179,1)*24-N(F179)/60,2))</f>
        <v/>
      </c>
      <c r="H179" s="7">
        <f>IF(C179="","",IFERROR(INDEX(Sites!$B$2:$B$501,MATCH(C179,Sites!$A$2:$A$501,0)),"?"))</f>
        <v/>
      </c>
      <c r="I179" s="8">
        <f>IF(A179="","",A179-WEEKDAY(A179,3))</f>
        <v/>
      </c>
      <c r="K179" s="7">
        <f>IF(A179="","",IF(OR(B179="",C179="",D179="",E179=""),"Missing info",IF(ISNA(MATCH(B179,Staff!$A$2:$A$101,0)),"Unknown employee",IF(H179="?","Unknown site",IF(G179&lt;=0,"Check times",IF(G179&gt;12,"Over 12h",IF(COUNTIFS($L$2:$L$2001,L179)&gt;1,"Duplicate?",IF(A179&gt;TODAY(),"Future date","OK"))))))))</f>
        <v/>
      </c>
      <c r="L179">
        <f>IF(A179="","",TEXT(A179,"yyyy-mm-dd")&amp;"|"&amp;B179&amp;"|"&amp;C179)</f>
        <v/>
      </c>
    </row>
    <row r="180">
      <c r="A180" s="4" t="n"/>
      <c r="D180" s="5" t="n"/>
      <c r="E180" s="5" t="n"/>
      <c r="G180" s="6">
        <f>IF(OR(A180="",D180="",E180=""),"",ROUND(MOD(E180-D180,1)*24-N(F180)/60,2))</f>
        <v/>
      </c>
      <c r="H180" s="7">
        <f>IF(C180="","",IFERROR(INDEX(Sites!$B$2:$B$501,MATCH(C180,Sites!$A$2:$A$501,0)),"?"))</f>
        <v/>
      </c>
      <c r="I180" s="8">
        <f>IF(A180="","",A180-WEEKDAY(A180,3))</f>
        <v/>
      </c>
      <c r="K180" s="7">
        <f>IF(A180="","",IF(OR(B180="",C180="",D180="",E180=""),"Missing info",IF(ISNA(MATCH(B180,Staff!$A$2:$A$101,0)),"Unknown employee",IF(H180="?","Unknown site",IF(G180&lt;=0,"Check times",IF(G180&gt;12,"Over 12h",IF(COUNTIFS($L$2:$L$2001,L180)&gt;1,"Duplicate?",IF(A180&gt;TODAY(),"Future date","OK"))))))))</f>
        <v/>
      </c>
      <c r="L180">
        <f>IF(A180="","",TEXT(A180,"yyyy-mm-dd")&amp;"|"&amp;B180&amp;"|"&amp;C180)</f>
        <v/>
      </c>
    </row>
    <row r="181">
      <c r="A181" s="4" t="n"/>
      <c r="D181" s="5" t="n"/>
      <c r="E181" s="5" t="n"/>
      <c r="G181" s="6">
        <f>IF(OR(A181="",D181="",E181=""),"",ROUND(MOD(E181-D181,1)*24-N(F181)/60,2))</f>
        <v/>
      </c>
      <c r="H181" s="7">
        <f>IF(C181="","",IFERROR(INDEX(Sites!$B$2:$B$501,MATCH(C181,Sites!$A$2:$A$501,0)),"?"))</f>
        <v/>
      </c>
      <c r="I181" s="8">
        <f>IF(A181="","",A181-WEEKDAY(A181,3))</f>
        <v/>
      </c>
      <c r="K181" s="7">
        <f>IF(A181="","",IF(OR(B181="",C181="",D181="",E181=""),"Missing info",IF(ISNA(MATCH(B181,Staff!$A$2:$A$101,0)),"Unknown employee",IF(H181="?","Unknown site",IF(G181&lt;=0,"Check times",IF(G181&gt;12,"Over 12h",IF(COUNTIFS($L$2:$L$2001,L181)&gt;1,"Duplicate?",IF(A181&gt;TODAY(),"Future date","OK"))))))))</f>
        <v/>
      </c>
      <c r="L181">
        <f>IF(A181="","",TEXT(A181,"yyyy-mm-dd")&amp;"|"&amp;B181&amp;"|"&amp;C181)</f>
        <v/>
      </c>
    </row>
    <row r="182">
      <c r="A182" s="4" t="n"/>
      <c r="D182" s="5" t="n"/>
      <c r="E182" s="5" t="n"/>
      <c r="G182" s="6">
        <f>IF(OR(A182="",D182="",E182=""),"",ROUND(MOD(E182-D182,1)*24-N(F182)/60,2))</f>
        <v/>
      </c>
      <c r="H182" s="7">
        <f>IF(C182="","",IFERROR(INDEX(Sites!$B$2:$B$501,MATCH(C182,Sites!$A$2:$A$501,0)),"?"))</f>
        <v/>
      </c>
      <c r="I182" s="8">
        <f>IF(A182="","",A182-WEEKDAY(A182,3))</f>
        <v/>
      </c>
      <c r="K182" s="7">
        <f>IF(A182="","",IF(OR(B182="",C182="",D182="",E182=""),"Missing info",IF(ISNA(MATCH(B182,Staff!$A$2:$A$101,0)),"Unknown employee",IF(H182="?","Unknown site",IF(G182&lt;=0,"Check times",IF(G182&gt;12,"Over 12h",IF(COUNTIFS($L$2:$L$2001,L182)&gt;1,"Duplicate?",IF(A182&gt;TODAY(),"Future date","OK"))))))))</f>
        <v/>
      </c>
      <c r="L182">
        <f>IF(A182="","",TEXT(A182,"yyyy-mm-dd")&amp;"|"&amp;B182&amp;"|"&amp;C182)</f>
        <v/>
      </c>
    </row>
    <row r="183">
      <c r="A183" s="4" t="n"/>
      <c r="D183" s="5" t="n"/>
      <c r="E183" s="5" t="n"/>
      <c r="G183" s="6">
        <f>IF(OR(A183="",D183="",E183=""),"",ROUND(MOD(E183-D183,1)*24-N(F183)/60,2))</f>
        <v/>
      </c>
      <c r="H183" s="7">
        <f>IF(C183="","",IFERROR(INDEX(Sites!$B$2:$B$501,MATCH(C183,Sites!$A$2:$A$501,0)),"?"))</f>
        <v/>
      </c>
      <c r="I183" s="8">
        <f>IF(A183="","",A183-WEEKDAY(A183,3))</f>
        <v/>
      </c>
      <c r="K183" s="7">
        <f>IF(A183="","",IF(OR(B183="",C183="",D183="",E183=""),"Missing info",IF(ISNA(MATCH(B183,Staff!$A$2:$A$101,0)),"Unknown employee",IF(H183="?","Unknown site",IF(G183&lt;=0,"Check times",IF(G183&gt;12,"Over 12h",IF(COUNTIFS($L$2:$L$2001,L183)&gt;1,"Duplicate?",IF(A183&gt;TODAY(),"Future date","OK"))))))))</f>
        <v/>
      </c>
      <c r="L183">
        <f>IF(A183="","",TEXT(A183,"yyyy-mm-dd")&amp;"|"&amp;B183&amp;"|"&amp;C183)</f>
        <v/>
      </c>
    </row>
    <row r="184">
      <c r="A184" s="4" t="n"/>
      <c r="D184" s="5" t="n"/>
      <c r="E184" s="5" t="n"/>
      <c r="G184" s="6">
        <f>IF(OR(A184="",D184="",E184=""),"",ROUND(MOD(E184-D184,1)*24-N(F184)/60,2))</f>
        <v/>
      </c>
      <c r="H184" s="7">
        <f>IF(C184="","",IFERROR(INDEX(Sites!$B$2:$B$501,MATCH(C184,Sites!$A$2:$A$501,0)),"?"))</f>
        <v/>
      </c>
      <c r="I184" s="8">
        <f>IF(A184="","",A184-WEEKDAY(A184,3))</f>
        <v/>
      </c>
      <c r="K184" s="7">
        <f>IF(A184="","",IF(OR(B184="",C184="",D184="",E184=""),"Missing info",IF(ISNA(MATCH(B184,Staff!$A$2:$A$101,0)),"Unknown employee",IF(H184="?","Unknown site",IF(G184&lt;=0,"Check times",IF(G184&gt;12,"Over 12h",IF(COUNTIFS($L$2:$L$2001,L184)&gt;1,"Duplicate?",IF(A184&gt;TODAY(),"Future date","OK"))))))))</f>
        <v/>
      </c>
      <c r="L184">
        <f>IF(A184="","",TEXT(A184,"yyyy-mm-dd")&amp;"|"&amp;B184&amp;"|"&amp;C184)</f>
        <v/>
      </c>
    </row>
    <row r="185">
      <c r="A185" s="4" t="n"/>
      <c r="D185" s="5" t="n"/>
      <c r="E185" s="5" t="n"/>
      <c r="G185" s="6">
        <f>IF(OR(A185="",D185="",E185=""),"",ROUND(MOD(E185-D185,1)*24-N(F185)/60,2))</f>
        <v/>
      </c>
      <c r="H185" s="7">
        <f>IF(C185="","",IFERROR(INDEX(Sites!$B$2:$B$501,MATCH(C185,Sites!$A$2:$A$501,0)),"?"))</f>
        <v/>
      </c>
      <c r="I185" s="8">
        <f>IF(A185="","",A185-WEEKDAY(A185,3))</f>
        <v/>
      </c>
      <c r="K185" s="7">
        <f>IF(A185="","",IF(OR(B185="",C185="",D185="",E185=""),"Missing info",IF(ISNA(MATCH(B185,Staff!$A$2:$A$101,0)),"Unknown employee",IF(H185="?","Unknown site",IF(G185&lt;=0,"Check times",IF(G185&gt;12,"Over 12h",IF(COUNTIFS($L$2:$L$2001,L185)&gt;1,"Duplicate?",IF(A185&gt;TODAY(),"Future date","OK"))))))))</f>
        <v/>
      </c>
      <c r="L185">
        <f>IF(A185="","",TEXT(A185,"yyyy-mm-dd")&amp;"|"&amp;B185&amp;"|"&amp;C185)</f>
        <v/>
      </c>
    </row>
    <row r="186">
      <c r="A186" s="4" t="n"/>
      <c r="D186" s="5" t="n"/>
      <c r="E186" s="5" t="n"/>
      <c r="G186" s="6">
        <f>IF(OR(A186="",D186="",E186=""),"",ROUND(MOD(E186-D186,1)*24-N(F186)/60,2))</f>
        <v/>
      </c>
      <c r="H186" s="7">
        <f>IF(C186="","",IFERROR(INDEX(Sites!$B$2:$B$501,MATCH(C186,Sites!$A$2:$A$501,0)),"?"))</f>
        <v/>
      </c>
      <c r="I186" s="8">
        <f>IF(A186="","",A186-WEEKDAY(A186,3))</f>
        <v/>
      </c>
      <c r="K186" s="7">
        <f>IF(A186="","",IF(OR(B186="",C186="",D186="",E186=""),"Missing info",IF(ISNA(MATCH(B186,Staff!$A$2:$A$101,0)),"Unknown employee",IF(H186="?","Unknown site",IF(G186&lt;=0,"Check times",IF(G186&gt;12,"Over 12h",IF(COUNTIFS($L$2:$L$2001,L186)&gt;1,"Duplicate?",IF(A186&gt;TODAY(),"Future date","OK"))))))))</f>
        <v/>
      </c>
      <c r="L186">
        <f>IF(A186="","",TEXT(A186,"yyyy-mm-dd")&amp;"|"&amp;B186&amp;"|"&amp;C186)</f>
        <v/>
      </c>
    </row>
    <row r="187">
      <c r="A187" s="4" t="n"/>
      <c r="D187" s="5" t="n"/>
      <c r="E187" s="5" t="n"/>
      <c r="G187" s="6">
        <f>IF(OR(A187="",D187="",E187=""),"",ROUND(MOD(E187-D187,1)*24-N(F187)/60,2))</f>
        <v/>
      </c>
      <c r="H187" s="7">
        <f>IF(C187="","",IFERROR(INDEX(Sites!$B$2:$B$501,MATCH(C187,Sites!$A$2:$A$501,0)),"?"))</f>
        <v/>
      </c>
      <c r="I187" s="8">
        <f>IF(A187="","",A187-WEEKDAY(A187,3))</f>
        <v/>
      </c>
      <c r="K187" s="7">
        <f>IF(A187="","",IF(OR(B187="",C187="",D187="",E187=""),"Missing info",IF(ISNA(MATCH(B187,Staff!$A$2:$A$101,0)),"Unknown employee",IF(H187="?","Unknown site",IF(G187&lt;=0,"Check times",IF(G187&gt;12,"Over 12h",IF(COUNTIFS($L$2:$L$2001,L187)&gt;1,"Duplicate?",IF(A187&gt;TODAY(),"Future date","OK"))))))))</f>
        <v/>
      </c>
      <c r="L187">
        <f>IF(A187="","",TEXT(A187,"yyyy-mm-dd")&amp;"|"&amp;B187&amp;"|"&amp;C187)</f>
        <v/>
      </c>
    </row>
    <row r="188">
      <c r="A188" s="4" t="n"/>
      <c r="D188" s="5" t="n"/>
      <c r="E188" s="5" t="n"/>
      <c r="G188" s="6">
        <f>IF(OR(A188="",D188="",E188=""),"",ROUND(MOD(E188-D188,1)*24-N(F188)/60,2))</f>
        <v/>
      </c>
      <c r="H188" s="7">
        <f>IF(C188="","",IFERROR(INDEX(Sites!$B$2:$B$501,MATCH(C188,Sites!$A$2:$A$501,0)),"?"))</f>
        <v/>
      </c>
      <c r="I188" s="8">
        <f>IF(A188="","",A188-WEEKDAY(A188,3))</f>
        <v/>
      </c>
      <c r="K188" s="7">
        <f>IF(A188="","",IF(OR(B188="",C188="",D188="",E188=""),"Missing info",IF(ISNA(MATCH(B188,Staff!$A$2:$A$101,0)),"Unknown employee",IF(H188="?","Unknown site",IF(G188&lt;=0,"Check times",IF(G188&gt;12,"Over 12h",IF(COUNTIFS($L$2:$L$2001,L188)&gt;1,"Duplicate?",IF(A188&gt;TODAY(),"Future date","OK"))))))))</f>
        <v/>
      </c>
      <c r="L188">
        <f>IF(A188="","",TEXT(A188,"yyyy-mm-dd")&amp;"|"&amp;B188&amp;"|"&amp;C188)</f>
        <v/>
      </c>
    </row>
    <row r="189">
      <c r="A189" s="4" t="n"/>
      <c r="D189" s="5" t="n"/>
      <c r="E189" s="5" t="n"/>
      <c r="G189" s="6">
        <f>IF(OR(A189="",D189="",E189=""),"",ROUND(MOD(E189-D189,1)*24-N(F189)/60,2))</f>
        <v/>
      </c>
      <c r="H189" s="7">
        <f>IF(C189="","",IFERROR(INDEX(Sites!$B$2:$B$501,MATCH(C189,Sites!$A$2:$A$501,0)),"?"))</f>
        <v/>
      </c>
      <c r="I189" s="8">
        <f>IF(A189="","",A189-WEEKDAY(A189,3))</f>
        <v/>
      </c>
      <c r="K189" s="7">
        <f>IF(A189="","",IF(OR(B189="",C189="",D189="",E189=""),"Missing info",IF(ISNA(MATCH(B189,Staff!$A$2:$A$101,0)),"Unknown employee",IF(H189="?","Unknown site",IF(G189&lt;=0,"Check times",IF(G189&gt;12,"Over 12h",IF(COUNTIFS($L$2:$L$2001,L189)&gt;1,"Duplicate?",IF(A189&gt;TODAY(),"Future date","OK"))))))))</f>
        <v/>
      </c>
      <c r="L189">
        <f>IF(A189="","",TEXT(A189,"yyyy-mm-dd")&amp;"|"&amp;B189&amp;"|"&amp;C189)</f>
        <v/>
      </c>
    </row>
    <row r="190">
      <c r="A190" s="4" t="n"/>
      <c r="D190" s="5" t="n"/>
      <c r="E190" s="5" t="n"/>
      <c r="G190" s="6">
        <f>IF(OR(A190="",D190="",E190=""),"",ROUND(MOD(E190-D190,1)*24-N(F190)/60,2))</f>
        <v/>
      </c>
      <c r="H190" s="7">
        <f>IF(C190="","",IFERROR(INDEX(Sites!$B$2:$B$501,MATCH(C190,Sites!$A$2:$A$501,0)),"?"))</f>
        <v/>
      </c>
      <c r="I190" s="8">
        <f>IF(A190="","",A190-WEEKDAY(A190,3))</f>
        <v/>
      </c>
      <c r="K190" s="7">
        <f>IF(A190="","",IF(OR(B190="",C190="",D190="",E190=""),"Missing info",IF(ISNA(MATCH(B190,Staff!$A$2:$A$101,0)),"Unknown employee",IF(H190="?","Unknown site",IF(G190&lt;=0,"Check times",IF(G190&gt;12,"Over 12h",IF(COUNTIFS($L$2:$L$2001,L190)&gt;1,"Duplicate?",IF(A190&gt;TODAY(),"Future date","OK"))))))))</f>
        <v/>
      </c>
      <c r="L190">
        <f>IF(A190="","",TEXT(A190,"yyyy-mm-dd")&amp;"|"&amp;B190&amp;"|"&amp;C190)</f>
        <v/>
      </c>
    </row>
    <row r="191">
      <c r="A191" s="4" t="n"/>
      <c r="D191" s="5" t="n"/>
      <c r="E191" s="5" t="n"/>
      <c r="G191" s="6">
        <f>IF(OR(A191="",D191="",E191=""),"",ROUND(MOD(E191-D191,1)*24-N(F191)/60,2))</f>
        <v/>
      </c>
      <c r="H191" s="7">
        <f>IF(C191="","",IFERROR(INDEX(Sites!$B$2:$B$501,MATCH(C191,Sites!$A$2:$A$501,0)),"?"))</f>
        <v/>
      </c>
      <c r="I191" s="8">
        <f>IF(A191="","",A191-WEEKDAY(A191,3))</f>
        <v/>
      </c>
      <c r="K191" s="7">
        <f>IF(A191="","",IF(OR(B191="",C191="",D191="",E191=""),"Missing info",IF(ISNA(MATCH(B191,Staff!$A$2:$A$101,0)),"Unknown employee",IF(H191="?","Unknown site",IF(G191&lt;=0,"Check times",IF(G191&gt;12,"Over 12h",IF(COUNTIFS($L$2:$L$2001,L191)&gt;1,"Duplicate?",IF(A191&gt;TODAY(),"Future date","OK"))))))))</f>
        <v/>
      </c>
      <c r="L191">
        <f>IF(A191="","",TEXT(A191,"yyyy-mm-dd")&amp;"|"&amp;B191&amp;"|"&amp;C191)</f>
        <v/>
      </c>
    </row>
    <row r="192">
      <c r="A192" s="4" t="n"/>
      <c r="D192" s="5" t="n"/>
      <c r="E192" s="5" t="n"/>
      <c r="G192" s="6">
        <f>IF(OR(A192="",D192="",E192=""),"",ROUND(MOD(E192-D192,1)*24-N(F192)/60,2))</f>
        <v/>
      </c>
      <c r="H192" s="7">
        <f>IF(C192="","",IFERROR(INDEX(Sites!$B$2:$B$501,MATCH(C192,Sites!$A$2:$A$501,0)),"?"))</f>
        <v/>
      </c>
      <c r="I192" s="8">
        <f>IF(A192="","",A192-WEEKDAY(A192,3))</f>
        <v/>
      </c>
      <c r="K192" s="7">
        <f>IF(A192="","",IF(OR(B192="",C192="",D192="",E192=""),"Missing info",IF(ISNA(MATCH(B192,Staff!$A$2:$A$101,0)),"Unknown employee",IF(H192="?","Unknown site",IF(G192&lt;=0,"Check times",IF(G192&gt;12,"Over 12h",IF(COUNTIFS($L$2:$L$2001,L192)&gt;1,"Duplicate?",IF(A192&gt;TODAY(),"Future date","OK"))))))))</f>
        <v/>
      </c>
      <c r="L192">
        <f>IF(A192="","",TEXT(A192,"yyyy-mm-dd")&amp;"|"&amp;B192&amp;"|"&amp;C192)</f>
        <v/>
      </c>
    </row>
    <row r="193">
      <c r="A193" s="4" t="n"/>
      <c r="D193" s="5" t="n"/>
      <c r="E193" s="5" t="n"/>
      <c r="G193" s="6">
        <f>IF(OR(A193="",D193="",E193=""),"",ROUND(MOD(E193-D193,1)*24-N(F193)/60,2))</f>
        <v/>
      </c>
      <c r="H193" s="7">
        <f>IF(C193="","",IFERROR(INDEX(Sites!$B$2:$B$501,MATCH(C193,Sites!$A$2:$A$501,0)),"?"))</f>
        <v/>
      </c>
      <c r="I193" s="8">
        <f>IF(A193="","",A193-WEEKDAY(A193,3))</f>
        <v/>
      </c>
      <c r="K193" s="7">
        <f>IF(A193="","",IF(OR(B193="",C193="",D193="",E193=""),"Missing info",IF(ISNA(MATCH(B193,Staff!$A$2:$A$101,0)),"Unknown employee",IF(H193="?","Unknown site",IF(G193&lt;=0,"Check times",IF(G193&gt;12,"Over 12h",IF(COUNTIFS($L$2:$L$2001,L193)&gt;1,"Duplicate?",IF(A193&gt;TODAY(),"Future date","OK"))))))))</f>
        <v/>
      </c>
      <c r="L193">
        <f>IF(A193="","",TEXT(A193,"yyyy-mm-dd")&amp;"|"&amp;B193&amp;"|"&amp;C193)</f>
        <v/>
      </c>
    </row>
    <row r="194">
      <c r="A194" s="4" t="n"/>
      <c r="D194" s="5" t="n"/>
      <c r="E194" s="5" t="n"/>
      <c r="G194" s="6">
        <f>IF(OR(A194="",D194="",E194=""),"",ROUND(MOD(E194-D194,1)*24-N(F194)/60,2))</f>
        <v/>
      </c>
      <c r="H194" s="7">
        <f>IF(C194="","",IFERROR(INDEX(Sites!$B$2:$B$501,MATCH(C194,Sites!$A$2:$A$501,0)),"?"))</f>
        <v/>
      </c>
      <c r="I194" s="8">
        <f>IF(A194="","",A194-WEEKDAY(A194,3))</f>
        <v/>
      </c>
      <c r="K194" s="7">
        <f>IF(A194="","",IF(OR(B194="",C194="",D194="",E194=""),"Missing info",IF(ISNA(MATCH(B194,Staff!$A$2:$A$101,0)),"Unknown employee",IF(H194="?","Unknown site",IF(G194&lt;=0,"Check times",IF(G194&gt;12,"Over 12h",IF(COUNTIFS($L$2:$L$2001,L194)&gt;1,"Duplicate?",IF(A194&gt;TODAY(),"Future date","OK"))))))))</f>
        <v/>
      </c>
      <c r="L194">
        <f>IF(A194="","",TEXT(A194,"yyyy-mm-dd")&amp;"|"&amp;B194&amp;"|"&amp;C194)</f>
        <v/>
      </c>
    </row>
    <row r="195">
      <c r="A195" s="4" t="n"/>
      <c r="D195" s="5" t="n"/>
      <c r="E195" s="5" t="n"/>
      <c r="G195" s="6">
        <f>IF(OR(A195="",D195="",E195=""),"",ROUND(MOD(E195-D195,1)*24-N(F195)/60,2))</f>
        <v/>
      </c>
      <c r="H195" s="7">
        <f>IF(C195="","",IFERROR(INDEX(Sites!$B$2:$B$501,MATCH(C195,Sites!$A$2:$A$501,0)),"?"))</f>
        <v/>
      </c>
      <c r="I195" s="8">
        <f>IF(A195="","",A195-WEEKDAY(A195,3))</f>
        <v/>
      </c>
      <c r="K195" s="7">
        <f>IF(A195="","",IF(OR(B195="",C195="",D195="",E195=""),"Missing info",IF(ISNA(MATCH(B195,Staff!$A$2:$A$101,0)),"Unknown employee",IF(H195="?","Unknown site",IF(G195&lt;=0,"Check times",IF(G195&gt;12,"Over 12h",IF(COUNTIFS($L$2:$L$2001,L195)&gt;1,"Duplicate?",IF(A195&gt;TODAY(),"Future date","OK"))))))))</f>
        <v/>
      </c>
      <c r="L195">
        <f>IF(A195="","",TEXT(A195,"yyyy-mm-dd")&amp;"|"&amp;B195&amp;"|"&amp;C195)</f>
        <v/>
      </c>
    </row>
    <row r="196">
      <c r="A196" s="4" t="n"/>
      <c r="D196" s="5" t="n"/>
      <c r="E196" s="5" t="n"/>
      <c r="G196" s="6">
        <f>IF(OR(A196="",D196="",E196=""),"",ROUND(MOD(E196-D196,1)*24-N(F196)/60,2))</f>
        <v/>
      </c>
      <c r="H196" s="7">
        <f>IF(C196="","",IFERROR(INDEX(Sites!$B$2:$B$501,MATCH(C196,Sites!$A$2:$A$501,0)),"?"))</f>
        <v/>
      </c>
      <c r="I196" s="8">
        <f>IF(A196="","",A196-WEEKDAY(A196,3))</f>
        <v/>
      </c>
      <c r="K196" s="7">
        <f>IF(A196="","",IF(OR(B196="",C196="",D196="",E196=""),"Missing info",IF(ISNA(MATCH(B196,Staff!$A$2:$A$101,0)),"Unknown employee",IF(H196="?","Unknown site",IF(G196&lt;=0,"Check times",IF(G196&gt;12,"Over 12h",IF(COUNTIFS($L$2:$L$2001,L196)&gt;1,"Duplicate?",IF(A196&gt;TODAY(),"Future date","OK"))))))))</f>
        <v/>
      </c>
      <c r="L196">
        <f>IF(A196="","",TEXT(A196,"yyyy-mm-dd")&amp;"|"&amp;B196&amp;"|"&amp;C196)</f>
        <v/>
      </c>
    </row>
    <row r="197">
      <c r="A197" s="4" t="n"/>
      <c r="D197" s="5" t="n"/>
      <c r="E197" s="5" t="n"/>
      <c r="G197" s="6">
        <f>IF(OR(A197="",D197="",E197=""),"",ROUND(MOD(E197-D197,1)*24-N(F197)/60,2))</f>
        <v/>
      </c>
      <c r="H197" s="7">
        <f>IF(C197="","",IFERROR(INDEX(Sites!$B$2:$B$501,MATCH(C197,Sites!$A$2:$A$501,0)),"?"))</f>
        <v/>
      </c>
      <c r="I197" s="8">
        <f>IF(A197="","",A197-WEEKDAY(A197,3))</f>
        <v/>
      </c>
      <c r="K197" s="7">
        <f>IF(A197="","",IF(OR(B197="",C197="",D197="",E197=""),"Missing info",IF(ISNA(MATCH(B197,Staff!$A$2:$A$101,0)),"Unknown employee",IF(H197="?","Unknown site",IF(G197&lt;=0,"Check times",IF(G197&gt;12,"Over 12h",IF(COUNTIFS($L$2:$L$2001,L197)&gt;1,"Duplicate?",IF(A197&gt;TODAY(),"Future date","OK"))))))))</f>
        <v/>
      </c>
      <c r="L197">
        <f>IF(A197="","",TEXT(A197,"yyyy-mm-dd")&amp;"|"&amp;B197&amp;"|"&amp;C197)</f>
        <v/>
      </c>
    </row>
    <row r="198">
      <c r="A198" s="4" t="n"/>
      <c r="D198" s="5" t="n"/>
      <c r="E198" s="5" t="n"/>
      <c r="G198" s="6">
        <f>IF(OR(A198="",D198="",E198=""),"",ROUND(MOD(E198-D198,1)*24-N(F198)/60,2))</f>
        <v/>
      </c>
      <c r="H198" s="7">
        <f>IF(C198="","",IFERROR(INDEX(Sites!$B$2:$B$501,MATCH(C198,Sites!$A$2:$A$501,0)),"?"))</f>
        <v/>
      </c>
      <c r="I198" s="8">
        <f>IF(A198="","",A198-WEEKDAY(A198,3))</f>
        <v/>
      </c>
      <c r="K198" s="7">
        <f>IF(A198="","",IF(OR(B198="",C198="",D198="",E198=""),"Missing info",IF(ISNA(MATCH(B198,Staff!$A$2:$A$101,0)),"Unknown employee",IF(H198="?","Unknown site",IF(G198&lt;=0,"Check times",IF(G198&gt;12,"Over 12h",IF(COUNTIFS($L$2:$L$2001,L198)&gt;1,"Duplicate?",IF(A198&gt;TODAY(),"Future date","OK"))))))))</f>
        <v/>
      </c>
      <c r="L198">
        <f>IF(A198="","",TEXT(A198,"yyyy-mm-dd")&amp;"|"&amp;B198&amp;"|"&amp;C198)</f>
        <v/>
      </c>
    </row>
    <row r="199">
      <c r="A199" s="4" t="n"/>
      <c r="D199" s="5" t="n"/>
      <c r="E199" s="5" t="n"/>
      <c r="G199" s="6">
        <f>IF(OR(A199="",D199="",E199=""),"",ROUND(MOD(E199-D199,1)*24-N(F199)/60,2))</f>
        <v/>
      </c>
      <c r="H199" s="7">
        <f>IF(C199="","",IFERROR(INDEX(Sites!$B$2:$B$501,MATCH(C199,Sites!$A$2:$A$501,0)),"?"))</f>
        <v/>
      </c>
      <c r="I199" s="8">
        <f>IF(A199="","",A199-WEEKDAY(A199,3))</f>
        <v/>
      </c>
      <c r="K199" s="7">
        <f>IF(A199="","",IF(OR(B199="",C199="",D199="",E199=""),"Missing info",IF(ISNA(MATCH(B199,Staff!$A$2:$A$101,0)),"Unknown employee",IF(H199="?","Unknown site",IF(G199&lt;=0,"Check times",IF(G199&gt;12,"Over 12h",IF(COUNTIFS($L$2:$L$2001,L199)&gt;1,"Duplicate?",IF(A199&gt;TODAY(),"Future date","OK"))))))))</f>
        <v/>
      </c>
      <c r="L199">
        <f>IF(A199="","",TEXT(A199,"yyyy-mm-dd")&amp;"|"&amp;B199&amp;"|"&amp;C199)</f>
        <v/>
      </c>
    </row>
    <row r="200">
      <c r="A200" s="4" t="n"/>
      <c r="D200" s="5" t="n"/>
      <c r="E200" s="5" t="n"/>
      <c r="G200" s="6">
        <f>IF(OR(A200="",D200="",E200=""),"",ROUND(MOD(E200-D200,1)*24-N(F200)/60,2))</f>
        <v/>
      </c>
      <c r="H200" s="7">
        <f>IF(C200="","",IFERROR(INDEX(Sites!$B$2:$B$501,MATCH(C200,Sites!$A$2:$A$501,0)),"?"))</f>
        <v/>
      </c>
      <c r="I200" s="8">
        <f>IF(A200="","",A200-WEEKDAY(A200,3))</f>
        <v/>
      </c>
      <c r="K200" s="7">
        <f>IF(A200="","",IF(OR(B200="",C200="",D200="",E200=""),"Missing info",IF(ISNA(MATCH(B200,Staff!$A$2:$A$101,0)),"Unknown employee",IF(H200="?","Unknown site",IF(G200&lt;=0,"Check times",IF(G200&gt;12,"Over 12h",IF(COUNTIFS($L$2:$L$2001,L200)&gt;1,"Duplicate?",IF(A200&gt;TODAY(),"Future date","OK"))))))))</f>
        <v/>
      </c>
      <c r="L200">
        <f>IF(A200="","",TEXT(A200,"yyyy-mm-dd")&amp;"|"&amp;B200&amp;"|"&amp;C200)</f>
        <v/>
      </c>
    </row>
    <row r="201">
      <c r="A201" s="4" t="n"/>
      <c r="D201" s="5" t="n"/>
      <c r="E201" s="5" t="n"/>
      <c r="G201" s="6">
        <f>IF(OR(A201="",D201="",E201=""),"",ROUND(MOD(E201-D201,1)*24-N(F201)/60,2))</f>
        <v/>
      </c>
      <c r="H201" s="7">
        <f>IF(C201="","",IFERROR(INDEX(Sites!$B$2:$B$501,MATCH(C201,Sites!$A$2:$A$501,0)),"?"))</f>
        <v/>
      </c>
      <c r="I201" s="8">
        <f>IF(A201="","",A201-WEEKDAY(A201,3))</f>
        <v/>
      </c>
      <c r="K201" s="7">
        <f>IF(A201="","",IF(OR(B201="",C201="",D201="",E201=""),"Missing info",IF(ISNA(MATCH(B201,Staff!$A$2:$A$101,0)),"Unknown employee",IF(H201="?","Unknown site",IF(G201&lt;=0,"Check times",IF(G201&gt;12,"Over 12h",IF(COUNTIFS($L$2:$L$2001,L201)&gt;1,"Duplicate?",IF(A201&gt;TODAY(),"Future date","OK"))))))))</f>
        <v/>
      </c>
      <c r="L201">
        <f>IF(A201="","",TEXT(A201,"yyyy-mm-dd")&amp;"|"&amp;B201&amp;"|"&amp;C201)</f>
        <v/>
      </c>
    </row>
    <row r="202">
      <c r="A202" s="4" t="n"/>
      <c r="D202" s="5" t="n"/>
      <c r="E202" s="5" t="n"/>
      <c r="G202" s="6">
        <f>IF(OR(A202="",D202="",E202=""),"",ROUND(MOD(E202-D202,1)*24-N(F202)/60,2))</f>
        <v/>
      </c>
      <c r="H202" s="7">
        <f>IF(C202="","",IFERROR(INDEX(Sites!$B$2:$B$501,MATCH(C202,Sites!$A$2:$A$501,0)),"?"))</f>
        <v/>
      </c>
      <c r="I202" s="8">
        <f>IF(A202="","",A202-WEEKDAY(A202,3))</f>
        <v/>
      </c>
      <c r="K202" s="7">
        <f>IF(A202="","",IF(OR(B202="",C202="",D202="",E202=""),"Missing info",IF(ISNA(MATCH(B202,Staff!$A$2:$A$101,0)),"Unknown employee",IF(H202="?","Unknown site",IF(G202&lt;=0,"Check times",IF(G202&gt;12,"Over 12h",IF(COUNTIFS($L$2:$L$2001,L202)&gt;1,"Duplicate?",IF(A202&gt;TODAY(),"Future date","OK"))))))))</f>
        <v/>
      </c>
      <c r="L202">
        <f>IF(A202="","",TEXT(A202,"yyyy-mm-dd")&amp;"|"&amp;B202&amp;"|"&amp;C202)</f>
        <v/>
      </c>
    </row>
    <row r="203">
      <c r="A203" s="4" t="n"/>
      <c r="D203" s="5" t="n"/>
      <c r="E203" s="5" t="n"/>
      <c r="G203" s="6">
        <f>IF(OR(A203="",D203="",E203=""),"",ROUND(MOD(E203-D203,1)*24-N(F203)/60,2))</f>
        <v/>
      </c>
      <c r="H203" s="7">
        <f>IF(C203="","",IFERROR(INDEX(Sites!$B$2:$B$501,MATCH(C203,Sites!$A$2:$A$501,0)),"?"))</f>
        <v/>
      </c>
      <c r="I203" s="8">
        <f>IF(A203="","",A203-WEEKDAY(A203,3))</f>
        <v/>
      </c>
      <c r="K203" s="7">
        <f>IF(A203="","",IF(OR(B203="",C203="",D203="",E203=""),"Missing info",IF(ISNA(MATCH(B203,Staff!$A$2:$A$101,0)),"Unknown employee",IF(H203="?","Unknown site",IF(G203&lt;=0,"Check times",IF(G203&gt;12,"Over 12h",IF(COUNTIFS($L$2:$L$2001,L203)&gt;1,"Duplicate?",IF(A203&gt;TODAY(),"Future date","OK"))))))))</f>
        <v/>
      </c>
      <c r="L203">
        <f>IF(A203="","",TEXT(A203,"yyyy-mm-dd")&amp;"|"&amp;B203&amp;"|"&amp;C203)</f>
        <v/>
      </c>
    </row>
    <row r="204">
      <c r="A204" s="4" t="n"/>
      <c r="D204" s="5" t="n"/>
      <c r="E204" s="5" t="n"/>
      <c r="G204" s="6">
        <f>IF(OR(A204="",D204="",E204=""),"",ROUND(MOD(E204-D204,1)*24-N(F204)/60,2))</f>
        <v/>
      </c>
      <c r="H204" s="7">
        <f>IF(C204="","",IFERROR(INDEX(Sites!$B$2:$B$501,MATCH(C204,Sites!$A$2:$A$501,0)),"?"))</f>
        <v/>
      </c>
      <c r="I204" s="8">
        <f>IF(A204="","",A204-WEEKDAY(A204,3))</f>
        <v/>
      </c>
      <c r="K204" s="7">
        <f>IF(A204="","",IF(OR(B204="",C204="",D204="",E204=""),"Missing info",IF(ISNA(MATCH(B204,Staff!$A$2:$A$101,0)),"Unknown employee",IF(H204="?","Unknown site",IF(G204&lt;=0,"Check times",IF(G204&gt;12,"Over 12h",IF(COUNTIFS($L$2:$L$2001,L204)&gt;1,"Duplicate?",IF(A204&gt;TODAY(),"Future date","OK"))))))))</f>
        <v/>
      </c>
      <c r="L204">
        <f>IF(A204="","",TEXT(A204,"yyyy-mm-dd")&amp;"|"&amp;B204&amp;"|"&amp;C204)</f>
        <v/>
      </c>
    </row>
    <row r="205">
      <c r="A205" s="4" t="n"/>
      <c r="D205" s="5" t="n"/>
      <c r="E205" s="5" t="n"/>
      <c r="G205" s="6">
        <f>IF(OR(A205="",D205="",E205=""),"",ROUND(MOD(E205-D205,1)*24-N(F205)/60,2))</f>
        <v/>
      </c>
      <c r="H205" s="7">
        <f>IF(C205="","",IFERROR(INDEX(Sites!$B$2:$B$501,MATCH(C205,Sites!$A$2:$A$501,0)),"?"))</f>
        <v/>
      </c>
      <c r="I205" s="8">
        <f>IF(A205="","",A205-WEEKDAY(A205,3))</f>
        <v/>
      </c>
      <c r="K205" s="7">
        <f>IF(A205="","",IF(OR(B205="",C205="",D205="",E205=""),"Missing info",IF(ISNA(MATCH(B205,Staff!$A$2:$A$101,0)),"Unknown employee",IF(H205="?","Unknown site",IF(G205&lt;=0,"Check times",IF(G205&gt;12,"Over 12h",IF(COUNTIFS($L$2:$L$2001,L205)&gt;1,"Duplicate?",IF(A205&gt;TODAY(),"Future date","OK"))))))))</f>
        <v/>
      </c>
      <c r="L205">
        <f>IF(A205="","",TEXT(A205,"yyyy-mm-dd")&amp;"|"&amp;B205&amp;"|"&amp;C205)</f>
        <v/>
      </c>
    </row>
    <row r="206">
      <c r="A206" s="4" t="n"/>
      <c r="D206" s="5" t="n"/>
      <c r="E206" s="5" t="n"/>
      <c r="G206" s="6">
        <f>IF(OR(A206="",D206="",E206=""),"",ROUND(MOD(E206-D206,1)*24-N(F206)/60,2))</f>
        <v/>
      </c>
      <c r="H206" s="7">
        <f>IF(C206="","",IFERROR(INDEX(Sites!$B$2:$B$501,MATCH(C206,Sites!$A$2:$A$501,0)),"?"))</f>
        <v/>
      </c>
      <c r="I206" s="8">
        <f>IF(A206="","",A206-WEEKDAY(A206,3))</f>
        <v/>
      </c>
      <c r="K206" s="7">
        <f>IF(A206="","",IF(OR(B206="",C206="",D206="",E206=""),"Missing info",IF(ISNA(MATCH(B206,Staff!$A$2:$A$101,0)),"Unknown employee",IF(H206="?","Unknown site",IF(G206&lt;=0,"Check times",IF(G206&gt;12,"Over 12h",IF(COUNTIFS($L$2:$L$2001,L206)&gt;1,"Duplicate?",IF(A206&gt;TODAY(),"Future date","OK"))))))))</f>
        <v/>
      </c>
      <c r="L206">
        <f>IF(A206="","",TEXT(A206,"yyyy-mm-dd")&amp;"|"&amp;B206&amp;"|"&amp;C206)</f>
        <v/>
      </c>
    </row>
    <row r="207">
      <c r="A207" s="4" t="n"/>
      <c r="D207" s="5" t="n"/>
      <c r="E207" s="5" t="n"/>
      <c r="G207" s="6">
        <f>IF(OR(A207="",D207="",E207=""),"",ROUND(MOD(E207-D207,1)*24-N(F207)/60,2))</f>
        <v/>
      </c>
      <c r="H207" s="7">
        <f>IF(C207="","",IFERROR(INDEX(Sites!$B$2:$B$501,MATCH(C207,Sites!$A$2:$A$501,0)),"?"))</f>
        <v/>
      </c>
      <c r="I207" s="8">
        <f>IF(A207="","",A207-WEEKDAY(A207,3))</f>
        <v/>
      </c>
      <c r="K207" s="7">
        <f>IF(A207="","",IF(OR(B207="",C207="",D207="",E207=""),"Missing info",IF(ISNA(MATCH(B207,Staff!$A$2:$A$101,0)),"Unknown employee",IF(H207="?","Unknown site",IF(G207&lt;=0,"Check times",IF(G207&gt;12,"Over 12h",IF(COUNTIFS($L$2:$L$2001,L207)&gt;1,"Duplicate?",IF(A207&gt;TODAY(),"Future date","OK"))))))))</f>
        <v/>
      </c>
      <c r="L207">
        <f>IF(A207="","",TEXT(A207,"yyyy-mm-dd")&amp;"|"&amp;B207&amp;"|"&amp;C207)</f>
        <v/>
      </c>
    </row>
    <row r="208">
      <c r="A208" s="4" t="n"/>
      <c r="D208" s="5" t="n"/>
      <c r="E208" s="5" t="n"/>
      <c r="G208" s="6">
        <f>IF(OR(A208="",D208="",E208=""),"",ROUND(MOD(E208-D208,1)*24-N(F208)/60,2))</f>
        <v/>
      </c>
      <c r="H208" s="7">
        <f>IF(C208="","",IFERROR(INDEX(Sites!$B$2:$B$501,MATCH(C208,Sites!$A$2:$A$501,0)),"?"))</f>
        <v/>
      </c>
      <c r="I208" s="8">
        <f>IF(A208="","",A208-WEEKDAY(A208,3))</f>
        <v/>
      </c>
      <c r="K208" s="7">
        <f>IF(A208="","",IF(OR(B208="",C208="",D208="",E208=""),"Missing info",IF(ISNA(MATCH(B208,Staff!$A$2:$A$101,0)),"Unknown employee",IF(H208="?","Unknown site",IF(G208&lt;=0,"Check times",IF(G208&gt;12,"Over 12h",IF(COUNTIFS($L$2:$L$2001,L208)&gt;1,"Duplicate?",IF(A208&gt;TODAY(),"Future date","OK"))))))))</f>
        <v/>
      </c>
      <c r="L208">
        <f>IF(A208="","",TEXT(A208,"yyyy-mm-dd")&amp;"|"&amp;B208&amp;"|"&amp;C208)</f>
        <v/>
      </c>
    </row>
    <row r="209">
      <c r="A209" s="4" t="n"/>
      <c r="D209" s="5" t="n"/>
      <c r="E209" s="5" t="n"/>
      <c r="G209" s="6">
        <f>IF(OR(A209="",D209="",E209=""),"",ROUND(MOD(E209-D209,1)*24-N(F209)/60,2))</f>
        <v/>
      </c>
      <c r="H209" s="7">
        <f>IF(C209="","",IFERROR(INDEX(Sites!$B$2:$B$501,MATCH(C209,Sites!$A$2:$A$501,0)),"?"))</f>
        <v/>
      </c>
      <c r="I209" s="8">
        <f>IF(A209="","",A209-WEEKDAY(A209,3))</f>
        <v/>
      </c>
      <c r="K209" s="7">
        <f>IF(A209="","",IF(OR(B209="",C209="",D209="",E209=""),"Missing info",IF(ISNA(MATCH(B209,Staff!$A$2:$A$101,0)),"Unknown employee",IF(H209="?","Unknown site",IF(G209&lt;=0,"Check times",IF(G209&gt;12,"Over 12h",IF(COUNTIFS($L$2:$L$2001,L209)&gt;1,"Duplicate?",IF(A209&gt;TODAY(),"Future date","OK"))))))))</f>
        <v/>
      </c>
      <c r="L209">
        <f>IF(A209="","",TEXT(A209,"yyyy-mm-dd")&amp;"|"&amp;B209&amp;"|"&amp;C209)</f>
        <v/>
      </c>
    </row>
    <row r="210">
      <c r="A210" s="4" t="n"/>
      <c r="D210" s="5" t="n"/>
      <c r="E210" s="5" t="n"/>
      <c r="G210" s="6">
        <f>IF(OR(A210="",D210="",E210=""),"",ROUND(MOD(E210-D210,1)*24-N(F210)/60,2))</f>
        <v/>
      </c>
      <c r="H210" s="7">
        <f>IF(C210="","",IFERROR(INDEX(Sites!$B$2:$B$501,MATCH(C210,Sites!$A$2:$A$501,0)),"?"))</f>
        <v/>
      </c>
      <c r="I210" s="8">
        <f>IF(A210="","",A210-WEEKDAY(A210,3))</f>
        <v/>
      </c>
      <c r="K210" s="7">
        <f>IF(A210="","",IF(OR(B210="",C210="",D210="",E210=""),"Missing info",IF(ISNA(MATCH(B210,Staff!$A$2:$A$101,0)),"Unknown employee",IF(H210="?","Unknown site",IF(G210&lt;=0,"Check times",IF(G210&gt;12,"Over 12h",IF(COUNTIFS($L$2:$L$2001,L210)&gt;1,"Duplicate?",IF(A210&gt;TODAY(),"Future date","OK"))))))))</f>
        <v/>
      </c>
      <c r="L210">
        <f>IF(A210="","",TEXT(A210,"yyyy-mm-dd")&amp;"|"&amp;B210&amp;"|"&amp;C210)</f>
        <v/>
      </c>
    </row>
    <row r="211">
      <c r="A211" s="4" t="n"/>
      <c r="D211" s="5" t="n"/>
      <c r="E211" s="5" t="n"/>
      <c r="G211" s="6">
        <f>IF(OR(A211="",D211="",E211=""),"",ROUND(MOD(E211-D211,1)*24-N(F211)/60,2))</f>
        <v/>
      </c>
      <c r="H211" s="7">
        <f>IF(C211="","",IFERROR(INDEX(Sites!$B$2:$B$501,MATCH(C211,Sites!$A$2:$A$501,0)),"?"))</f>
        <v/>
      </c>
      <c r="I211" s="8">
        <f>IF(A211="","",A211-WEEKDAY(A211,3))</f>
        <v/>
      </c>
      <c r="K211" s="7">
        <f>IF(A211="","",IF(OR(B211="",C211="",D211="",E211=""),"Missing info",IF(ISNA(MATCH(B211,Staff!$A$2:$A$101,0)),"Unknown employee",IF(H211="?","Unknown site",IF(G211&lt;=0,"Check times",IF(G211&gt;12,"Over 12h",IF(COUNTIFS($L$2:$L$2001,L211)&gt;1,"Duplicate?",IF(A211&gt;TODAY(),"Future date","OK"))))))))</f>
        <v/>
      </c>
      <c r="L211">
        <f>IF(A211="","",TEXT(A211,"yyyy-mm-dd")&amp;"|"&amp;B211&amp;"|"&amp;C211)</f>
        <v/>
      </c>
    </row>
    <row r="212">
      <c r="A212" s="4" t="n"/>
      <c r="D212" s="5" t="n"/>
      <c r="E212" s="5" t="n"/>
      <c r="G212" s="6">
        <f>IF(OR(A212="",D212="",E212=""),"",ROUND(MOD(E212-D212,1)*24-N(F212)/60,2))</f>
        <v/>
      </c>
      <c r="H212" s="7">
        <f>IF(C212="","",IFERROR(INDEX(Sites!$B$2:$B$501,MATCH(C212,Sites!$A$2:$A$501,0)),"?"))</f>
        <v/>
      </c>
      <c r="I212" s="8">
        <f>IF(A212="","",A212-WEEKDAY(A212,3))</f>
        <v/>
      </c>
      <c r="K212" s="7">
        <f>IF(A212="","",IF(OR(B212="",C212="",D212="",E212=""),"Missing info",IF(ISNA(MATCH(B212,Staff!$A$2:$A$101,0)),"Unknown employee",IF(H212="?","Unknown site",IF(G212&lt;=0,"Check times",IF(G212&gt;12,"Over 12h",IF(COUNTIFS($L$2:$L$2001,L212)&gt;1,"Duplicate?",IF(A212&gt;TODAY(),"Future date","OK"))))))))</f>
        <v/>
      </c>
      <c r="L212">
        <f>IF(A212="","",TEXT(A212,"yyyy-mm-dd")&amp;"|"&amp;B212&amp;"|"&amp;C212)</f>
        <v/>
      </c>
    </row>
    <row r="213">
      <c r="A213" s="4" t="n"/>
      <c r="D213" s="5" t="n"/>
      <c r="E213" s="5" t="n"/>
      <c r="G213" s="6">
        <f>IF(OR(A213="",D213="",E213=""),"",ROUND(MOD(E213-D213,1)*24-N(F213)/60,2))</f>
        <v/>
      </c>
      <c r="H213" s="7">
        <f>IF(C213="","",IFERROR(INDEX(Sites!$B$2:$B$501,MATCH(C213,Sites!$A$2:$A$501,0)),"?"))</f>
        <v/>
      </c>
      <c r="I213" s="8">
        <f>IF(A213="","",A213-WEEKDAY(A213,3))</f>
        <v/>
      </c>
      <c r="K213" s="7">
        <f>IF(A213="","",IF(OR(B213="",C213="",D213="",E213=""),"Missing info",IF(ISNA(MATCH(B213,Staff!$A$2:$A$101,0)),"Unknown employee",IF(H213="?","Unknown site",IF(G213&lt;=0,"Check times",IF(G213&gt;12,"Over 12h",IF(COUNTIFS($L$2:$L$2001,L213)&gt;1,"Duplicate?",IF(A213&gt;TODAY(),"Future date","OK"))))))))</f>
        <v/>
      </c>
      <c r="L213">
        <f>IF(A213="","",TEXT(A213,"yyyy-mm-dd")&amp;"|"&amp;B213&amp;"|"&amp;C213)</f>
        <v/>
      </c>
    </row>
    <row r="214">
      <c r="A214" s="4" t="n"/>
      <c r="D214" s="5" t="n"/>
      <c r="E214" s="5" t="n"/>
      <c r="G214" s="6">
        <f>IF(OR(A214="",D214="",E214=""),"",ROUND(MOD(E214-D214,1)*24-N(F214)/60,2))</f>
        <v/>
      </c>
      <c r="H214" s="7">
        <f>IF(C214="","",IFERROR(INDEX(Sites!$B$2:$B$501,MATCH(C214,Sites!$A$2:$A$501,0)),"?"))</f>
        <v/>
      </c>
      <c r="I214" s="8">
        <f>IF(A214="","",A214-WEEKDAY(A214,3))</f>
        <v/>
      </c>
      <c r="K214" s="7">
        <f>IF(A214="","",IF(OR(B214="",C214="",D214="",E214=""),"Missing info",IF(ISNA(MATCH(B214,Staff!$A$2:$A$101,0)),"Unknown employee",IF(H214="?","Unknown site",IF(G214&lt;=0,"Check times",IF(G214&gt;12,"Over 12h",IF(COUNTIFS($L$2:$L$2001,L214)&gt;1,"Duplicate?",IF(A214&gt;TODAY(),"Future date","OK"))))))))</f>
        <v/>
      </c>
      <c r="L214">
        <f>IF(A214="","",TEXT(A214,"yyyy-mm-dd")&amp;"|"&amp;B214&amp;"|"&amp;C214)</f>
        <v/>
      </c>
    </row>
    <row r="215">
      <c r="A215" s="4" t="n"/>
      <c r="D215" s="5" t="n"/>
      <c r="E215" s="5" t="n"/>
      <c r="G215" s="6">
        <f>IF(OR(A215="",D215="",E215=""),"",ROUND(MOD(E215-D215,1)*24-N(F215)/60,2))</f>
        <v/>
      </c>
      <c r="H215" s="7">
        <f>IF(C215="","",IFERROR(INDEX(Sites!$B$2:$B$501,MATCH(C215,Sites!$A$2:$A$501,0)),"?"))</f>
        <v/>
      </c>
      <c r="I215" s="8">
        <f>IF(A215="","",A215-WEEKDAY(A215,3))</f>
        <v/>
      </c>
      <c r="K215" s="7">
        <f>IF(A215="","",IF(OR(B215="",C215="",D215="",E215=""),"Missing info",IF(ISNA(MATCH(B215,Staff!$A$2:$A$101,0)),"Unknown employee",IF(H215="?","Unknown site",IF(G215&lt;=0,"Check times",IF(G215&gt;12,"Over 12h",IF(COUNTIFS($L$2:$L$2001,L215)&gt;1,"Duplicate?",IF(A215&gt;TODAY(),"Future date","OK"))))))))</f>
        <v/>
      </c>
      <c r="L215">
        <f>IF(A215="","",TEXT(A215,"yyyy-mm-dd")&amp;"|"&amp;B215&amp;"|"&amp;C215)</f>
        <v/>
      </c>
    </row>
    <row r="216">
      <c r="A216" s="4" t="n"/>
      <c r="D216" s="5" t="n"/>
      <c r="E216" s="5" t="n"/>
      <c r="G216" s="6">
        <f>IF(OR(A216="",D216="",E216=""),"",ROUND(MOD(E216-D216,1)*24-N(F216)/60,2))</f>
        <v/>
      </c>
      <c r="H216" s="7">
        <f>IF(C216="","",IFERROR(INDEX(Sites!$B$2:$B$501,MATCH(C216,Sites!$A$2:$A$501,0)),"?"))</f>
        <v/>
      </c>
      <c r="I216" s="8">
        <f>IF(A216="","",A216-WEEKDAY(A216,3))</f>
        <v/>
      </c>
      <c r="K216" s="7">
        <f>IF(A216="","",IF(OR(B216="",C216="",D216="",E216=""),"Missing info",IF(ISNA(MATCH(B216,Staff!$A$2:$A$101,0)),"Unknown employee",IF(H216="?","Unknown site",IF(G216&lt;=0,"Check times",IF(G216&gt;12,"Over 12h",IF(COUNTIFS($L$2:$L$2001,L216)&gt;1,"Duplicate?",IF(A216&gt;TODAY(),"Future date","OK"))))))))</f>
        <v/>
      </c>
      <c r="L216">
        <f>IF(A216="","",TEXT(A216,"yyyy-mm-dd")&amp;"|"&amp;B216&amp;"|"&amp;C216)</f>
        <v/>
      </c>
    </row>
    <row r="217">
      <c r="A217" s="4" t="n"/>
      <c r="D217" s="5" t="n"/>
      <c r="E217" s="5" t="n"/>
      <c r="G217" s="6">
        <f>IF(OR(A217="",D217="",E217=""),"",ROUND(MOD(E217-D217,1)*24-N(F217)/60,2))</f>
        <v/>
      </c>
      <c r="H217" s="7">
        <f>IF(C217="","",IFERROR(INDEX(Sites!$B$2:$B$501,MATCH(C217,Sites!$A$2:$A$501,0)),"?"))</f>
        <v/>
      </c>
      <c r="I217" s="8">
        <f>IF(A217="","",A217-WEEKDAY(A217,3))</f>
        <v/>
      </c>
      <c r="K217" s="7">
        <f>IF(A217="","",IF(OR(B217="",C217="",D217="",E217=""),"Missing info",IF(ISNA(MATCH(B217,Staff!$A$2:$A$101,0)),"Unknown employee",IF(H217="?","Unknown site",IF(G217&lt;=0,"Check times",IF(G217&gt;12,"Over 12h",IF(COUNTIFS($L$2:$L$2001,L217)&gt;1,"Duplicate?",IF(A217&gt;TODAY(),"Future date","OK"))))))))</f>
        <v/>
      </c>
      <c r="L217">
        <f>IF(A217="","",TEXT(A217,"yyyy-mm-dd")&amp;"|"&amp;B217&amp;"|"&amp;C217)</f>
        <v/>
      </c>
    </row>
    <row r="218">
      <c r="A218" s="4" t="n"/>
      <c r="D218" s="5" t="n"/>
      <c r="E218" s="5" t="n"/>
      <c r="G218" s="6">
        <f>IF(OR(A218="",D218="",E218=""),"",ROUND(MOD(E218-D218,1)*24-N(F218)/60,2))</f>
        <v/>
      </c>
      <c r="H218" s="7">
        <f>IF(C218="","",IFERROR(INDEX(Sites!$B$2:$B$501,MATCH(C218,Sites!$A$2:$A$501,0)),"?"))</f>
        <v/>
      </c>
      <c r="I218" s="8">
        <f>IF(A218="","",A218-WEEKDAY(A218,3))</f>
        <v/>
      </c>
      <c r="K218" s="7">
        <f>IF(A218="","",IF(OR(B218="",C218="",D218="",E218=""),"Missing info",IF(ISNA(MATCH(B218,Staff!$A$2:$A$101,0)),"Unknown employee",IF(H218="?","Unknown site",IF(G218&lt;=0,"Check times",IF(G218&gt;12,"Over 12h",IF(COUNTIFS($L$2:$L$2001,L218)&gt;1,"Duplicate?",IF(A218&gt;TODAY(),"Future date","OK"))))))))</f>
        <v/>
      </c>
      <c r="L218">
        <f>IF(A218="","",TEXT(A218,"yyyy-mm-dd")&amp;"|"&amp;B218&amp;"|"&amp;C218)</f>
        <v/>
      </c>
    </row>
    <row r="219">
      <c r="A219" s="4" t="n"/>
      <c r="D219" s="5" t="n"/>
      <c r="E219" s="5" t="n"/>
      <c r="G219" s="6">
        <f>IF(OR(A219="",D219="",E219=""),"",ROUND(MOD(E219-D219,1)*24-N(F219)/60,2))</f>
        <v/>
      </c>
      <c r="H219" s="7">
        <f>IF(C219="","",IFERROR(INDEX(Sites!$B$2:$B$501,MATCH(C219,Sites!$A$2:$A$501,0)),"?"))</f>
        <v/>
      </c>
      <c r="I219" s="8">
        <f>IF(A219="","",A219-WEEKDAY(A219,3))</f>
        <v/>
      </c>
      <c r="K219" s="7">
        <f>IF(A219="","",IF(OR(B219="",C219="",D219="",E219=""),"Missing info",IF(ISNA(MATCH(B219,Staff!$A$2:$A$101,0)),"Unknown employee",IF(H219="?","Unknown site",IF(G219&lt;=0,"Check times",IF(G219&gt;12,"Over 12h",IF(COUNTIFS($L$2:$L$2001,L219)&gt;1,"Duplicate?",IF(A219&gt;TODAY(),"Future date","OK"))))))))</f>
        <v/>
      </c>
      <c r="L219">
        <f>IF(A219="","",TEXT(A219,"yyyy-mm-dd")&amp;"|"&amp;B219&amp;"|"&amp;C219)</f>
        <v/>
      </c>
    </row>
    <row r="220">
      <c r="A220" s="4" t="n"/>
      <c r="D220" s="5" t="n"/>
      <c r="E220" s="5" t="n"/>
      <c r="G220" s="6">
        <f>IF(OR(A220="",D220="",E220=""),"",ROUND(MOD(E220-D220,1)*24-N(F220)/60,2))</f>
        <v/>
      </c>
      <c r="H220" s="7">
        <f>IF(C220="","",IFERROR(INDEX(Sites!$B$2:$B$501,MATCH(C220,Sites!$A$2:$A$501,0)),"?"))</f>
        <v/>
      </c>
      <c r="I220" s="8">
        <f>IF(A220="","",A220-WEEKDAY(A220,3))</f>
        <v/>
      </c>
      <c r="K220" s="7">
        <f>IF(A220="","",IF(OR(B220="",C220="",D220="",E220=""),"Missing info",IF(ISNA(MATCH(B220,Staff!$A$2:$A$101,0)),"Unknown employee",IF(H220="?","Unknown site",IF(G220&lt;=0,"Check times",IF(G220&gt;12,"Over 12h",IF(COUNTIFS($L$2:$L$2001,L220)&gt;1,"Duplicate?",IF(A220&gt;TODAY(),"Future date","OK"))))))))</f>
        <v/>
      </c>
      <c r="L220">
        <f>IF(A220="","",TEXT(A220,"yyyy-mm-dd")&amp;"|"&amp;B220&amp;"|"&amp;C220)</f>
        <v/>
      </c>
    </row>
    <row r="221">
      <c r="A221" s="4" t="n"/>
      <c r="D221" s="5" t="n"/>
      <c r="E221" s="5" t="n"/>
      <c r="G221" s="6">
        <f>IF(OR(A221="",D221="",E221=""),"",ROUND(MOD(E221-D221,1)*24-N(F221)/60,2))</f>
        <v/>
      </c>
      <c r="H221" s="7">
        <f>IF(C221="","",IFERROR(INDEX(Sites!$B$2:$B$501,MATCH(C221,Sites!$A$2:$A$501,0)),"?"))</f>
        <v/>
      </c>
      <c r="I221" s="8">
        <f>IF(A221="","",A221-WEEKDAY(A221,3))</f>
        <v/>
      </c>
      <c r="K221" s="7">
        <f>IF(A221="","",IF(OR(B221="",C221="",D221="",E221=""),"Missing info",IF(ISNA(MATCH(B221,Staff!$A$2:$A$101,0)),"Unknown employee",IF(H221="?","Unknown site",IF(G221&lt;=0,"Check times",IF(G221&gt;12,"Over 12h",IF(COUNTIFS($L$2:$L$2001,L221)&gt;1,"Duplicate?",IF(A221&gt;TODAY(),"Future date","OK"))))))))</f>
        <v/>
      </c>
      <c r="L221">
        <f>IF(A221="","",TEXT(A221,"yyyy-mm-dd")&amp;"|"&amp;B221&amp;"|"&amp;C221)</f>
        <v/>
      </c>
    </row>
    <row r="222">
      <c r="A222" s="4" t="n"/>
      <c r="D222" s="5" t="n"/>
      <c r="E222" s="5" t="n"/>
      <c r="G222" s="6">
        <f>IF(OR(A222="",D222="",E222=""),"",ROUND(MOD(E222-D222,1)*24-N(F222)/60,2))</f>
        <v/>
      </c>
      <c r="H222" s="7">
        <f>IF(C222="","",IFERROR(INDEX(Sites!$B$2:$B$501,MATCH(C222,Sites!$A$2:$A$501,0)),"?"))</f>
        <v/>
      </c>
      <c r="I222" s="8">
        <f>IF(A222="","",A222-WEEKDAY(A222,3))</f>
        <v/>
      </c>
      <c r="K222" s="7">
        <f>IF(A222="","",IF(OR(B222="",C222="",D222="",E222=""),"Missing info",IF(ISNA(MATCH(B222,Staff!$A$2:$A$101,0)),"Unknown employee",IF(H222="?","Unknown site",IF(G222&lt;=0,"Check times",IF(G222&gt;12,"Over 12h",IF(COUNTIFS($L$2:$L$2001,L222)&gt;1,"Duplicate?",IF(A222&gt;TODAY(),"Future date","OK"))))))))</f>
        <v/>
      </c>
      <c r="L222">
        <f>IF(A222="","",TEXT(A222,"yyyy-mm-dd")&amp;"|"&amp;B222&amp;"|"&amp;C222)</f>
        <v/>
      </c>
    </row>
    <row r="223">
      <c r="A223" s="4" t="n"/>
      <c r="D223" s="5" t="n"/>
      <c r="E223" s="5" t="n"/>
      <c r="G223" s="6">
        <f>IF(OR(A223="",D223="",E223=""),"",ROUND(MOD(E223-D223,1)*24-N(F223)/60,2))</f>
        <v/>
      </c>
      <c r="H223" s="7">
        <f>IF(C223="","",IFERROR(INDEX(Sites!$B$2:$B$501,MATCH(C223,Sites!$A$2:$A$501,0)),"?"))</f>
        <v/>
      </c>
      <c r="I223" s="8">
        <f>IF(A223="","",A223-WEEKDAY(A223,3))</f>
        <v/>
      </c>
      <c r="K223" s="7">
        <f>IF(A223="","",IF(OR(B223="",C223="",D223="",E223=""),"Missing info",IF(ISNA(MATCH(B223,Staff!$A$2:$A$101,0)),"Unknown employee",IF(H223="?","Unknown site",IF(G223&lt;=0,"Check times",IF(G223&gt;12,"Over 12h",IF(COUNTIFS($L$2:$L$2001,L223)&gt;1,"Duplicate?",IF(A223&gt;TODAY(),"Future date","OK"))))))))</f>
        <v/>
      </c>
      <c r="L223">
        <f>IF(A223="","",TEXT(A223,"yyyy-mm-dd")&amp;"|"&amp;B223&amp;"|"&amp;C223)</f>
        <v/>
      </c>
    </row>
    <row r="224">
      <c r="A224" s="4" t="n"/>
      <c r="D224" s="5" t="n"/>
      <c r="E224" s="5" t="n"/>
      <c r="G224" s="6">
        <f>IF(OR(A224="",D224="",E224=""),"",ROUND(MOD(E224-D224,1)*24-N(F224)/60,2))</f>
        <v/>
      </c>
      <c r="H224" s="7">
        <f>IF(C224="","",IFERROR(INDEX(Sites!$B$2:$B$501,MATCH(C224,Sites!$A$2:$A$501,0)),"?"))</f>
        <v/>
      </c>
      <c r="I224" s="8">
        <f>IF(A224="","",A224-WEEKDAY(A224,3))</f>
        <v/>
      </c>
      <c r="K224" s="7">
        <f>IF(A224="","",IF(OR(B224="",C224="",D224="",E224=""),"Missing info",IF(ISNA(MATCH(B224,Staff!$A$2:$A$101,0)),"Unknown employee",IF(H224="?","Unknown site",IF(G224&lt;=0,"Check times",IF(G224&gt;12,"Over 12h",IF(COUNTIFS($L$2:$L$2001,L224)&gt;1,"Duplicate?",IF(A224&gt;TODAY(),"Future date","OK"))))))))</f>
        <v/>
      </c>
      <c r="L224">
        <f>IF(A224="","",TEXT(A224,"yyyy-mm-dd")&amp;"|"&amp;B224&amp;"|"&amp;C224)</f>
        <v/>
      </c>
    </row>
    <row r="225">
      <c r="A225" s="4" t="n"/>
      <c r="D225" s="5" t="n"/>
      <c r="E225" s="5" t="n"/>
      <c r="G225" s="6">
        <f>IF(OR(A225="",D225="",E225=""),"",ROUND(MOD(E225-D225,1)*24-N(F225)/60,2))</f>
        <v/>
      </c>
      <c r="H225" s="7">
        <f>IF(C225="","",IFERROR(INDEX(Sites!$B$2:$B$501,MATCH(C225,Sites!$A$2:$A$501,0)),"?"))</f>
        <v/>
      </c>
      <c r="I225" s="8">
        <f>IF(A225="","",A225-WEEKDAY(A225,3))</f>
        <v/>
      </c>
      <c r="K225" s="7">
        <f>IF(A225="","",IF(OR(B225="",C225="",D225="",E225=""),"Missing info",IF(ISNA(MATCH(B225,Staff!$A$2:$A$101,0)),"Unknown employee",IF(H225="?","Unknown site",IF(G225&lt;=0,"Check times",IF(G225&gt;12,"Over 12h",IF(COUNTIFS($L$2:$L$2001,L225)&gt;1,"Duplicate?",IF(A225&gt;TODAY(),"Future date","OK"))))))))</f>
        <v/>
      </c>
      <c r="L225">
        <f>IF(A225="","",TEXT(A225,"yyyy-mm-dd")&amp;"|"&amp;B225&amp;"|"&amp;C225)</f>
        <v/>
      </c>
    </row>
    <row r="226">
      <c r="A226" s="4" t="n"/>
      <c r="D226" s="5" t="n"/>
      <c r="E226" s="5" t="n"/>
      <c r="G226" s="6">
        <f>IF(OR(A226="",D226="",E226=""),"",ROUND(MOD(E226-D226,1)*24-N(F226)/60,2))</f>
        <v/>
      </c>
      <c r="H226" s="7">
        <f>IF(C226="","",IFERROR(INDEX(Sites!$B$2:$B$501,MATCH(C226,Sites!$A$2:$A$501,0)),"?"))</f>
        <v/>
      </c>
      <c r="I226" s="8">
        <f>IF(A226="","",A226-WEEKDAY(A226,3))</f>
        <v/>
      </c>
      <c r="K226" s="7">
        <f>IF(A226="","",IF(OR(B226="",C226="",D226="",E226=""),"Missing info",IF(ISNA(MATCH(B226,Staff!$A$2:$A$101,0)),"Unknown employee",IF(H226="?","Unknown site",IF(G226&lt;=0,"Check times",IF(G226&gt;12,"Over 12h",IF(COUNTIFS($L$2:$L$2001,L226)&gt;1,"Duplicate?",IF(A226&gt;TODAY(),"Future date","OK"))))))))</f>
        <v/>
      </c>
      <c r="L226">
        <f>IF(A226="","",TEXT(A226,"yyyy-mm-dd")&amp;"|"&amp;B226&amp;"|"&amp;C226)</f>
        <v/>
      </c>
    </row>
    <row r="227">
      <c r="A227" s="4" t="n"/>
      <c r="D227" s="5" t="n"/>
      <c r="E227" s="5" t="n"/>
      <c r="G227" s="6">
        <f>IF(OR(A227="",D227="",E227=""),"",ROUND(MOD(E227-D227,1)*24-N(F227)/60,2))</f>
        <v/>
      </c>
      <c r="H227" s="7">
        <f>IF(C227="","",IFERROR(INDEX(Sites!$B$2:$B$501,MATCH(C227,Sites!$A$2:$A$501,0)),"?"))</f>
        <v/>
      </c>
      <c r="I227" s="8">
        <f>IF(A227="","",A227-WEEKDAY(A227,3))</f>
        <v/>
      </c>
      <c r="K227" s="7">
        <f>IF(A227="","",IF(OR(B227="",C227="",D227="",E227=""),"Missing info",IF(ISNA(MATCH(B227,Staff!$A$2:$A$101,0)),"Unknown employee",IF(H227="?","Unknown site",IF(G227&lt;=0,"Check times",IF(G227&gt;12,"Over 12h",IF(COUNTIFS($L$2:$L$2001,L227)&gt;1,"Duplicate?",IF(A227&gt;TODAY(),"Future date","OK"))))))))</f>
        <v/>
      </c>
      <c r="L227">
        <f>IF(A227="","",TEXT(A227,"yyyy-mm-dd")&amp;"|"&amp;B227&amp;"|"&amp;C227)</f>
        <v/>
      </c>
    </row>
    <row r="228">
      <c r="A228" s="4" t="n"/>
      <c r="D228" s="5" t="n"/>
      <c r="E228" s="5" t="n"/>
      <c r="G228" s="6">
        <f>IF(OR(A228="",D228="",E228=""),"",ROUND(MOD(E228-D228,1)*24-N(F228)/60,2))</f>
        <v/>
      </c>
      <c r="H228" s="7">
        <f>IF(C228="","",IFERROR(INDEX(Sites!$B$2:$B$501,MATCH(C228,Sites!$A$2:$A$501,0)),"?"))</f>
        <v/>
      </c>
      <c r="I228" s="8">
        <f>IF(A228="","",A228-WEEKDAY(A228,3))</f>
        <v/>
      </c>
      <c r="K228" s="7">
        <f>IF(A228="","",IF(OR(B228="",C228="",D228="",E228=""),"Missing info",IF(ISNA(MATCH(B228,Staff!$A$2:$A$101,0)),"Unknown employee",IF(H228="?","Unknown site",IF(G228&lt;=0,"Check times",IF(G228&gt;12,"Over 12h",IF(COUNTIFS($L$2:$L$2001,L228)&gt;1,"Duplicate?",IF(A228&gt;TODAY(),"Future date","OK"))))))))</f>
        <v/>
      </c>
      <c r="L228">
        <f>IF(A228="","",TEXT(A228,"yyyy-mm-dd")&amp;"|"&amp;B228&amp;"|"&amp;C228)</f>
        <v/>
      </c>
    </row>
    <row r="229">
      <c r="A229" s="4" t="n"/>
      <c r="D229" s="5" t="n"/>
      <c r="E229" s="5" t="n"/>
      <c r="G229" s="6">
        <f>IF(OR(A229="",D229="",E229=""),"",ROUND(MOD(E229-D229,1)*24-N(F229)/60,2))</f>
        <v/>
      </c>
      <c r="H229" s="7">
        <f>IF(C229="","",IFERROR(INDEX(Sites!$B$2:$B$501,MATCH(C229,Sites!$A$2:$A$501,0)),"?"))</f>
        <v/>
      </c>
      <c r="I229" s="8">
        <f>IF(A229="","",A229-WEEKDAY(A229,3))</f>
        <v/>
      </c>
      <c r="K229" s="7">
        <f>IF(A229="","",IF(OR(B229="",C229="",D229="",E229=""),"Missing info",IF(ISNA(MATCH(B229,Staff!$A$2:$A$101,0)),"Unknown employee",IF(H229="?","Unknown site",IF(G229&lt;=0,"Check times",IF(G229&gt;12,"Over 12h",IF(COUNTIFS($L$2:$L$2001,L229)&gt;1,"Duplicate?",IF(A229&gt;TODAY(),"Future date","OK"))))))))</f>
        <v/>
      </c>
      <c r="L229">
        <f>IF(A229="","",TEXT(A229,"yyyy-mm-dd")&amp;"|"&amp;B229&amp;"|"&amp;C229)</f>
        <v/>
      </c>
    </row>
    <row r="230">
      <c r="A230" s="4" t="n"/>
      <c r="D230" s="5" t="n"/>
      <c r="E230" s="5" t="n"/>
      <c r="G230" s="6">
        <f>IF(OR(A230="",D230="",E230=""),"",ROUND(MOD(E230-D230,1)*24-N(F230)/60,2))</f>
        <v/>
      </c>
      <c r="H230" s="7">
        <f>IF(C230="","",IFERROR(INDEX(Sites!$B$2:$B$501,MATCH(C230,Sites!$A$2:$A$501,0)),"?"))</f>
        <v/>
      </c>
      <c r="I230" s="8">
        <f>IF(A230="","",A230-WEEKDAY(A230,3))</f>
        <v/>
      </c>
      <c r="K230" s="7">
        <f>IF(A230="","",IF(OR(B230="",C230="",D230="",E230=""),"Missing info",IF(ISNA(MATCH(B230,Staff!$A$2:$A$101,0)),"Unknown employee",IF(H230="?","Unknown site",IF(G230&lt;=0,"Check times",IF(G230&gt;12,"Over 12h",IF(COUNTIFS($L$2:$L$2001,L230)&gt;1,"Duplicate?",IF(A230&gt;TODAY(),"Future date","OK"))))))))</f>
        <v/>
      </c>
      <c r="L230">
        <f>IF(A230="","",TEXT(A230,"yyyy-mm-dd")&amp;"|"&amp;B230&amp;"|"&amp;C230)</f>
        <v/>
      </c>
    </row>
    <row r="231">
      <c r="A231" s="4" t="n"/>
      <c r="D231" s="5" t="n"/>
      <c r="E231" s="5" t="n"/>
      <c r="G231" s="6">
        <f>IF(OR(A231="",D231="",E231=""),"",ROUND(MOD(E231-D231,1)*24-N(F231)/60,2))</f>
        <v/>
      </c>
      <c r="H231" s="7">
        <f>IF(C231="","",IFERROR(INDEX(Sites!$B$2:$B$501,MATCH(C231,Sites!$A$2:$A$501,0)),"?"))</f>
        <v/>
      </c>
      <c r="I231" s="8">
        <f>IF(A231="","",A231-WEEKDAY(A231,3))</f>
        <v/>
      </c>
      <c r="K231" s="7">
        <f>IF(A231="","",IF(OR(B231="",C231="",D231="",E231=""),"Missing info",IF(ISNA(MATCH(B231,Staff!$A$2:$A$101,0)),"Unknown employee",IF(H231="?","Unknown site",IF(G231&lt;=0,"Check times",IF(G231&gt;12,"Over 12h",IF(COUNTIFS($L$2:$L$2001,L231)&gt;1,"Duplicate?",IF(A231&gt;TODAY(),"Future date","OK"))))))))</f>
        <v/>
      </c>
      <c r="L231">
        <f>IF(A231="","",TEXT(A231,"yyyy-mm-dd")&amp;"|"&amp;B231&amp;"|"&amp;C231)</f>
        <v/>
      </c>
    </row>
    <row r="232">
      <c r="A232" s="4" t="n"/>
      <c r="D232" s="5" t="n"/>
      <c r="E232" s="5" t="n"/>
      <c r="G232" s="6">
        <f>IF(OR(A232="",D232="",E232=""),"",ROUND(MOD(E232-D232,1)*24-N(F232)/60,2))</f>
        <v/>
      </c>
      <c r="H232" s="7">
        <f>IF(C232="","",IFERROR(INDEX(Sites!$B$2:$B$501,MATCH(C232,Sites!$A$2:$A$501,0)),"?"))</f>
        <v/>
      </c>
      <c r="I232" s="8">
        <f>IF(A232="","",A232-WEEKDAY(A232,3))</f>
        <v/>
      </c>
      <c r="K232" s="7">
        <f>IF(A232="","",IF(OR(B232="",C232="",D232="",E232=""),"Missing info",IF(ISNA(MATCH(B232,Staff!$A$2:$A$101,0)),"Unknown employee",IF(H232="?","Unknown site",IF(G232&lt;=0,"Check times",IF(G232&gt;12,"Over 12h",IF(COUNTIFS($L$2:$L$2001,L232)&gt;1,"Duplicate?",IF(A232&gt;TODAY(),"Future date","OK"))))))))</f>
        <v/>
      </c>
      <c r="L232">
        <f>IF(A232="","",TEXT(A232,"yyyy-mm-dd")&amp;"|"&amp;B232&amp;"|"&amp;C232)</f>
        <v/>
      </c>
    </row>
    <row r="233">
      <c r="A233" s="4" t="n"/>
      <c r="D233" s="5" t="n"/>
      <c r="E233" s="5" t="n"/>
      <c r="G233" s="6">
        <f>IF(OR(A233="",D233="",E233=""),"",ROUND(MOD(E233-D233,1)*24-N(F233)/60,2))</f>
        <v/>
      </c>
      <c r="H233" s="7">
        <f>IF(C233="","",IFERROR(INDEX(Sites!$B$2:$B$501,MATCH(C233,Sites!$A$2:$A$501,0)),"?"))</f>
        <v/>
      </c>
      <c r="I233" s="8">
        <f>IF(A233="","",A233-WEEKDAY(A233,3))</f>
        <v/>
      </c>
      <c r="K233" s="7">
        <f>IF(A233="","",IF(OR(B233="",C233="",D233="",E233=""),"Missing info",IF(ISNA(MATCH(B233,Staff!$A$2:$A$101,0)),"Unknown employee",IF(H233="?","Unknown site",IF(G233&lt;=0,"Check times",IF(G233&gt;12,"Over 12h",IF(COUNTIFS($L$2:$L$2001,L233)&gt;1,"Duplicate?",IF(A233&gt;TODAY(),"Future date","OK"))))))))</f>
        <v/>
      </c>
      <c r="L233">
        <f>IF(A233="","",TEXT(A233,"yyyy-mm-dd")&amp;"|"&amp;B233&amp;"|"&amp;C233)</f>
        <v/>
      </c>
    </row>
    <row r="234">
      <c r="A234" s="4" t="n"/>
      <c r="D234" s="5" t="n"/>
      <c r="E234" s="5" t="n"/>
      <c r="G234" s="6">
        <f>IF(OR(A234="",D234="",E234=""),"",ROUND(MOD(E234-D234,1)*24-N(F234)/60,2))</f>
        <v/>
      </c>
      <c r="H234" s="7">
        <f>IF(C234="","",IFERROR(INDEX(Sites!$B$2:$B$501,MATCH(C234,Sites!$A$2:$A$501,0)),"?"))</f>
        <v/>
      </c>
      <c r="I234" s="8">
        <f>IF(A234="","",A234-WEEKDAY(A234,3))</f>
        <v/>
      </c>
      <c r="K234" s="7">
        <f>IF(A234="","",IF(OR(B234="",C234="",D234="",E234=""),"Missing info",IF(ISNA(MATCH(B234,Staff!$A$2:$A$101,0)),"Unknown employee",IF(H234="?","Unknown site",IF(G234&lt;=0,"Check times",IF(G234&gt;12,"Over 12h",IF(COUNTIFS($L$2:$L$2001,L234)&gt;1,"Duplicate?",IF(A234&gt;TODAY(),"Future date","OK"))))))))</f>
        <v/>
      </c>
      <c r="L234">
        <f>IF(A234="","",TEXT(A234,"yyyy-mm-dd")&amp;"|"&amp;B234&amp;"|"&amp;C234)</f>
        <v/>
      </c>
    </row>
    <row r="235">
      <c r="A235" s="4" t="n"/>
      <c r="D235" s="5" t="n"/>
      <c r="E235" s="5" t="n"/>
      <c r="G235" s="6">
        <f>IF(OR(A235="",D235="",E235=""),"",ROUND(MOD(E235-D235,1)*24-N(F235)/60,2))</f>
        <v/>
      </c>
      <c r="H235" s="7">
        <f>IF(C235="","",IFERROR(INDEX(Sites!$B$2:$B$501,MATCH(C235,Sites!$A$2:$A$501,0)),"?"))</f>
        <v/>
      </c>
      <c r="I235" s="8">
        <f>IF(A235="","",A235-WEEKDAY(A235,3))</f>
        <v/>
      </c>
      <c r="K235" s="7">
        <f>IF(A235="","",IF(OR(B235="",C235="",D235="",E235=""),"Missing info",IF(ISNA(MATCH(B235,Staff!$A$2:$A$101,0)),"Unknown employee",IF(H235="?","Unknown site",IF(G235&lt;=0,"Check times",IF(G235&gt;12,"Over 12h",IF(COUNTIFS($L$2:$L$2001,L235)&gt;1,"Duplicate?",IF(A235&gt;TODAY(),"Future date","OK"))))))))</f>
        <v/>
      </c>
      <c r="L235">
        <f>IF(A235="","",TEXT(A235,"yyyy-mm-dd")&amp;"|"&amp;B235&amp;"|"&amp;C235)</f>
        <v/>
      </c>
    </row>
    <row r="236">
      <c r="A236" s="4" t="n"/>
      <c r="D236" s="5" t="n"/>
      <c r="E236" s="5" t="n"/>
      <c r="G236" s="6">
        <f>IF(OR(A236="",D236="",E236=""),"",ROUND(MOD(E236-D236,1)*24-N(F236)/60,2))</f>
        <v/>
      </c>
      <c r="H236" s="7">
        <f>IF(C236="","",IFERROR(INDEX(Sites!$B$2:$B$501,MATCH(C236,Sites!$A$2:$A$501,0)),"?"))</f>
        <v/>
      </c>
      <c r="I236" s="8">
        <f>IF(A236="","",A236-WEEKDAY(A236,3))</f>
        <v/>
      </c>
      <c r="K236" s="7">
        <f>IF(A236="","",IF(OR(B236="",C236="",D236="",E236=""),"Missing info",IF(ISNA(MATCH(B236,Staff!$A$2:$A$101,0)),"Unknown employee",IF(H236="?","Unknown site",IF(G236&lt;=0,"Check times",IF(G236&gt;12,"Over 12h",IF(COUNTIFS($L$2:$L$2001,L236)&gt;1,"Duplicate?",IF(A236&gt;TODAY(),"Future date","OK"))))))))</f>
        <v/>
      </c>
      <c r="L236">
        <f>IF(A236="","",TEXT(A236,"yyyy-mm-dd")&amp;"|"&amp;B236&amp;"|"&amp;C236)</f>
        <v/>
      </c>
    </row>
    <row r="237">
      <c r="A237" s="4" t="n"/>
      <c r="D237" s="5" t="n"/>
      <c r="E237" s="5" t="n"/>
      <c r="G237" s="6">
        <f>IF(OR(A237="",D237="",E237=""),"",ROUND(MOD(E237-D237,1)*24-N(F237)/60,2))</f>
        <v/>
      </c>
      <c r="H237" s="7">
        <f>IF(C237="","",IFERROR(INDEX(Sites!$B$2:$B$501,MATCH(C237,Sites!$A$2:$A$501,0)),"?"))</f>
        <v/>
      </c>
      <c r="I237" s="8">
        <f>IF(A237="","",A237-WEEKDAY(A237,3))</f>
        <v/>
      </c>
      <c r="K237" s="7">
        <f>IF(A237="","",IF(OR(B237="",C237="",D237="",E237=""),"Missing info",IF(ISNA(MATCH(B237,Staff!$A$2:$A$101,0)),"Unknown employee",IF(H237="?","Unknown site",IF(G237&lt;=0,"Check times",IF(G237&gt;12,"Over 12h",IF(COUNTIFS($L$2:$L$2001,L237)&gt;1,"Duplicate?",IF(A237&gt;TODAY(),"Future date","OK"))))))))</f>
        <v/>
      </c>
      <c r="L237">
        <f>IF(A237="","",TEXT(A237,"yyyy-mm-dd")&amp;"|"&amp;B237&amp;"|"&amp;C237)</f>
        <v/>
      </c>
    </row>
    <row r="238">
      <c r="A238" s="4" t="n"/>
      <c r="D238" s="5" t="n"/>
      <c r="E238" s="5" t="n"/>
      <c r="G238" s="6">
        <f>IF(OR(A238="",D238="",E238=""),"",ROUND(MOD(E238-D238,1)*24-N(F238)/60,2))</f>
        <v/>
      </c>
      <c r="H238" s="7">
        <f>IF(C238="","",IFERROR(INDEX(Sites!$B$2:$B$501,MATCH(C238,Sites!$A$2:$A$501,0)),"?"))</f>
        <v/>
      </c>
      <c r="I238" s="8">
        <f>IF(A238="","",A238-WEEKDAY(A238,3))</f>
        <v/>
      </c>
      <c r="K238" s="7">
        <f>IF(A238="","",IF(OR(B238="",C238="",D238="",E238=""),"Missing info",IF(ISNA(MATCH(B238,Staff!$A$2:$A$101,0)),"Unknown employee",IF(H238="?","Unknown site",IF(G238&lt;=0,"Check times",IF(G238&gt;12,"Over 12h",IF(COUNTIFS($L$2:$L$2001,L238)&gt;1,"Duplicate?",IF(A238&gt;TODAY(),"Future date","OK"))))))))</f>
        <v/>
      </c>
      <c r="L238">
        <f>IF(A238="","",TEXT(A238,"yyyy-mm-dd")&amp;"|"&amp;B238&amp;"|"&amp;C238)</f>
        <v/>
      </c>
    </row>
    <row r="239">
      <c r="A239" s="4" t="n"/>
      <c r="D239" s="5" t="n"/>
      <c r="E239" s="5" t="n"/>
      <c r="G239" s="6">
        <f>IF(OR(A239="",D239="",E239=""),"",ROUND(MOD(E239-D239,1)*24-N(F239)/60,2))</f>
        <v/>
      </c>
      <c r="H239" s="7">
        <f>IF(C239="","",IFERROR(INDEX(Sites!$B$2:$B$501,MATCH(C239,Sites!$A$2:$A$501,0)),"?"))</f>
        <v/>
      </c>
      <c r="I239" s="8">
        <f>IF(A239="","",A239-WEEKDAY(A239,3))</f>
        <v/>
      </c>
      <c r="K239" s="7">
        <f>IF(A239="","",IF(OR(B239="",C239="",D239="",E239=""),"Missing info",IF(ISNA(MATCH(B239,Staff!$A$2:$A$101,0)),"Unknown employee",IF(H239="?","Unknown site",IF(G239&lt;=0,"Check times",IF(G239&gt;12,"Over 12h",IF(COUNTIFS($L$2:$L$2001,L239)&gt;1,"Duplicate?",IF(A239&gt;TODAY(),"Future date","OK"))))))))</f>
        <v/>
      </c>
      <c r="L239">
        <f>IF(A239="","",TEXT(A239,"yyyy-mm-dd")&amp;"|"&amp;B239&amp;"|"&amp;C239)</f>
        <v/>
      </c>
    </row>
    <row r="240">
      <c r="A240" s="4" t="n"/>
      <c r="D240" s="5" t="n"/>
      <c r="E240" s="5" t="n"/>
      <c r="G240" s="6">
        <f>IF(OR(A240="",D240="",E240=""),"",ROUND(MOD(E240-D240,1)*24-N(F240)/60,2))</f>
        <v/>
      </c>
      <c r="H240" s="7">
        <f>IF(C240="","",IFERROR(INDEX(Sites!$B$2:$B$501,MATCH(C240,Sites!$A$2:$A$501,0)),"?"))</f>
        <v/>
      </c>
      <c r="I240" s="8">
        <f>IF(A240="","",A240-WEEKDAY(A240,3))</f>
        <v/>
      </c>
      <c r="K240" s="7">
        <f>IF(A240="","",IF(OR(B240="",C240="",D240="",E240=""),"Missing info",IF(ISNA(MATCH(B240,Staff!$A$2:$A$101,0)),"Unknown employee",IF(H240="?","Unknown site",IF(G240&lt;=0,"Check times",IF(G240&gt;12,"Over 12h",IF(COUNTIFS($L$2:$L$2001,L240)&gt;1,"Duplicate?",IF(A240&gt;TODAY(),"Future date","OK"))))))))</f>
        <v/>
      </c>
      <c r="L240">
        <f>IF(A240="","",TEXT(A240,"yyyy-mm-dd")&amp;"|"&amp;B240&amp;"|"&amp;C240)</f>
        <v/>
      </c>
    </row>
    <row r="241">
      <c r="A241" s="4" t="n"/>
      <c r="D241" s="5" t="n"/>
      <c r="E241" s="5" t="n"/>
      <c r="G241" s="6">
        <f>IF(OR(A241="",D241="",E241=""),"",ROUND(MOD(E241-D241,1)*24-N(F241)/60,2))</f>
        <v/>
      </c>
      <c r="H241" s="7">
        <f>IF(C241="","",IFERROR(INDEX(Sites!$B$2:$B$501,MATCH(C241,Sites!$A$2:$A$501,0)),"?"))</f>
        <v/>
      </c>
      <c r="I241" s="8">
        <f>IF(A241="","",A241-WEEKDAY(A241,3))</f>
        <v/>
      </c>
      <c r="K241" s="7">
        <f>IF(A241="","",IF(OR(B241="",C241="",D241="",E241=""),"Missing info",IF(ISNA(MATCH(B241,Staff!$A$2:$A$101,0)),"Unknown employee",IF(H241="?","Unknown site",IF(G241&lt;=0,"Check times",IF(G241&gt;12,"Over 12h",IF(COUNTIFS($L$2:$L$2001,L241)&gt;1,"Duplicate?",IF(A241&gt;TODAY(),"Future date","OK"))))))))</f>
        <v/>
      </c>
      <c r="L241">
        <f>IF(A241="","",TEXT(A241,"yyyy-mm-dd")&amp;"|"&amp;B241&amp;"|"&amp;C241)</f>
        <v/>
      </c>
    </row>
    <row r="242">
      <c r="A242" s="4" t="n"/>
      <c r="D242" s="5" t="n"/>
      <c r="E242" s="5" t="n"/>
      <c r="G242" s="6">
        <f>IF(OR(A242="",D242="",E242=""),"",ROUND(MOD(E242-D242,1)*24-N(F242)/60,2))</f>
        <v/>
      </c>
      <c r="H242" s="7">
        <f>IF(C242="","",IFERROR(INDEX(Sites!$B$2:$B$501,MATCH(C242,Sites!$A$2:$A$501,0)),"?"))</f>
        <v/>
      </c>
      <c r="I242" s="8">
        <f>IF(A242="","",A242-WEEKDAY(A242,3))</f>
        <v/>
      </c>
      <c r="K242" s="7">
        <f>IF(A242="","",IF(OR(B242="",C242="",D242="",E242=""),"Missing info",IF(ISNA(MATCH(B242,Staff!$A$2:$A$101,0)),"Unknown employee",IF(H242="?","Unknown site",IF(G242&lt;=0,"Check times",IF(G242&gt;12,"Over 12h",IF(COUNTIFS($L$2:$L$2001,L242)&gt;1,"Duplicate?",IF(A242&gt;TODAY(),"Future date","OK"))))))))</f>
        <v/>
      </c>
      <c r="L242">
        <f>IF(A242="","",TEXT(A242,"yyyy-mm-dd")&amp;"|"&amp;B242&amp;"|"&amp;C242)</f>
        <v/>
      </c>
    </row>
    <row r="243">
      <c r="A243" s="4" t="n"/>
      <c r="D243" s="5" t="n"/>
      <c r="E243" s="5" t="n"/>
      <c r="G243" s="6">
        <f>IF(OR(A243="",D243="",E243=""),"",ROUND(MOD(E243-D243,1)*24-N(F243)/60,2))</f>
        <v/>
      </c>
      <c r="H243" s="7">
        <f>IF(C243="","",IFERROR(INDEX(Sites!$B$2:$B$501,MATCH(C243,Sites!$A$2:$A$501,0)),"?"))</f>
        <v/>
      </c>
      <c r="I243" s="8">
        <f>IF(A243="","",A243-WEEKDAY(A243,3))</f>
        <v/>
      </c>
      <c r="K243" s="7">
        <f>IF(A243="","",IF(OR(B243="",C243="",D243="",E243=""),"Missing info",IF(ISNA(MATCH(B243,Staff!$A$2:$A$101,0)),"Unknown employee",IF(H243="?","Unknown site",IF(G243&lt;=0,"Check times",IF(G243&gt;12,"Over 12h",IF(COUNTIFS($L$2:$L$2001,L243)&gt;1,"Duplicate?",IF(A243&gt;TODAY(),"Future date","OK"))))))))</f>
        <v/>
      </c>
      <c r="L243">
        <f>IF(A243="","",TEXT(A243,"yyyy-mm-dd")&amp;"|"&amp;B243&amp;"|"&amp;C243)</f>
        <v/>
      </c>
    </row>
    <row r="244">
      <c r="A244" s="4" t="n"/>
      <c r="D244" s="5" t="n"/>
      <c r="E244" s="5" t="n"/>
      <c r="G244" s="6">
        <f>IF(OR(A244="",D244="",E244=""),"",ROUND(MOD(E244-D244,1)*24-N(F244)/60,2))</f>
        <v/>
      </c>
      <c r="H244" s="7">
        <f>IF(C244="","",IFERROR(INDEX(Sites!$B$2:$B$501,MATCH(C244,Sites!$A$2:$A$501,0)),"?"))</f>
        <v/>
      </c>
      <c r="I244" s="8">
        <f>IF(A244="","",A244-WEEKDAY(A244,3))</f>
        <v/>
      </c>
      <c r="K244" s="7">
        <f>IF(A244="","",IF(OR(B244="",C244="",D244="",E244=""),"Missing info",IF(ISNA(MATCH(B244,Staff!$A$2:$A$101,0)),"Unknown employee",IF(H244="?","Unknown site",IF(G244&lt;=0,"Check times",IF(G244&gt;12,"Over 12h",IF(COUNTIFS($L$2:$L$2001,L244)&gt;1,"Duplicate?",IF(A244&gt;TODAY(),"Future date","OK"))))))))</f>
        <v/>
      </c>
      <c r="L244">
        <f>IF(A244="","",TEXT(A244,"yyyy-mm-dd")&amp;"|"&amp;B244&amp;"|"&amp;C244)</f>
        <v/>
      </c>
    </row>
    <row r="245">
      <c r="A245" s="4" t="n"/>
      <c r="D245" s="5" t="n"/>
      <c r="E245" s="5" t="n"/>
      <c r="G245" s="6">
        <f>IF(OR(A245="",D245="",E245=""),"",ROUND(MOD(E245-D245,1)*24-N(F245)/60,2))</f>
        <v/>
      </c>
      <c r="H245" s="7">
        <f>IF(C245="","",IFERROR(INDEX(Sites!$B$2:$B$501,MATCH(C245,Sites!$A$2:$A$501,0)),"?"))</f>
        <v/>
      </c>
      <c r="I245" s="8">
        <f>IF(A245="","",A245-WEEKDAY(A245,3))</f>
        <v/>
      </c>
      <c r="K245" s="7">
        <f>IF(A245="","",IF(OR(B245="",C245="",D245="",E245=""),"Missing info",IF(ISNA(MATCH(B245,Staff!$A$2:$A$101,0)),"Unknown employee",IF(H245="?","Unknown site",IF(G245&lt;=0,"Check times",IF(G245&gt;12,"Over 12h",IF(COUNTIFS($L$2:$L$2001,L245)&gt;1,"Duplicate?",IF(A245&gt;TODAY(),"Future date","OK"))))))))</f>
        <v/>
      </c>
      <c r="L245">
        <f>IF(A245="","",TEXT(A245,"yyyy-mm-dd")&amp;"|"&amp;B245&amp;"|"&amp;C245)</f>
        <v/>
      </c>
    </row>
    <row r="246">
      <c r="A246" s="4" t="n"/>
      <c r="D246" s="5" t="n"/>
      <c r="E246" s="5" t="n"/>
      <c r="G246" s="6">
        <f>IF(OR(A246="",D246="",E246=""),"",ROUND(MOD(E246-D246,1)*24-N(F246)/60,2))</f>
        <v/>
      </c>
      <c r="H246" s="7">
        <f>IF(C246="","",IFERROR(INDEX(Sites!$B$2:$B$501,MATCH(C246,Sites!$A$2:$A$501,0)),"?"))</f>
        <v/>
      </c>
      <c r="I246" s="8">
        <f>IF(A246="","",A246-WEEKDAY(A246,3))</f>
        <v/>
      </c>
      <c r="K246" s="7">
        <f>IF(A246="","",IF(OR(B246="",C246="",D246="",E246=""),"Missing info",IF(ISNA(MATCH(B246,Staff!$A$2:$A$101,0)),"Unknown employee",IF(H246="?","Unknown site",IF(G246&lt;=0,"Check times",IF(G246&gt;12,"Over 12h",IF(COUNTIFS($L$2:$L$2001,L246)&gt;1,"Duplicate?",IF(A246&gt;TODAY(),"Future date","OK"))))))))</f>
        <v/>
      </c>
      <c r="L246">
        <f>IF(A246="","",TEXT(A246,"yyyy-mm-dd")&amp;"|"&amp;B246&amp;"|"&amp;C246)</f>
        <v/>
      </c>
    </row>
    <row r="247">
      <c r="A247" s="4" t="n"/>
      <c r="D247" s="5" t="n"/>
      <c r="E247" s="5" t="n"/>
      <c r="G247" s="6">
        <f>IF(OR(A247="",D247="",E247=""),"",ROUND(MOD(E247-D247,1)*24-N(F247)/60,2))</f>
        <v/>
      </c>
      <c r="H247" s="7">
        <f>IF(C247="","",IFERROR(INDEX(Sites!$B$2:$B$501,MATCH(C247,Sites!$A$2:$A$501,0)),"?"))</f>
        <v/>
      </c>
      <c r="I247" s="8">
        <f>IF(A247="","",A247-WEEKDAY(A247,3))</f>
        <v/>
      </c>
      <c r="K247" s="7">
        <f>IF(A247="","",IF(OR(B247="",C247="",D247="",E247=""),"Missing info",IF(ISNA(MATCH(B247,Staff!$A$2:$A$101,0)),"Unknown employee",IF(H247="?","Unknown site",IF(G247&lt;=0,"Check times",IF(G247&gt;12,"Over 12h",IF(COUNTIFS($L$2:$L$2001,L247)&gt;1,"Duplicate?",IF(A247&gt;TODAY(),"Future date","OK"))))))))</f>
        <v/>
      </c>
      <c r="L247">
        <f>IF(A247="","",TEXT(A247,"yyyy-mm-dd")&amp;"|"&amp;B247&amp;"|"&amp;C247)</f>
        <v/>
      </c>
    </row>
    <row r="248">
      <c r="A248" s="4" t="n"/>
      <c r="D248" s="5" t="n"/>
      <c r="E248" s="5" t="n"/>
      <c r="G248" s="6">
        <f>IF(OR(A248="",D248="",E248=""),"",ROUND(MOD(E248-D248,1)*24-N(F248)/60,2))</f>
        <v/>
      </c>
      <c r="H248" s="7">
        <f>IF(C248="","",IFERROR(INDEX(Sites!$B$2:$B$501,MATCH(C248,Sites!$A$2:$A$501,0)),"?"))</f>
        <v/>
      </c>
      <c r="I248" s="8">
        <f>IF(A248="","",A248-WEEKDAY(A248,3))</f>
        <v/>
      </c>
      <c r="K248" s="7">
        <f>IF(A248="","",IF(OR(B248="",C248="",D248="",E248=""),"Missing info",IF(ISNA(MATCH(B248,Staff!$A$2:$A$101,0)),"Unknown employee",IF(H248="?","Unknown site",IF(G248&lt;=0,"Check times",IF(G248&gt;12,"Over 12h",IF(COUNTIFS($L$2:$L$2001,L248)&gt;1,"Duplicate?",IF(A248&gt;TODAY(),"Future date","OK"))))))))</f>
        <v/>
      </c>
      <c r="L248">
        <f>IF(A248="","",TEXT(A248,"yyyy-mm-dd")&amp;"|"&amp;B248&amp;"|"&amp;C248)</f>
        <v/>
      </c>
    </row>
    <row r="249">
      <c r="A249" s="4" t="n"/>
      <c r="D249" s="5" t="n"/>
      <c r="E249" s="5" t="n"/>
      <c r="G249" s="6">
        <f>IF(OR(A249="",D249="",E249=""),"",ROUND(MOD(E249-D249,1)*24-N(F249)/60,2))</f>
        <v/>
      </c>
      <c r="H249" s="7">
        <f>IF(C249="","",IFERROR(INDEX(Sites!$B$2:$B$501,MATCH(C249,Sites!$A$2:$A$501,0)),"?"))</f>
        <v/>
      </c>
      <c r="I249" s="8">
        <f>IF(A249="","",A249-WEEKDAY(A249,3))</f>
        <v/>
      </c>
      <c r="K249" s="7">
        <f>IF(A249="","",IF(OR(B249="",C249="",D249="",E249=""),"Missing info",IF(ISNA(MATCH(B249,Staff!$A$2:$A$101,0)),"Unknown employee",IF(H249="?","Unknown site",IF(G249&lt;=0,"Check times",IF(G249&gt;12,"Over 12h",IF(COUNTIFS($L$2:$L$2001,L249)&gt;1,"Duplicate?",IF(A249&gt;TODAY(),"Future date","OK"))))))))</f>
        <v/>
      </c>
      <c r="L249">
        <f>IF(A249="","",TEXT(A249,"yyyy-mm-dd")&amp;"|"&amp;B249&amp;"|"&amp;C249)</f>
        <v/>
      </c>
    </row>
    <row r="250">
      <c r="A250" s="4" t="n"/>
      <c r="D250" s="5" t="n"/>
      <c r="E250" s="5" t="n"/>
      <c r="G250" s="6">
        <f>IF(OR(A250="",D250="",E250=""),"",ROUND(MOD(E250-D250,1)*24-N(F250)/60,2))</f>
        <v/>
      </c>
      <c r="H250" s="7">
        <f>IF(C250="","",IFERROR(INDEX(Sites!$B$2:$B$501,MATCH(C250,Sites!$A$2:$A$501,0)),"?"))</f>
        <v/>
      </c>
      <c r="I250" s="8">
        <f>IF(A250="","",A250-WEEKDAY(A250,3))</f>
        <v/>
      </c>
      <c r="K250" s="7">
        <f>IF(A250="","",IF(OR(B250="",C250="",D250="",E250=""),"Missing info",IF(ISNA(MATCH(B250,Staff!$A$2:$A$101,0)),"Unknown employee",IF(H250="?","Unknown site",IF(G250&lt;=0,"Check times",IF(G250&gt;12,"Over 12h",IF(COUNTIFS($L$2:$L$2001,L250)&gt;1,"Duplicate?",IF(A250&gt;TODAY(),"Future date","OK"))))))))</f>
        <v/>
      </c>
      <c r="L250">
        <f>IF(A250="","",TEXT(A250,"yyyy-mm-dd")&amp;"|"&amp;B250&amp;"|"&amp;C250)</f>
        <v/>
      </c>
    </row>
    <row r="251">
      <c r="A251" s="4" t="n"/>
      <c r="D251" s="5" t="n"/>
      <c r="E251" s="5" t="n"/>
      <c r="G251" s="6">
        <f>IF(OR(A251="",D251="",E251=""),"",ROUND(MOD(E251-D251,1)*24-N(F251)/60,2))</f>
        <v/>
      </c>
      <c r="H251" s="7">
        <f>IF(C251="","",IFERROR(INDEX(Sites!$B$2:$B$501,MATCH(C251,Sites!$A$2:$A$501,0)),"?"))</f>
        <v/>
      </c>
      <c r="I251" s="8">
        <f>IF(A251="","",A251-WEEKDAY(A251,3))</f>
        <v/>
      </c>
      <c r="K251" s="7">
        <f>IF(A251="","",IF(OR(B251="",C251="",D251="",E251=""),"Missing info",IF(ISNA(MATCH(B251,Staff!$A$2:$A$101,0)),"Unknown employee",IF(H251="?","Unknown site",IF(G251&lt;=0,"Check times",IF(G251&gt;12,"Over 12h",IF(COUNTIFS($L$2:$L$2001,L251)&gt;1,"Duplicate?",IF(A251&gt;TODAY(),"Future date","OK"))))))))</f>
        <v/>
      </c>
      <c r="L251">
        <f>IF(A251="","",TEXT(A251,"yyyy-mm-dd")&amp;"|"&amp;B251&amp;"|"&amp;C251)</f>
        <v/>
      </c>
    </row>
    <row r="252">
      <c r="A252" s="4" t="n"/>
      <c r="D252" s="5" t="n"/>
      <c r="E252" s="5" t="n"/>
      <c r="G252" s="6">
        <f>IF(OR(A252="",D252="",E252=""),"",ROUND(MOD(E252-D252,1)*24-N(F252)/60,2))</f>
        <v/>
      </c>
      <c r="H252" s="7">
        <f>IF(C252="","",IFERROR(INDEX(Sites!$B$2:$B$501,MATCH(C252,Sites!$A$2:$A$501,0)),"?"))</f>
        <v/>
      </c>
      <c r="I252" s="8">
        <f>IF(A252="","",A252-WEEKDAY(A252,3))</f>
        <v/>
      </c>
      <c r="K252" s="7">
        <f>IF(A252="","",IF(OR(B252="",C252="",D252="",E252=""),"Missing info",IF(ISNA(MATCH(B252,Staff!$A$2:$A$101,0)),"Unknown employee",IF(H252="?","Unknown site",IF(G252&lt;=0,"Check times",IF(G252&gt;12,"Over 12h",IF(COUNTIFS($L$2:$L$2001,L252)&gt;1,"Duplicate?",IF(A252&gt;TODAY(),"Future date","OK"))))))))</f>
        <v/>
      </c>
      <c r="L252">
        <f>IF(A252="","",TEXT(A252,"yyyy-mm-dd")&amp;"|"&amp;B252&amp;"|"&amp;C252)</f>
        <v/>
      </c>
    </row>
    <row r="253">
      <c r="A253" s="4" t="n"/>
      <c r="D253" s="5" t="n"/>
      <c r="E253" s="5" t="n"/>
      <c r="G253" s="6">
        <f>IF(OR(A253="",D253="",E253=""),"",ROUND(MOD(E253-D253,1)*24-N(F253)/60,2))</f>
        <v/>
      </c>
      <c r="H253" s="7">
        <f>IF(C253="","",IFERROR(INDEX(Sites!$B$2:$B$501,MATCH(C253,Sites!$A$2:$A$501,0)),"?"))</f>
        <v/>
      </c>
      <c r="I253" s="8">
        <f>IF(A253="","",A253-WEEKDAY(A253,3))</f>
        <v/>
      </c>
      <c r="K253" s="7">
        <f>IF(A253="","",IF(OR(B253="",C253="",D253="",E253=""),"Missing info",IF(ISNA(MATCH(B253,Staff!$A$2:$A$101,0)),"Unknown employee",IF(H253="?","Unknown site",IF(G253&lt;=0,"Check times",IF(G253&gt;12,"Over 12h",IF(COUNTIFS($L$2:$L$2001,L253)&gt;1,"Duplicate?",IF(A253&gt;TODAY(),"Future date","OK"))))))))</f>
        <v/>
      </c>
      <c r="L253">
        <f>IF(A253="","",TEXT(A253,"yyyy-mm-dd")&amp;"|"&amp;B253&amp;"|"&amp;C253)</f>
        <v/>
      </c>
    </row>
    <row r="254">
      <c r="A254" s="4" t="n"/>
      <c r="D254" s="5" t="n"/>
      <c r="E254" s="5" t="n"/>
      <c r="G254" s="6">
        <f>IF(OR(A254="",D254="",E254=""),"",ROUND(MOD(E254-D254,1)*24-N(F254)/60,2))</f>
        <v/>
      </c>
      <c r="H254" s="7">
        <f>IF(C254="","",IFERROR(INDEX(Sites!$B$2:$B$501,MATCH(C254,Sites!$A$2:$A$501,0)),"?"))</f>
        <v/>
      </c>
      <c r="I254" s="8">
        <f>IF(A254="","",A254-WEEKDAY(A254,3))</f>
        <v/>
      </c>
      <c r="K254" s="7">
        <f>IF(A254="","",IF(OR(B254="",C254="",D254="",E254=""),"Missing info",IF(ISNA(MATCH(B254,Staff!$A$2:$A$101,0)),"Unknown employee",IF(H254="?","Unknown site",IF(G254&lt;=0,"Check times",IF(G254&gt;12,"Over 12h",IF(COUNTIFS($L$2:$L$2001,L254)&gt;1,"Duplicate?",IF(A254&gt;TODAY(),"Future date","OK"))))))))</f>
        <v/>
      </c>
      <c r="L254">
        <f>IF(A254="","",TEXT(A254,"yyyy-mm-dd")&amp;"|"&amp;B254&amp;"|"&amp;C254)</f>
        <v/>
      </c>
    </row>
    <row r="255">
      <c r="A255" s="4" t="n"/>
      <c r="D255" s="5" t="n"/>
      <c r="E255" s="5" t="n"/>
      <c r="G255" s="6">
        <f>IF(OR(A255="",D255="",E255=""),"",ROUND(MOD(E255-D255,1)*24-N(F255)/60,2))</f>
        <v/>
      </c>
      <c r="H255" s="7">
        <f>IF(C255="","",IFERROR(INDEX(Sites!$B$2:$B$501,MATCH(C255,Sites!$A$2:$A$501,0)),"?"))</f>
        <v/>
      </c>
      <c r="I255" s="8">
        <f>IF(A255="","",A255-WEEKDAY(A255,3))</f>
        <v/>
      </c>
      <c r="K255" s="7">
        <f>IF(A255="","",IF(OR(B255="",C255="",D255="",E255=""),"Missing info",IF(ISNA(MATCH(B255,Staff!$A$2:$A$101,0)),"Unknown employee",IF(H255="?","Unknown site",IF(G255&lt;=0,"Check times",IF(G255&gt;12,"Over 12h",IF(COUNTIFS($L$2:$L$2001,L255)&gt;1,"Duplicate?",IF(A255&gt;TODAY(),"Future date","OK"))))))))</f>
        <v/>
      </c>
      <c r="L255">
        <f>IF(A255="","",TEXT(A255,"yyyy-mm-dd")&amp;"|"&amp;B255&amp;"|"&amp;C255)</f>
        <v/>
      </c>
    </row>
    <row r="256">
      <c r="A256" s="4" t="n"/>
      <c r="D256" s="5" t="n"/>
      <c r="E256" s="5" t="n"/>
      <c r="G256" s="6">
        <f>IF(OR(A256="",D256="",E256=""),"",ROUND(MOD(E256-D256,1)*24-N(F256)/60,2))</f>
        <v/>
      </c>
      <c r="H256" s="7">
        <f>IF(C256="","",IFERROR(INDEX(Sites!$B$2:$B$501,MATCH(C256,Sites!$A$2:$A$501,0)),"?"))</f>
        <v/>
      </c>
      <c r="I256" s="8">
        <f>IF(A256="","",A256-WEEKDAY(A256,3))</f>
        <v/>
      </c>
      <c r="K256" s="7">
        <f>IF(A256="","",IF(OR(B256="",C256="",D256="",E256=""),"Missing info",IF(ISNA(MATCH(B256,Staff!$A$2:$A$101,0)),"Unknown employee",IF(H256="?","Unknown site",IF(G256&lt;=0,"Check times",IF(G256&gt;12,"Over 12h",IF(COUNTIFS($L$2:$L$2001,L256)&gt;1,"Duplicate?",IF(A256&gt;TODAY(),"Future date","OK"))))))))</f>
        <v/>
      </c>
      <c r="L256">
        <f>IF(A256="","",TEXT(A256,"yyyy-mm-dd")&amp;"|"&amp;B256&amp;"|"&amp;C256)</f>
        <v/>
      </c>
    </row>
    <row r="257">
      <c r="A257" s="4" t="n"/>
      <c r="D257" s="5" t="n"/>
      <c r="E257" s="5" t="n"/>
      <c r="G257" s="6">
        <f>IF(OR(A257="",D257="",E257=""),"",ROUND(MOD(E257-D257,1)*24-N(F257)/60,2))</f>
        <v/>
      </c>
      <c r="H257" s="7">
        <f>IF(C257="","",IFERROR(INDEX(Sites!$B$2:$B$501,MATCH(C257,Sites!$A$2:$A$501,0)),"?"))</f>
        <v/>
      </c>
      <c r="I257" s="8">
        <f>IF(A257="","",A257-WEEKDAY(A257,3))</f>
        <v/>
      </c>
      <c r="K257" s="7">
        <f>IF(A257="","",IF(OR(B257="",C257="",D257="",E257=""),"Missing info",IF(ISNA(MATCH(B257,Staff!$A$2:$A$101,0)),"Unknown employee",IF(H257="?","Unknown site",IF(G257&lt;=0,"Check times",IF(G257&gt;12,"Over 12h",IF(COUNTIFS($L$2:$L$2001,L257)&gt;1,"Duplicate?",IF(A257&gt;TODAY(),"Future date","OK"))))))))</f>
        <v/>
      </c>
      <c r="L257">
        <f>IF(A257="","",TEXT(A257,"yyyy-mm-dd")&amp;"|"&amp;B257&amp;"|"&amp;C257)</f>
        <v/>
      </c>
    </row>
    <row r="258">
      <c r="A258" s="4" t="n"/>
      <c r="D258" s="5" t="n"/>
      <c r="E258" s="5" t="n"/>
      <c r="G258" s="6">
        <f>IF(OR(A258="",D258="",E258=""),"",ROUND(MOD(E258-D258,1)*24-N(F258)/60,2))</f>
        <v/>
      </c>
      <c r="H258" s="7">
        <f>IF(C258="","",IFERROR(INDEX(Sites!$B$2:$B$501,MATCH(C258,Sites!$A$2:$A$501,0)),"?"))</f>
        <v/>
      </c>
      <c r="I258" s="8">
        <f>IF(A258="","",A258-WEEKDAY(A258,3))</f>
        <v/>
      </c>
      <c r="K258" s="7">
        <f>IF(A258="","",IF(OR(B258="",C258="",D258="",E258=""),"Missing info",IF(ISNA(MATCH(B258,Staff!$A$2:$A$101,0)),"Unknown employee",IF(H258="?","Unknown site",IF(G258&lt;=0,"Check times",IF(G258&gt;12,"Over 12h",IF(COUNTIFS($L$2:$L$2001,L258)&gt;1,"Duplicate?",IF(A258&gt;TODAY(),"Future date","OK"))))))))</f>
        <v/>
      </c>
      <c r="L258">
        <f>IF(A258="","",TEXT(A258,"yyyy-mm-dd")&amp;"|"&amp;B258&amp;"|"&amp;C258)</f>
        <v/>
      </c>
    </row>
    <row r="259">
      <c r="A259" s="4" t="n"/>
      <c r="D259" s="5" t="n"/>
      <c r="E259" s="5" t="n"/>
      <c r="G259" s="6">
        <f>IF(OR(A259="",D259="",E259=""),"",ROUND(MOD(E259-D259,1)*24-N(F259)/60,2))</f>
        <v/>
      </c>
      <c r="H259" s="7">
        <f>IF(C259="","",IFERROR(INDEX(Sites!$B$2:$B$501,MATCH(C259,Sites!$A$2:$A$501,0)),"?"))</f>
        <v/>
      </c>
      <c r="I259" s="8">
        <f>IF(A259="","",A259-WEEKDAY(A259,3))</f>
        <v/>
      </c>
      <c r="K259" s="7">
        <f>IF(A259="","",IF(OR(B259="",C259="",D259="",E259=""),"Missing info",IF(ISNA(MATCH(B259,Staff!$A$2:$A$101,0)),"Unknown employee",IF(H259="?","Unknown site",IF(G259&lt;=0,"Check times",IF(G259&gt;12,"Over 12h",IF(COUNTIFS($L$2:$L$2001,L259)&gt;1,"Duplicate?",IF(A259&gt;TODAY(),"Future date","OK"))))))))</f>
        <v/>
      </c>
      <c r="L259">
        <f>IF(A259="","",TEXT(A259,"yyyy-mm-dd")&amp;"|"&amp;B259&amp;"|"&amp;C259)</f>
        <v/>
      </c>
    </row>
    <row r="260">
      <c r="A260" s="4" t="n"/>
      <c r="D260" s="5" t="n"/>
      <c r="E260" s="5" t="n"/>
      <c r="G260" s="6">
        <f>IF(OR(A260="",D260="",E260=""),"",ROUND(MOD(E260-D260,1)*24-N(F260)/60,2))</f>
        <v/>
      </c>
      <c r="H260" s="7">
        <f>IF(C260="","",IFERROR(INDEX(Sites!$B$2:$B$501,MATCH(C260,Sites!$A$2:$A$501,0)),"?"))</f>
        <v/>
      </c>
      <c r="I260" s="8">
        <f>IF(A260="","",A260-WEEKDAY(A260,3))</f>
        <v/>
      </c>
      <c r="K260" s="7">
        <f>IF(A260="","",IF(OR(B260="",C260="",D260="",E260=""),"Missing info",IF(ISNA(MATCH(B260,Staff!$A$2:$A$101,0)),"Unknown employee",IF(H260="?","Unknown site",IF(G260&lt;=0,"Check times",IF(G260&gt;12,"Over 12h",IF(COUNTIFS($L$2:$L$2001,L260)&gt;1,"Duplicate?",IF(A260&gt;TODAY(),"Future date","OK"))))))))</f>
        <v/>
      </c>
      <c r="L260">
        <f>IF(A260="","",TEXT(A260,"yyyy-mm-dd")&amp;"|"&amp;B260&amp;"|"&amp;C260)</f>
        <v/>
      </c>
    </row>
    <row r="261">
      <c r="A261" s="4" t="n"/>
      <c r="D261" s="5" t="n"/>
      <c r="E261" s="5" t="n"/>
      <c r="G261" s="6">
        <f>IF(OR(A261="",D261="",E261=""),"",ROUND(MOD(E261-D261,1)*24-N(F261)/60,2))</f>
        <v/>
      </c>
      <c r="H261" s="7">
        <f>IF(C261="","",IFERROR(INDEX(Sites!$B$2:$B$501,MATCH(C261,Sites!$A$2:$A$501,0)),"?"))</f>
        <v/>
      </c>
      <c r="I261" s="8">
        <f>IF(A261="","",A261-WEEKDAY(A261,3))</f>
        <v/>
      </c>
      <c r="K261" s="7">
        <f>IF(A261="","",IF(OR(B261="",C261="",D261="",E261=""),"Missing info",IF(ISNA(MATCH(B261,Staff!$A$2:$A$101,0)),"Unknown employee",IF(H261="?","Unknown site",IF(G261&lt;=0,"Check times",IF(G261&gt;12,"Over 12h",IF(COUNTIFS($L$2:$L$2001,L261)&gt;1,"Duplicate?",IF(A261&gt;TODAY(),"Future date","OK"))))))))</f>
        <v/>
      </c>
      <c r="L261">
        <f>IF(A261="","",TEXT(A261,"yyyy-mm-dd")&amp;"|"&amp;B261&amp;"|"&amp;C261)</f>
        <v/>
      </c>
    </row>
    <row r="262">
      <c r="A262" s="4" t="n"/>
      <c r="D262" s="5" t="n"/>
      <c r="E262" s="5" t="n"/>
      <c r="G262" s="6">
        <f>IF(OR(A262="",D262="",E262=""),"",ROUND(MOD(E262-D262,1)*24-N(F262)/60,2))</f>
        <v/>
      </c>
      <c r="H262" s="7">
        <f>IF(C262="","",IFERROR(INDEX(Sites!$B$2:$B$501,MATCH(C262,Sites!$A$2:$A$501,0)),"?"))</f>
        <v/>
      </c>
      <c r="I262" s="8">
        <f>IF(A262="","",A262-WEEKDAY(A262,3))</f>
        <v/>
      </c>
      <c r="K262" s="7">
        <f>IF(A262="","",IF(OR(B262="",C262="",D262="",E262=""),"Missing info",IF(ISNA(MATCH(B262,Staff!$A$2:$A$101,0)),"Unknown employee",IF(H262="?","Unknown site",IF(G262&lt;=0,"Check times",IF(G262&gt;12,"Over 12h",IF(COUNTIFS($L$2:$L$2001,L262)&gt;1,"Duplicate?",IF(A262&gt;TODAY(),"Future date","OK"))))))))</f>
        <v/>
      </c>
      <c r="L262">
        <f>IF(A262="","",TEXT(A262,"yyyy-mm-dd")&amp;"|"&amp;B262&amp;"|"&amp;C262)</f>
        <v/>
      </c>
    </row>
    <row r="263">
      <c r="A263" s="4" t="n"/>
      <c r="D263" s="5" t="n"/>
      <c r="E263" s="5" t="n"/>
      <c r="G263" s="6">
        <f>IF(OR(A263="",D263="",E263=""),"",ROUND(MOD(E263-D263,1)*24-N(F263)/60,2))</f>
        <v/>
      </c>
      <c r="H263" s="7">
        <f>IF(C263="","",IFERROR(INDEX(Sites!$B$2:$B$501,MATCH(C263,Sites!$A$2:$A$501,0)),"?"))</f>
        <v/>
      </c>
      <c r="I263" s="8">
        <f>IF(A263="","",A263-WEEKDAY(A263,3))</f>
        <v/>
      </c>
      <c r="K263" s="7">
        <f>IF(A263="","",IF(OR(B263="",C263="",D263="",E263=""),"Missing info",IF(ISNA(MATCH(B263,Staff!$A$2:$A$101,0)),"Unknown employee",IF(H263="?","Unknown site",IF(G263&lt;=0,"Check times",IF(G263&gt;12,"Over 12h",IF(COUNTIFS($L$2:$L$2001,L263)&gt;1,"Duplicate?",IF(A263&gt;TODAY(),"Future date","OK"))))))))</f>
        <v/>
      </c>
      <c r="L263">
        <f>IF(A263="","",TEXT(A263,"yyyy-mm-dd")&amp;"|"&amp;B263&amp;"|"&amp;C263)</f>
        <v/>
      </c>
    </row>
    <row r="264">
      <c r="A264" s="4" t="n"/>
      <c r="D264" s="5" t="n"/>
      <c r="E264" s="5" t="n"/>
      <c r="G264" s="6">
        <f>IF(OR(A264="",D264="",E264=""),"",ROUND(MOD(E264-D264,1)*24-N(F264)/60,2))</f>
        <v/>
      </c>
      <c r="H264" s="7">
        <f>IF(C264="","",IFERROR(INDEX(Sites!$B$2:$B$501,MATCH(C264,Sites!$A$2:$A$501,0)),"?"))</f>
        <v/>
      </c>
      <c r="I264" s="8">
        <f>IF(A264="","",A264-WEEKDAY(A264,3))</f>
        <v/>
      </c>
      <c r="K264" s="7">
        <f>IF(A264="","",IF(OR(B264="",C264="",D264="",E264=""),"Missing info",IF(ISNA(MATCH(B264,Staff!$A$2:$A$101,0)),"Unknown employee",IF(H264="?","Unknown site",IF(G264&lt;=0,"Check times",IF(G264&gt;12,"Over 12h",IF(COUNTIFS($L$2:$L$2001,L264)&gt;1,"Duplicate?",IF(A264&gt;TODAY(),"Future date","OK"))))))))</f>
        <v/>
      </c>
      <c r="L264">
        <f>IF(A264="","",TEXT(A264,"yyyy-mm-dd")&amp;"|"&amp;B264&amp;"|"&amp;C264)</f>
        <v/>
      </c>
    </row>
    <row r="265">
      <c r="A265" s="4" t="n"/>
      <c r="D265" s="5" t="n"/>
      <c r="E265" s="5" t="n"/>
      <c r="G265" s="6">
        <f>IF(OR(A265="",D265="",E265=""),"",ROUND(MOD(E265-D265,1)*24-N(F265)/60,2))</f>
        <v/>
      </c>
      <c r="H265" s="7">
        <f>IF(C265="","",IFERROR(INDEX(Sites!$B$2:$B$501,MATCH(C265,Sites!$A$2:$A$501,0)),"?"))</f>
        <v/>
      </c>
      <c r="I265" s="8">
        <f>IF(A265="","",A265-WEEKDAY(A265,3))</f>
        <v/>
      </c>
      <c r="K265" s="7">
        <f>IF(A265="","",IF(OR(B265="",C265="",D265="",E265=""),"Missing info",IF(ISNA(MATCH(B265,Staff!$A$2:$A$101,0)),"Unknown employee",IF(H265="?","Unknown site",IF(G265&lt;=0,"Check times",IF(G265&gt;12,"Over 12h",IF(COUNTIFS($L$2:$L$2001,L265)&gt;1,"Duplicate?",IF(A265&gt;TODAY(),"Future date","OK"))))))))</f>
        <v/>
      </c>
      <c r="L265">
        <f>IF(A265="","",TEXT(A265,"yyyy-mm-dd")&amp;"|"&amp;B265&amp;"|"&amp;C265)</f>
        <v/>
      </c>
    </row>
    <row r="266">
      <c r="A266" s="4" t="n"/>
      <c r="D266" s="5" t="n"/>
      <c r="E266" s="5" t="n"/>
      <c r="G266" s="6">
        <f>IF(OR(A266="",D266="",E266=""),"",ROUND(MOD(E266-D266,1)*24-N(F266)/60,2))</f>
        <v/>
      </c>
      <c r="H266" s="7">
        <f>IF(C266="","",IFERROR(INDEX(Sites!$B$2:$B$501,MATCH(C266,Sites!$A$2:$A$501,0)),"?"))</f>
        <v/>
      </c>
      <c r="I266" s="8">
        <f>IF(A266="","",A266-WEEKDAY(A266,3))</f>
        <v/>
      </c>
      <c r="K266" s="7">
        <f>IF(A266="","",IF(OR(B266="",C266="",D266="",E266=""),"Missing info",IF(ISNA(MATCH(B266,Staff!$A$2:$A$101,0)),"Unknown employee",IF(H266="?","Unknown site",IF(G266&lt;=0,"Check times",IF(G266&gt;12,"Over 12h",IF(COUNTIFS($L$2:$L$2001,L266)&gt;1,"Duplicate?",IF(A266&gt;TODAY(),"Future date","OK"))))))))</f>
        <v/>
      </c>
      <c r="L266">
        <f>IF(A266="","",TEXT(A266,"yyyy-mm-dd")&amp;"|"&amp;B266&amp;"|"&amp;C266)</f>
        <v/>
      </c>
    </row>
    <row r="267">
      <c r="A267" s="4" t="n"/>
      <c r="D267" s="5" t="n"/>
      <c r="E267" s="5" t="n"/>
      <c r="G267" s="6">
        <f>IF(OR(A267="",D267="",E267=""),"",ROUND(MOD(E267-D267,1)*24-N(F267)/60,2))</f>
        <v/>
      </c>
      <c r="H267" s="7">
        <f>IF(C267="","",IFERROR(INDEX(Sites!$B$2:$B$501,MATCH(C267,Sites!$A$2:$A$501,0)),"?"))</f>
        <v/>
      </c>
      <c r="I267" s="8">
        <f>IF(A267="","",A267-WEEKDAY(A267,3))</f>
        <v/>
      </c>
      <c r="K267" s="7">
        <f>IF(A267="","",IF(OR(B267="",C267="",D267="",E267=""),"Missing info",IF(ISNA(MATCH(B267,Staff!$A$2:$A$101,0)),"Unknown employee",IF(H267="?","Unknown site",IF(G267&lt;=0,"Check times",IF(G267&gt;12,"Over 12h",IF(COUNTIFS($L$2:$L$2001,L267)&gt;1,"Duplicate?",IF(A267&gt;TODAY(),"Future date","OK"))))))))</f>
        <v/>
      </c>
      <c r="L267">
        <f>IF(A267="","",TEXT(A267,"yyyy-mm-dd")&amp;"|"&amp;B267&amp;"|"&amp;C267)</f>
        <v/>
      </c>
    </row>
    <row r="268">
      <c r="A268" s="4" t="n"/>
      <c r="D268" s="5" t="n"/>
      <c r="E268" s="5" t="n"/>
      <c r="G268" s="6">
        <f>IF(OR(A268="",D268="",E268=""),"",ROUND(MOD(E268-D268,1)*24-N(F268)/60,2))</f>
        <v/>
      </c>
      <c r="H268" s="7">
        <f>IF(C268="","",IFERROR(INDEX(Sites!$B$2:$B$501,MATCH(C268,Sites!$A$2:$A$501,0)),"?"))</f>
        <v/>
      </c>
      <c r="I268" s="8">
        <f>IF(A268="","",A268-WEEKDAY(A268,3))</f>
        <v/>
      </c>
      <c r="K268" s="7">
        <f>IF(A268="","",IF(OR(B268="",C268="",D268="",E268=""),"Missing info",IF(ISNA(MATCH(B268,Staff!$A$2:$A$101,0)),"Unknown employee",IF(H268="?","Unknown site",IF(G268&lt;=0,"Check times",IF(G268&gt;12,"Over 12h",IF(COUNTIFS($L$2:$L$2001,L268)&gt;1,"Duplicate?",IF(A268&gt;TODAY(),"Future date","OK"))))))))</f>
        <v/>
      </c>
      <c r="L268">
        <f>IF(A268="","",TEXT(A268,"yyyy-mm-dd")&amp;"|"&amp;B268&amp;"|"&amp;C268)</f>
        <v/>
      </c>
    </row>
    <row r="269">
      <c r="A269" s="4" t="n"/>
      <c r="D269" s="5" t="n"/>
      <c r="E269" s="5" t="n"/>
      <c r="G269" s="6">
        <f>IF(OR(A269="",D269="",E269=""),"",ROUND(MOD(E269-D269,1)*24-N(F269)/60,2))</f>
        <v/>
      </c>
      <c r="H269" s="7">
        <f>IF(C269="","",IFERROR(INDEX(Sites!$B$2:$B$501,MATCH(C269,Sites!$A$2:$A$501,0)),"?"))</f>
        <v/>
      </c>
      <c r="I269" s="8">
        <f>IF(A269="","",A269-WEEKDAY(A269,3))</f>
        <v/>
      </c>
      <c r="K269" s="7">
        <f>IF(A269="","",IF(OR(B269="",C269="",D269="",E269=""),"Missing info",IF(ISNA(MATCH(B269,Staff!$A$2:$A$101,0)),"Unknown employee",IF(H269="?","Unknown site",IF(G269&lt;=0,"Check times",IF(G269&gt;12,"Over 12h",IF(COUNTIFS($L$2:$L$2001,L269)&gt;1,"Duplicate?",IF(A269&gt;TODAY(),"Future date","OK"))))))))</f>
        <v/>
      </c>
      <c r="L269">
        <f>IF(A269="","",TEXT(A269,"yyyy-mm-dd")&amp;"|"&amp;B269&amp;"|"&amp;C269)</f>
        <v/>
      </c>
    </row>
    <row r="270">
      <c r="A270" s="4" t="n"/>
      <c r="D270" s="5" t="n"/>
      <c r="E270" s="5" t="n"/>
      <c r="G270" s="6">
        <f>IF(OR(A270="",D270="",E270=""),"",ROUND(MOD(E270-D270,1)*24-N(F270)/60,2))</f>
        <v/>
      </c>
      <c r="H270" s="7">
        <f>IF(C270="","",IFERROR(INDEX(Sites!$B$2:$B$501,MATCH(C270,Sites!$A$2:$A$501,0)),"?"))</f>
        <v/>
      </c>
      <c r="I270" s="8">
        <f>IF(A270="","",A270-WEEKDAY(A270,3))</f>
        <v/>
      </c>
      <c r="K270" s="7">
        <f>IF(A270="","",IF(OR(B270="",C270="",D270="",E270=""),"Missing info",IF(ISNA(MATCH(B270,Staff!$A$2:$A$101,0)),"Unknown employee",IF(H270="?","Unknown site",IF(G270&lt;=0,"Check times",IF(G270&gt;12,"Over 12h",IF(COUNTIFS($L$2:$L$2001,L270)&gt;1,"Duplicate?",IF(A270&gt;TODAY(),"Future date","OK"))))))))</f>
        <v/>
      </c>
      <c r="L270">
        <f>IF(A270="","",TEXT(A270,"yyyy-mm-dd")&amp;"|"&amp;B270&amp;"|"&amp;C270)</f>
        <v/>
      </c>
    </row>
    <row r="271">
      <c r="A271" s="4" t="n"/>
      <c r="D271" s="5" t="n"/>
      <c r="E271" s="5" t="n"/>
      <c r="G271" s="6">
        <f>IF(OR(A271="",D271="",E271=""),"",ROUND(MOD(E271-D271,1)*24-N(F271)/60,2))</f>
        <v/>
      </c>
      <c r="H271" s="7">
        <f>IF(C271="","",IFERROR(INDEX(Sites!$B$2:$B$501,MATCH(C271,Sites!$A$2:$A$501,0)),"?"))</f>
        <v/>
      </c>
      <c r="I271" s="8">
        <f>IF(A271="","",A271-WEEKDAY(A271,3))</f>
        <v/>
      </c>
      <c r="K271" s="7">
        <f>IF(A271="","",IF(OR(B271="",C271="",D271="",E271=""),"Missing info",IF(ISNA(MATCH(B271,Staff!$A$2:$A$101,0)),"Unknown employee",IF(H271="?","Unknown site",IF(G271&lt;=0,"Check times",IF(G271&gt;12,"Over 12h",IF(COUNTIFS($L$2:$L$2001,L271)&gt;1,"Duplicate?",IF(A271&gt;TODAY(),"Future date","OK"))))))))</f>
        <v/>
      </c>
      <c r="L271">
        <f>IF(A271="","",TEXT(A271,"yyyy-mm-dd")&amp;"|"&amp;B271&amp;"|"&amp;C271)</f>
        <v/>
      </c>
    </row>
    <row r="272">
      <c r="A272" s="4" t="n"/>
      <c r="D272" s="5" t="n"/>
      <c r="E272" s="5" t="n"/>
      <c r="G272" s="6">
        <f>IF(OR(A272="",D272="",E272=""),"",ROUND(MOD(E272-D272,1)*24-N(F272)/60,2))</f>
        <v/>
      </c>
      <c r="H272" s="7">
        <f>IF(C272="","",IFERROR(INDEX(Sites!$B$2:$B$501,MATCH(C272,Sites!$A$2:$A$501,0)),"?"))</f>
        <v/>
      </c>
      <c r="I272" s="8">
        <f>IF(A272="","",A272-WEEKDAY(A272,3))</f>
        <v/>
      </c>
      <c r="K272" s="7">
        <f>IF(A272="","",IF(OR(B272="",C272="",D272="",E272=""),"Missing info",IF(ISNA(MATCH(B272,Staff!$A$2:$A$101,0)),"Unknown employee",IF(H272="?","Unknown site",IF(G272&lt;=0,"Check times",IF(G272&gt;12,"Over 12h",IF(COUNTIFS($L$2:$L$2001,L272)&gt;1,"Duplicate?",IF(A272&gt;TODAY(),"Future date","OK"))))))))</f>
        <v/>
      </c>
      <c r="L272">
        <f>IF(A272="","",TEXT(A272,"yyyy-mm-dd")&amp;"|"&amp;B272&amp;"|"&amp;C272)</f>
        <v/>
      </c>
    </row>
    <row r="273">
      <c r="A273" s="4" t="n"/>
      <c r="D273" s="5" t="n"/>
      <c r="E273" s="5" t="n"/>
      <c r="G273" s="6">
        <f>IF(OR(A273="",D273="",E273=""),"",ROUND(MOD(E273-D273,1)*24-N(F273)/60,2))</f>
        <v/>
      </c>
      <c r="H273" s="7">
        <f>IF(C273="","",IFERROR(INDEX(Sites!$B$2:$B$501,MATCH(C273,Sites!$A$2:$A$501,0)),"?"))</f>
        <v/>
      </c>
      <c r="I273" s="8">
        <f>IF(A273="","",A273-WEEKDAY(A273,3))</f>
        <v/>
      </c>
      <c r="K273" s="7">
        <f>IF(A273="","",IF(OR(B273="",C273="",D273="",E273=""),"Missing info",IF(ISNA(MATCH(B273,Staff!$A$2:$A$101,0)),"Unknown employee",IF(H273="?","Unknown site",IF(G273&lt;=0,"Check times",IF(G273&gt;12,"Over 12h",IF(COUNTIFS($L$2:$L$2001,L273)&gt;1,"Duplicate?",IF(A273&gt;TODAY(),"Future date","OK"))))))))</f>
        <v/>
      </c>
      <c r="L273">
        <f>IF(A273="","",TEXT(A273,"yyyy-mm-dd")&amp;"|"&amp;B273&amp;"|"&amp;C273)</f>
        <v/>
      </c>
    </row>
    <row r="274">
      <c r="A274" s="4" t="n"/>
      <c r="D274" s="5" t="n"/>
      <c r="E274" s="5" t="n"/>
      <c r="G274" s="6">
        <f>IF(OR(A274="",D274="",E274=""),"",ROUND(MOD(E274-D274,1)*24-N(F274)/60,2))</f>
        <v/>
      </c>
      <c r="H274" s="7">
        <f>IF(C274="","",IFERROR(INDEX(Sites!$B$2:$B$501,MATCH(C274,Sites!$A$2:$A$501,0)),"?"))</f>
        <v/>
      </c>
      <c r="I274" s="8">
        <f>IF(A274="","",A274-WEEKDAY(A274,3))</f>
        <v/>
      </c>
      <c r="K274" s="7">
        <f>IF(A274="","",IF(OR(B274="",C274="",D274="",E274=""),"Missing info",IF(ISNA(MATCH(B274,Staff!$A$2:$A$101,0)),"Unknown employee",IF(H274="?","Unknown site",IF(G274&lt;=0,"Check times",IF(G274&gt;12,"Over 12h",IF(COUNTIFS($L$2:$L$2001,L274)&gt;1,"Duplicate?",IF(A274&gt;TODAY(),"Future date","OK"))))))))</f>
        <v/>
      </c>
      <c r="L274">
        <f>IF(A274="","",TEXT(A274,"yyyy-mm-dd")&amp;"|"&amp;B274&amp;"|"&amp;C274)</f>
        <v/>
      </c>
    </row>
    <row r="275">
      <c r="A275" s="4" t="n"/>
      <c r="D275" s="5" t="n"/>
      <c r="E275" s="5" t="n"/>
      <c r="G275" s="6">
        <f>IF(OR(A275="",D275="",E275=""),"",ROUND(MOD(E275-D275,1)*24-N(F275)/60,2))</f>
        <v/>
      </c>
      <c r="H275" s="7">
        <f>IF(C275="","",IFERROR(INDEX(Sites!$B$2:$B$501,MATCH(C275,Sites!$A$2:$A$501,0)),"?"))</f>
        <v/>
      </c>
      <c r="I275" s="8">
        <f>IF(A275="","",A275-WEEKDAY(A275,3))</f>
        <v/>
      </c>
      <c r="K275" s="7">
        <f>IF(A275="","",IF(OR(B275="",C275="",D275="",E275=""),"Missing info",IF(ISNA(MATCH(B275,Staff!$A$2:$A$101,0)),"Unknown employee",IF(H275="?","Unknown site",IF(G275&lt;=0,"Check times",IF(G275&gt;12,"Over 12h",IF(COUNTIFS($L$2:$L$2001,L275)&gt;1,"Duplicate?",IF(A275&gt;TODAY(),"Future date","OK"))))))))</f>
        <v/>
      </c>
      <c r="L275">
        <f>IF(A275="","",TEXT(A275,"yyyy-mm-dd")&amp;"|"&amp;B275&amp;"|"&amp;C275)</f>
        <v/>
      </c>
    </row>
    <row r="276">
      <c r="A276" s="4" t="n"/>
      <c r="D276" s="5" t="n"/>
      <c r="E276" s="5" t="n"/>
      <c r="G276" s="6">
        <f>IF(OR(A276="",D276="",E276=""),"",ROUND(MOD(E276-D276,1)*24-N(F276)/60,2))</f>
        <v/>
      </c>
      <c r="H276" s="7">
        <f>IF(C276="","",IFERROR(INDEX(Sites!$B$2:$B$501,MATCH(C276,Sites!$A$2:$A$501,0)),"?"))</f>
        <v/>
      </c>
      <c r="I276" s="8">
        <f>IF(A276="","",A276-WEEKDAY(A276,3))</f>
        <v/>
      </c>
      <c r="K276" s="7">
        <f>IF(A276="","",IF(OR(B276="",C276="",D276="",E276=""),"Missing info",IF(ISNA(MATCH(B276,Staff!$A$2:$A$101,0)),"Unknown employee",IF(H276="?","Unknown site",IF(G276&lt;=0,"Check times",IF(G276&gt;12,"Over 12h",IF(COUNTIFS($L$2:$L$2001,L276)&gt;1,"Duplicate?",IF(A276&gt;TODAY(),"Future date","OK"))))))))</f>
        <v/>
      </c>
      <c r="L276">
        <f>IF(A276="","",TEXT(A276,"yyyy-mm-dd")&amp;"|"&amp;B276&amp;"|"&amp;C276)</f>
        <v/>
      </c>
    </row>
    <row r="277">
      <c r="A277" s="4" t="n"/>
      <c r="D277" s="5" t="n"/>
      <c r="E277" s="5" t="n"/>
      <c r="G277" s="6">
        <f>IF(OR(A277="",D277="",E277=""),"",ROUND(MOD(E277-D277,1)*24-N(F277)/60,2))</f>
        <v/>
      </c>
      <c r="H277" s="7">
        <f>IF(C277="","",IFERROR(INDEX(Sites!$B$2:$B$501,MATCH(C277,Sites!$A$2:$A$501,0)),"?"))</f>
        <v/>
      </c>
      <c r="I277" s="8">
        <f>IF(A277="","",A277-WEEKDAY(A277,3))</f>
        <v/>
      </c>
      <c r="K277" s="7">
        <f>IF(A277="","",IF(OR(B277="",C277="",D277="",E277=""),"Missing info",IF(ISNA(MATCH(B277,Staff!$A$2:$A$101,0)),"Unknown employee",IF(H277="?","Unknown site",IF(G277&lt;=0,"Check times",IF(G277&gt;12,"Over 12h",IF(COUNTIFS($L$2:$L$2001,L277)&gt;1,"Duplicate?",IF(A277&gt;TODAY(),"Future date","OK"))))))))</f>
        <v/>
      </c>
      <c r="L277">
        <f>IF(A277="","",TEXT(A277,"yyyy-mm-dd")&amp;"|"&amp;B277&amp;"|"&amp;C277)</f>
        <v/>
      </c>
    </row>
    <row r="278">
      <c r="A278" s="4" t="n"/>
      <c r="D278" s="5" t="n"/>
      <c r="E278" s="5" t="n"/>
      <c r="G278" s="6">
        <f>IF(OR(A278="",D278="",E278=""),"",ROUND(MOD(E278-D278,1)*24-N(F278)/60,2))</f>
        <v/>
      </c>
      <c r="H278" s="7">
        <f>IF(C278="","",IFERROR(INDEX(Sites!$B$2:$B$501,MATCH(C278,Sites!$A$2:$A$501,0)),"?"))</f>
        <v/>
      </c>
      <c r="I278" s="8">
        <f>IF(A278="","",A278-WEEKDAY(A278,3))</f>
        <v/>
      </c>
      <c r="K278" s="7">
        <f>IF(A278="","",IF(OR(B278="",C278="",D278="",E278=""),"Missing info",IF(ISNA(MATCH(B278,Staff!$A$2:$A$101,0)),"Unknown employee",IF(H278="?","Unknown site",IF(G278&lt;=0,"Check times",IF(G278&gt;12,"Over 12h",IF(COUNTIFS($L$2:$L$2001,L278)&gt;1,"Duplicate?",IF(A278&gt;TODAY(),"Future date","OK"))))))))</f>
        <v/>
      </c>
      <c r="L278">
        <f>IF(A278="","",TEXT(A278,"yyyy-mm-dd")&amp;"|"&amp;B278&amp;"|"&amp;C278)</f>
        <v/>
      </c>
    </row>
    <row r="279">
      <c r="A279" s="4" t="n"/>
      <c r="D279" s="5" t="n"/>
      <c r="E279" s="5" t="n"/>
      <c r="G279" s="6">
        <f>IF(OR(A279="",D279="",E279=""),"",ROUND(MOD(E279-D279,1)*24-N(F279)/60,2))</f>
        <v/>
      </c>
      <c r="H279" s="7">
        <f>IF(C279="","",IFERROR(INDEX(Sites!$B$2:$B$501,MATCH(C279,Sites!$A$2:$A$501,0)),"?"))</f>
        <v/>
      </c>
      <c r="I279" s="8">
        <f>IF(A279="","",A279-WEEKDAY(A279,3))</f>
        <v/>
      </c>
      <c r="K279" s="7">
        <f>IF(A279="","",IF(OR(B279="",C279="",D279="",E279=""),"Missing info",IF(ISNA(MATCH(B279,Staff!$A$2:$A$101,0)),"Unknown employee",IF(H279="?","Unknown site",IF(G279&lt;=0,"Check times",IF(G279&gt;12,"Over 12h",IF(COUNTIFS($L$2:$L$2001,L279)&gt;1,"Duplicate?",IF(A279&gt;TODAY(),"Future date","OK"))))))))</f>
        <v/>
      </c>
      <c r="L279">
        <f>IF(A279="","",TEXT(A279,"yyyy-mm-dd")&amp;"|"&amp;B279&amp;"|"&amp;C279)</f>
        <v/>
      </c>
    </row>
    <row r="280">
      <c r="A280" s="4" t="n"/>
      <c r="D280" s="5" t="n"/>
      <c r="E280" s="5" t="n"/>
      <c r="G280" s="6">
        <f>IF(OR(A280="",D280="",E280=""),"",ROUND(MOD(E280-D280,1)*24-N(F280)/60,2))</f>
        <v/>
      </c>
      <c r="H280" s="7">
        <f>IF(C280="","",IFERROR(INDEX(Sites!$B$2:$B$501,MATCH(C280,Sites!$A$2:$A$501,0)),"?"))</f>
        <v/>
      </c>
      <c r="I280" s="8">
        <f>IF(A280="","",A280-WEEKDAY(A280,3))</f>
        <v/>
      </c>
      <c r="K280" s="7">
        <f>IF(A280="","",IF(OR(B280="",C280="",D280="",E280=""),"Missing info",IF(ISNA(MATCH(B280,Staff!$A$2:$A$101,0)),"Unknown employee",IF(H280="?","Unknown site",IF(G280&lt;=0,"Check times",IF(G280&gt;12,"Over 12h",IF(COUNTIFS($L$2:$L$2001,L280)&gt;1,"Duplicate?",IF(A280&gt;TODAY(),"Future date","OK"))))))))</f>
        <v/>
      </c>
      <c r="L280">
        <f>IF(A280="","",TEXT(A280,"yyyy-mm-dd")&amp;"|"&amp;B280&amp;"|"&amp;C280)</f>
        <v/>
      </c>
    </row>
    <row r="281">
      <c r="A281" s="4" t="n"/>
      <c r="D281" s="5" t="n"/>
      <c r="E281" s="5" t="n"/>
      <c r="G281" s="6">
        <f>IF(OR(A281="",D281="",E281=""),"",ROUND(MOD(E281-D281,1)*24-N(F281)/60,2))</f>
        <v/>
      </c>
      <c r="H281" s="7">
        <f>IF(C281="","",IFERROR(INDEX(Sites!$B$2:$B$501,MATCH(C281,Sites!$A$2:$A$501,0)),"?"))</f>
        <v/>
      </c>
      <c r="I281" s="8">
        <f>IF(A281="","",A281-WEEKDAY(A281,3))</f>
        <v/>
      </c>
      <c r="K281" s="7">
        <f>IF(A281="","",IF(OR(B281="",C281="",D281="",E281=""),"Missing info",IF(ISNA(MATCH(B281,Staff!$A$2:$A$101,0)),"Unknown employee",IF(H281="?","Unknown site",IF(G281&lt;=0,"Check times",IF(G281&gt;12,"Over 12h",IF(COUNTIFS($L$2:$L$2001,L281)&gt;1,"Duplicate?",IF(A281&gt;TODAY(),"Future date","OK"))))))))</f>
        <v/>
      </c>
      <c r="L281">
        <f>IF(A281="","",TEXT(A281,"yyyy-mm-dd")&amp;"|"&amp;B281&amp;"|"&amp;C281)</f>
        <v/>
      </c>
    </row>
    <row r="282">
      <c r="A282" s="4" t="n"/>
      <c r="D282" s="5" t="n"/>
      <c r="E282" s="5" t="n"/>
      <c r="G282" s="6">
        <f>IF(OR(A282="",D282="",E282=""),"",ROUND(MOD(E282-D282,1)*24-N(F282)/60,2))</f>
        <v/>
      </c>
      <c r="H282" s="7">
        <f>IF(C282="","",IFERROR(INDEX(Sites!$B$2:$B$501,MATCH(C282,Sites!$A$2:$A$501,0)),"?"))</f>
        <v/>
      </c>
      <c r="I282" s="8">
        <f>IF(A282="","",A282-WEEKDAY(A282,3))</f>
        <v/>
      </c>
      <c r="K282" s="7">
        <f>IF(A282="","",IF(OR(B282="",C282="",D282="",E282=""),"Missing info",IF(ISNA(MATCH(B282,Staff!$A$2:$A$101,0)),"Unknown employee",IF(H282="?","Unknown site",IF(G282&lt;=0,"Check times",IF(G282&gt;12,"Over 12h",IF(COUNTIFS($L$2:$L$2001,L282)&gt;1,"Duplicate?",IF(A282&gt;TODAY(),"Future date","OK"))))))))</f>
        <v/>
      </c>
      <c r="L282">
        <f>IF(A282="","",TEXT(A282,"yyyy-mm-dd")&amp;"|"&amp;B282&amp;"|"&amp;C282)</f>
        <v/>
      </c>
    </row>
    <row r="283">
      <c r="A283" s="4" t="n"/>
      <c r="D283" s="5" t="n"/>
      <c r="E283" s="5" t="n"/>
      <c r="G283" s="6">
        <f>IF(OR(A283="",D283="",E283=""),"",ROUND(MOD(E283-D283,1)*24-N(F283)/60,2))</f>
        <v/>
      </c>
      <c r="H283" s="7">
        <f>IF(C283="","",IFERROR(INDEX(Sites!$B$2:$B$501,MATCH(C283,Sites!$A$2:$A$501,0)),"?"))</f>
        <v/>
      </c>
      <c r="I283" s="8">
        <f>IF(A283="","",A283-WEEKDAY(A283,3))</f>
        <v/>
      </c>
      <c r="K283" s="7">
        <f>IF(A283="","",IF(OR(B283="",C283="",D283="",E283=""),"Missing info",IF(ISNA(MATCH(B283,Staff!$A$2:$A$101,0)),"Unknown employee",IF(H283="?","Unknown site",IF(G283&lt;=0,"Check times",IF(G283&gt;12,"Over 12h",IF(COUNTIFS($L$2:$L$2001,L283)&gt;1,"Duplicate?",IF(A283&gt;TODAY(),"Future date","OK"))))))))</f>
        <v/>
      </c>
      <c r="L283">
        <f>IF(A283="","",TEXT(A283,"yyyy-mm-dd")&amp;"|"&amp;B283&amp;"|"&amp;C283)</f>
        <v/>
      </c>
    </row>
    <row r="284">
      <c r="A284" s="4" t="n"/>
      <c r="D284" s="5" t="n"/>
      <c r="E284" s="5" t="n"/>
      <c r="G284" s="6">
        <f>IF(OR(A284="",D284="",E284=""),"",ROUND(MOD(E284-D284,1)*24-N(F284)/60,2))</f>
        <v/>
      </c>
      <c r="H284" s="7">
        <f>IF(C284="","",IFERROR(INDEX(Sites!$B$2:$B$501,MATCH(C284,Sites!$A$2:$A$501,0)),"?"))</f>
        <v/>
      </c>
      <c r="I284" s="8">
        <f>IF(A284="","",A284-WEEKDAY(A284,3))</f>
        <v/>
      </c>
      <c r="K284" s="7">
        <f>IF(A284="","",IF(OR(B284="",C284="",D284="",E284=""),"Missing info",IF(ISNA(MATCH(B284,Staff!$A$2:$A$101,0)),"Unknown employee",IF(H284="?","Unknown site",IF(G284&lt;=0,"Check times",IF(G284&gt;12,"Over 12h",IF(COUNTIFS($L$2:$L$2001,L284)&gt;1,"Duplicate?",IF(A284&gt;TODAY(),"Future date","OK"))))))))</f>
        <v/>
      </c>
      <c r="L284">
        <f>IF(A284="","",TEXT(A284,"yyyy-mm-dd")&amp;"|"&amp;B284&amp;"|"&amp;C284)</f>
        <v/>
      </c>
    </row>
    <row r="285">
      <c r="A285" s="4" t="n"/>
      <c r="D285" s="5" t="n"/>
      <c r="E285" s="5" t="n"/>
      <c r="G285" s="6">
        <f>IF(OR(A285="",D285="",E285=""),"",ROUND(MOD(E285-D285,1)*24-N(F285)/60,2))</f>
        <v/>
      </c>
      <c r="H285" s="7">
        <f>IF(C285="","",IFERROR(INDEX(Sites!$B$2:$B$501,MATCH(C285,Sites!$A$2:$A$501,0)),"?"))</f>
        <v/>
      </c>
      <c r="I285" s="8">
        <f>IF(A285="","",A285-WEEKDAY(A285,3))</f>
        <v/>
      </c>
      <c r="K285" s="7">
        <f>IF(A285="","",IF(OR(B285="",C285="",D285="",E285=""),"Missing info",IF(ISNA(MATCH(B285,Staff!$A$2:$A$101,0)),"Unknown employee",IF(H285="?","Unknown site",IF(G285&lt;=0,"Check times",IF(G285&gt;12,"Over 12h",IF(COUNTIFS($L$2:$L$2001,L285)&gt;1,"Duplicate?",IF(A285&gt;TODAY(),"Future date","OK"))))))))</f>
        <v/>
      </c>
      <c r="L285">
        <f>IF(A285="","",TEXT(A285,"yyyy-mm-dd")&amp;"|"&amp;B285&amp;"|"&amp;C285)</f>
        <v/>
      </c>
    </row>
    <row r="286">
      <c r="A286" s="4" t="n"/>
      <c r="D286" s="5" t="n"/>
      <c r="E286" s="5" t="n"/>
      <c r="G286" s="6">
        <f>IF(OR(A286="",D286="",E286=""),"",ROUND(MOD(E286-D286,1)*24-N(F286)/60,2))</f>
        <v/>
      </c>
      <c r="H286" s="7">
        <f>IF(C286="","",IFERROR(INDEX(Sites!$B$2:$B$501,MATCH(C286,Sites!$A$2:$A$501,0)),"?"))</f>
        <v/>
      </c>
      <c r="I286" s="8">
        <f>IF(A286="","",A286-WEEKDAY(A286,3))</f>
        <v/>
      </c>
      <c r="K286" s="7">
        <f>IF(A286="","",IF(OR(B286="",C286="",D286="",E286=""),"Missing info",IF(ISNA(MATCH(B286,Staff!$A$2:$A$101,0)),"Unknown employee",IF(H286="?","Unknown site",IF(G286&lt;=0,"Check times",IF(G286&gt;12,"Over 12h",IF(COUNTIFS($L$2:$L$2001,L286)&gt;1,"Duplicate?",IF(A286&gt;TODAY(),"Future date","OK"))))))))</f>
        <v/>
      </c>
      <c r="L286">
        <f>IF(A286="","",TEXT(A286,"yyyy-mm-dd")&amp;"|"&amp;B286&amp;"|"&amp;C286)</f>
        <v/>
      </c>
    </row>
    <row r="287">
      <c r="A287" s="4" t="n"/>
      <c r="D287" s="5" t="n"/>
      <c r="E287" s="5" t="n"/>
      <c r="G287" s="6">
        <f>IF(OR(A287="",D287="",E287=""),"",ROUND(MOD(E287-D287,1)*24-N(F287)/60,2))</f>
        <v/>
      </c>
      <c r="H287" s="7">
        <f>IF(C287="","",IFERROR(INDEX(Sites!$B$2:$B$501,MATCH(C287,Sites!$A$2:$A$501,0)),"?"))</f>
        <v/>
      </c>
      <c r="I287" s="8">
        <f>IF(A287="","",A287-WEEKDAY(A287,3))</f>
        <v/>
      </c>
      <c r="K287" s="7">
        <f>IF(A287="","",IF(OR(B287="",C287="",D287="",E287=""),"Missing info",IF(ISNA(MATCH(B287,Staff!$A$2:$A$101,0)),"Unknown employee",IF(H287="?","Unknown site",IF(G287&lt;=0,"Check times",IF(G287&gt;12,"Over 12h",IF(COUNTIFS($L$2:$L$2001,L287)&gt;1,"Duplicate?",IF(A287&gt;TODAY(),"Future date","OK"))))))))</f>
        <v/>
      </c>
      <c r="L287">
        <f>IF(A287="","",TEXT(A287,"yyyy-mm-dd")&amp;"|"&amp;B287&amp;"|"&amp;C287)</f>
        <v/>
      </c>
    </row>
    <row r="288">
      <c r="A288" s="4" t="n"/>
      <c r="D288" s="5" t="n"/>
      <c r="E288" s="5" t="n"/>
      <c r="G288" s="6">
        <f>IF(OR(A288="",D288="",E288=""),"",ROUND(MOD(E288-D288,1)*24-N(F288)/60,2))</f>
        <v/>
      </c>
      <c r="H288" s="7">
        <f>IF(C288="","",IFERROR(INDEX(Sites!$B$2:$B$501,MATCH(C288,Sites!$A$2:$A$501,0)),"?"))</f>
        <v/>
      </c>
      <c r="I288" s="8">
        <f>IF(A288="","",A288-WEEKDAY(A288,3))</f>
        <v/>
      </c>
      <c r="K288" s="7">
        <f>IF(A288="","",IF(OR(B288="",C288="",D288="",E288=""),"Missing info",IF(ISNA(MATCH(B288,Staff!$A$2:$A$101,0)),"Unknown employee",IF(H288="?","Unknown site",IF(G288&lt;=0,"Check times",IF(G288&gt;12,"Over 12h",IF(COUNTIFS($L$2:$L$2001,L288)&gt;1,"Duplicate?",IF(A288&gt;TODAY(),"Future date","OK"))))))))</f>
        <v/>
      </c>
      <c r="L288">
        <f>IF(A288="","",TEXT(A288,"yyyy-mm-dd")&amp;"|"&amp;B288&amp;"|"&amp;C288)</f>
        <v/>
      </c>
    </row>
    <row r="289">
      <c r="A289" s="4" t="n"/>
      <c r="D289" s="5" t="n"/>
      <c r="E289" s="5" t="n"/>
      <c r="G289" s="6">
        <f>IF(OR(A289="",D289="",E289=""),"",ROUND(MOD(E289-D289,1)*24-N(F289)/60,2))</f>
        <v/>
      </c>
      <c r="H289" s="7">
        <f>IF(C289="","",IFERROR(INDEX(Sites!$B$2:$B$501,MATCH(C289,Sites!$A$2:$A$501,0)),"?"))</f>
        <v/>
      </c>
      <c r="I289" s="8">
        <f>IF(A289="","",A289-WEEKDAY(A289,3))</f>
        <v/>
      </c>
      <c r="K289" s="7">
        <f>IF(A289="","",IF(OR(B289="",C289="",D289="",E289=""),"Missing info",IF(ISNA(MATCH(B289,Staff!$A$2:$A$101,0)),"Unknown employee",IF(H289="?","Unknown site",IF(G289&lt;=0,"Check times",IF(G289&gt;12,"Over 12h",IF(COUNTIFS($L$2:$L$2001,L289)&gt;1,"Duplicate?",IF(A289&gt;TODAY(),"Future date","OK"))))))))</f>
        <v/>
      </c>
      <c r="L289">
        <f>IF(A289="","",TEXT(A289,"yyyy-mm-dd")&amp;"|"&amp;B289&amp;"|"&amp;C289)</f>
        <v/>
      </c>
    </row>
    <row r="290">
      <c r="A290" s="4" t="n"/>
      <c r="D290" s="5" t="n"/>
      <c r="E290" s="5" t="n"/>
      <c r="G290" s="6">
        <f>IF(OR(A290="",D290="",E290=""),"",ROUND(MOD(E290-D290,1)*24-N(F290)/60,2))</f>
        <v/>
      </c>
      <c r="H290" s="7">
        <f>IF(C290="","",IFERROR(INDEX(Sites!$B$2:$B$501,MATCH(C290,Sites!$A$2:$A$501,0)),"?"))</f>
        <v/>
      </c>
      <c r="I290" s="8">
        <f>IF(A290="","",A290-WEEKDAY(A290,3))</f>
        <v/>
      </c>
      <c r="K290" s="7">
        <f>IF(A290="","",IF(OR(B290="",C290="",D290="",E290=""),"Missing info",IF(ISNA(MATCH(B290,Staff!$A$2:$A$101,0)),"Unknown employee",IF(H290="?","Unknown site",IF(G290&lt;=0,"Check times",IF(G290&gt;12,"Over 12h",IF(COUNTIFS($L$2:$L$2001,L290)&gt;1,"Duplicate?",IF(A290&gt;TODAY(),"Future date","OK"))))))))</f>
        <v/>
      </c>
      <c r="L290">
        <f>IF(A290="","",TEXT(A290,"yyyy-mm-dd")&amp;"|"&amp;B290&amp;"|"&amp;C290)</f>
        <v/>
      </c>
    </row>
    <row r="291">
      <c r="A291" s="4" t="n"/>
      <c r="D291" s="5" t="n"/>
      <c r="E291" s="5" t="n"/>
      <c r="G291" s="6">
        <f>IF(OR(A291="",D291="",E291=""),"",ROUND(MOD(E291-D291,1)*24-N(F291)/60,2))</f>
        <v/>
      </c>
      <c r="H291" s="7">
        <f>IF(C291="","",IFERROR(INDEX(Sites!$B$2:$B$501,MATCH(C291,Sites!$A$2:$A$501,0)),"?"))</f>
        <v/>
      </c>
      <c r="I291" s="8">
        <f>IF(A291="","",A291-WEEKDAY(A291,3))</f>
        <v/>
      </c>
      <c r="K291" s="7">
        <f>IF(A291="","",IF(OR(B291="",C291="",D291="",E291=""),"Missing info",IF(ISNA(MATCH(B291,Staff!$A$2:$A$101,0)),"Unknown employee",IF(H291="?","Unknown site",IF(G291&lt;=0,"Check times",IF(G291&gt;12,"Over 12h",IF(COUNTIFS($L$2:$L$2001,L291)&gt;1,"Duplicate?",IF(A291&gt;TODAY(),"Future date","OK"))))))))</f>
        <v/>
      </c>
      <c r="L291">
        <f>IF(A291="","",TEXT(A291,"yyyy-mm-dd")&amp;"|"&amp;B291&amp;"|"&amp;C291)</f>
        <v/>
      </c>
    </row>
    <row r="292">
      <c r="A292" s="4" t="n"/>
      <c r="D292" s="5" t="n"/>
      <c r="E292" s="5" t="n"/>
      <c r="G292" s="6">
        <f>IF(OR(A292="",D292="",E292=""),"",ROUND(MOD(E292-D292,1)*24-N(F292)/60,2))</f>
        <v/>
      </c>
      <c r="H292" s="7">
        <f>IF(C292="","",IFERROR(INDEX(Sites!$B$2:$B$501,MATCH(C292,Sites!$A$2:$A$501,0)),"?"))</f>
        <v/>
      </c>
      <c r="I292" s="8">
        <f>IF(A292="","",A292-WEEKDAY(A292,3))</f>
        <v/>
      </c>
      <c r="K292" s="7">
        <f>IF(A292="","",IF(OR(B292="",C292="",D292="",E292=""),"Missing info",IF(ISNA(MATCH(B292,Staff!$A$2:$A$101,0)),"Unknown employee",IF(H292="?","Unknown site",IF(G292&lt;=0,"Check times",IF(G292&gt;12,"Over 12h",IF(COUNTIFS($L$2:$L$2001,L292)&gt;1,"Duplicate?",IF(A292&gt;TODAY(),"Future date","OK"))))))))</f>
        <v/>
      </c>
      <c r="L292">
        <f>IF(A292="","",TEXT(A292,"yyyy-mm-dd")&amp;"|"&amp;B292&amp;"|"&amp;C292)</f>
        <v/>
      </c>
    </row>
    <row r="293">
      <c r="A293" s="4" t="n"/>
      <c r="D293" s="5" t="n"/>
      <c r="E293" s="5" t="n"/>
      <c r="G293" s="6">
        <f>IF(OR(A293="",D293="",E293=""),"",ROUND(MOD(E293-D293,1)*24-N(F293)/60,2))</f>
        <v/>
      </c>
      <c r="H293" s="7">
        <f>IF(C293="","",IFERROR(INDEX(Sites!$B$2:$B$501,MATCH(C293,Sites!$A$2:$A$501,0)),"?"))</f>
        <v/>
      </c>
      <c r="I293" s="8">
        <f>IF(A293="","",A293-WEEKDAY(A293,3))</f>
        <v/>
      </c>
      <c r="K293" s="7">
        <f>IF(A293="","",IF(OR(B293="",C293="",D293="",E293=""),"Missing info",IF(ISNA(MATCH(B293,Staff!$A$2:$A$101,0)),"Unknown employee",IF(H293="?","Unknown site",IF(G293&lt;=0,"Check times",IF(G293&gt;12,"Over 12h",IF(COUNTIFS($L$2:$L$2001,L293)&gt;1,"Duplicate?",IF(A293&gt;TODAY(),"Future date","OK"))))))))</f>
        <v/>
      </c>
      <c r="L293">
        <f>IF(A293="","",TEXT(A293,"yyyy-mm-dd")&amp;"|"&amp;B293&amp;"|"&amp;C293)</f>
        <v/>
      </c>
    </row>
    <row r="294">
      <c r="A294" s="4" t="n"/>
      <c r="D294" s="5" t="n"/>
      <c r="E294" s="5" t="n"/>
      <c r="G294" s="6">
        <f>IF(OR(A294="",D294="",E294=""),"",ROUND(MOD(E294-D294,1)*24-N(F294)/60,2))</f>
        <v/>
      </c>
      <c r="H294" s="7">
        <f>IF(C294="","",IFERROR(INDEX(Sites!$B$2:$B$501,MATCH(C294,Sites!$A$2:$A$501,0)),"?"))</f>
        <v/>
      </c>
      <c r="I294" s="8">
        <f>IF(A294="","",A294-WEEKDAY(A294,3))</f>
        <v/>
      </c>
      <c r="K294" s="7">
        <f>IF(A294="","",IF(OR(B294="",C294="",D294="",E294=""),"Missing info",IF(ISNA(MATCH(B294,Staff!$A$2:$A$101,0)),"Unknown employee",IF(H294="?","Unknown site",IF(G294&lt;=0,"Check times",IF(G294&gt;12,"Over 12h",IF(COUNTIFS($L$2:$L$2001,L294)&gt;1,"Duplicate?",IF(A294&gt;TODAY(),"Future date","OK"))))))))</f>
        <v/>
      </c>
      <c r="L294">
        <f>IF(A294="","",TEXT(A294,"yyyy-mm-dd")&amp;"|"&amp;B294&amp;"|"&amp;C294)</f>
        <v/>
      </c>
    </row>
    <row r="295">
      <c r="A295" s="4" t="n"/>
      <c r="D295" s="5" t="n"/>
      <c r="E295" s="5" t="n"/>
      <c r="G295" s="6">
        <f>IF(OR(A295="",D295="",E295=""),"",ROUND(MOD(E295-D295,1)*24-N(F295)/60,2))</f>
        <v/>
      </c>
      <c r="H295" s="7">
        <f>IF(C295="","",IFERROR(INDEX(Sites!$B$2:$B$501,MATCH(C295,Sites!$A$2:$A$501,0)),"?"))</f>
        <v/>
      </c>
      <c r="I295" s="8">
        <f>IF(A295="","",A295-WEEKDAY(A295,3))</f>
        <v/>
      </c>
      <c r="K295" s="7">
        <f>IF(A295="","",IF(OR(B295="",C295="",D295="",E295=""),"Missing info",IF(ISNA(MATCH(B295,Staff!$A$2:$A$101,0)),"Unknown employee",IF(H295="?","Unknown site",IF(G295&lt;=0,"Check times",IF(G295&gt;12,"Over 12h",IF(COUNTIFS($L$2:$L$2001,L295)&gt;1,"Duplicate?",IF(A295&gt;TODAY(),"Future date","OK"))))))))</f>
        <v/>
      </c>
      <c r="L295">
        <f>IF(A295="","",TEXT(A295,"yyyy-mm-dd")&amp;"|"&amp;B295&amp;"|"&amp;C295)</f>
        <v/>
      </c>
    </row>
    <row r="296">
      <c r="A296" s="4" t="n"/>
      <c r="D296" s="5" t="n"/>
      <c r="E296" s="5" t="n"/>
      <c r="G296" s="6">
        <f>IF(OR(A296="",D296="",E296=""),"",ROUND(MOD(E296-D296,1)*24-N(F296)/60,2))</f>
        <v/>
      </c>
      <c r="H296" s="7">
        <f>IF(C296="","",IFERROR(INDEX(Sites!$B$2:$B$501,MATCH(C296,Sites!$A$2:$A$501,0)),"?"))</f>
        <v/>
      </c>
      <c r="I296" s="8">
        <f>IF(A296="","",A296-WEEKDAY(A296,3))</f>
        <v/>
      </c>
      <c r="K296" s="7">
        <f>IF(A296="","",IF(OR(B296="",C296="",D296="",E296=""),"Missing info",IF(ISNA(MATCH(B296,Staff!$A$2:$A$101,0)),"Unknown employee",IF(H296="?","Unknown site",IF(G296&lt;=0,"Check times",IF(G296&gt;12,"Over 12h",IF(COUNTIFS($L$2:$L$2001,L296)&gt;1,"Duplicate?",IF(A296&gt;TODAY(),"Future date","OK"))))))))</f>
        <v/>
      </c>
      <c r="L296">
        <f>IF(A296="","",TEXT(A296,"yyyy-mm-dd")&amp;"|"&amp;B296&amp;"|"&amp;C296)</f>
        <v/>
      </c>
    </row>
    <row r="297">
      <c r="A297" s="4" t="n"/>
      <c r="D297" s="5" t="n"/>
      <c r="E297" s="5" t="n"/>
      <c r="G297" s="6">
        <f>IF(OR(A297="",D297="",E297=""),"",ROUND(MOD(E297-D297,1)*24-N(F297)/60,2))</f>
        <v/>
      </c>
      <c r="H297" s="7">
        <f>IF(C297="","",IFERROR(INDEX(Sites!$B$2:$B$501,MATCH(C297,Sites!$A$2:$A$501,0)),"?"))</f>
        <v/>
      </c>
      <c r="I297" s="8">
        <f>IF(A297="","",A297-WEEKDAY(A297,3))</f>
        <v/>
      </c>
      <c r="K297" s="7">
        <f>IF(A297="","",IF(OR(B297="",C297="",D297="",E297=""),"Missing info",IF(ISNA(MATCH(B297,Staff!$A$2:$A$101,0)),"Unknown employee",IF(H297="?","Unknown site",IF(G297&lt;=0,"Check times",IF(G297&gt;12,"Over 12h",IF(COUNTIFS($L$2:$L$2001,L297)&gt;1,"Duplicate?",IF(A297&gt;TODAY(),"Future date","OK"))))))))</f>
        <v/>
      </c>
      <c r="L297">
        <f>IF(A297="","",TEXT(A297,"yyyy-mm-dd")&amp;"|"&amp;B297&amp;"|"&amp;C297)</f>
        <v/>
      </c>
    </row>
    <row r="298">
      <c r="A298" s="4" t="n"/>
      <c r="D298" s="5" t="n"/>
      <c r="E298" s="5" t="n"/>
      <c r="G298" s="6">
        <f>IF(OR(A298="",D298="",E298=""),"",ROUND(MOD(E298-D298,1)*24-N(F298)/60,2))</f>
        <v/>
      </c>
      <c r="H298" s="7">
        <f>IF(C298="","",IFERROR(INDEX(Sites!$B$2:$B$501,MATCH(C298,Sites!$A$2:$A$501,0)),"?"))</f>
        <v/>
      </c>
      <c r="I298" s="8">
        <f>IF(A298="","",A298-WEEKDAY(A298,3))</f>
        <v/>
      </c>
      <c r="K298" s="7">
        <f>IF(A298="","",IF(OR(B298="",C298="",D298="",E298=""),"Missing info",IF(ISNA(MATCH(B298,Staff!$A$2:$A$101,0)),"Unknown employee",IF(H298="?","Unknown site",IF(G298&lt;=0,"Check times",IF(G298&gt;12,"Over 12h",IF(COUNTIFS($L$2:$L$2001,L298)&gt;1,"Duplicate?",IF(A298&gt;TODAY(),"Future date","OK"))))))))</f>
        <v/>
      </c>
      <c r="L298">
        <f>IF(A298="","",TEXT(A298,"yyyy-mm-dd")&amp;"|"&amp;B298&amp;"|"&amp;C298)</f>
        <v/>
      </c>
    </row>
    <row r="299">
      <c r="A299" s="4" t="n"/>
      <c r="D299" s="5" t="n"/>
      <c r="E299" s="5" t="n"/>
      <c r="G299" s="6">
        <f>IF(OR(A299="",D299="",E299=""),"",ROUND(MOD(E299-D299,1)*24-N(F299)/60,2))</f>
        <v/>
      </c>
      <c r="H299" s="7">
        <f>IF(C299="","",IFERROR(INDEX(Sites!$B$2:$B$501,MATCH(C299,Sites!$A$2:$A$501,0)),"?"))</f>
        <v/>
      </c>
      <c r="I299" s="8">
        <f>IF(A299="","",A299-WEEKDAY(A299,3))</f>
        <v/>
      </c>
      <c r="K299" s="7">
        <f>IF(A299="","",IF(OR(B299="",C299="",D299="",E299=""),"Missing info",IF(ISNA(MATCH(B299,Staff!$A$2:$A$101,0)),"Unknown employee",IF(H299="?","Unknown site",IF(G299&lt;=0,"Check times",IF(G299&gt;12,"Over 12h",IF(COUNTIFS($L$2:$L$2001,L299)&gt;1,"Duplicate?",IF(A299&gt;TODAY(),"Future date","OK"))))))))</f>
        <v/>
      </c>
      <c r="L299">
        <f>IF(A299="","",TEXT(A299,"yyyy-mm-dd")&amp;"|"&amp;B299&amp;"|"&amp;C299)</f>
        <v/>
      </c>
    </row>
    <row r="300">
      <c r="A300" s="4" t="n"/>
      <c r="D300" s="5" t="n"/>
      <c r="E300" s="5" t="n"/>
      <c r="G300" s="6">
        <f>IF(OR(A300="",D300="",E300=""),"",ROUND(MOD(E300-D300,1)*24-N(F300)/60,2))</f>
        <v/>
      </c>
      <c r="H300" s="7">
        <f>IF(C300="","",IFERROR(INDEX(Sites!$B$2:$B$501,MATCH(C300,Sites!$A$2:$A$501,0)),"?"))</f>
        <v/>
      </c>
      <c r="I300" s="8">
        <f>IF(A300="","",A300-WEEKDAY(A300,3))</f>
        <v/>
      </c>
      <c r="K300" s="7">
        <f>IF(A300="","",IF(OR(B300="",C300="",D300="",E300=""),"Missing info",IF(ISNA(MATCH(B300,Staff!$A$2:$A$101,0)),"Unknown employee",IF(H300="?","Unknown site",IF(G300&lt;=0,"Check times",IF(G300&gt;12,"Over 12h",IF(COUNTIFS($L$2:$L$2001,L300)&gt;1,"Duplicate?",IF(A300&gt;TODAY(),"Future date","OK"))))))))</f>
        <v/>
      </c>
      <c r="L300">
        <f>IF(A300="","",TEXT(A300,"yyyy-mm-dd")&amp;"|"&amp;B300&amp;"|"&amp;C300)</f>
        <v/>
      </c>
    </row>
    <row r="301">
      <c r="A301" s="4" t="n"/>
      <c r="D301" s="5" t="n"/>
      <c r="E301" s="5" t="n"/>
      <c r="G301" s="6">
        <f>IF(OR(A301="",D301="",E301=""),"",ROUND(MOD(E301-D301,1)*24-N(F301)/60,2))</f>
        <v/>
      </c>
      <c r="H301" s="7">
        <f>IF(C301="","",IFERROR(INDEX(Sites!$B$2:$B$501,MATCH(C301,Sites!$A$2:$A$501,0)),"?"))</f>
        <v/>
      </c>
      <c r="I301" s="8">
        <f>IF(A301="","",A301-WEEKDAY(A301,3))</f>
        <v/>
      </c>
      <c r="K301" s="7">
        <f>IF(A301="","",IF(OR(B301="",C301="",D301="",E301=""),"Missing info",IF(ISNA(MATCH(B301,Staff!$A$2:$A$101,0)),"Unknown employee",IF(H301="?","Unknown site",IF(G301&lt;=0,"Check times",IF(G301&gt;12,"Over 12h",IF(COUNTIFS($L$2:$L$2001,L301)&gt;1,"Duplicate?",IF(A301&gt;TODAY(),"Future date","OK"))))))))</f>
        <v/>
      </c>
      <c r="L301">
        <f>IF(A301="","",TEXT(A301,"yyyy-mm-dd")&amp;"|"&amp;B301&amp;"|"&amp;C301)</f>
        <v/>
      </c>
    </row>
    <row r="302">
      <c r="A302" s="4" t="n"/>
      <c r="D302" s="5" t="n"/>
      <c r="E302" s="5" t="n"/>
      <c r="G302" s="6">
        <f>IF(OR(A302="",D302="",E302=""),"",ROUND(MOD(E302-D302,1)*24-N(F302)/60,2))</f>
        <v/>
      </c>
      <c r="H302" s="7">
        <f>IF(C302="","",IFERROR(INDEX(Sites!$B$2:$B$501,MATCH(C302,Sites!$A$2:$A$501,0)),"?"))</f>
        <v/>
      </c>
      <c r="I302" s="8">
        <f>IF(A302="","",A302-WEEKDAY(A302,3))</f>
        <v/>
      </c>
      <c r="K302" s="7">
        <f>IF(A302="","",IF(OR(B302="",C302="",D302="",E302=""),"Missing info",IF(ISNA(MATCH(B302,Staff!$A$2:$A$101,0)),"Unknown employee",IF(H302="?","Unknown site",IF(G302&lt;=0,"Check times",IF(G302&gt;12,"Over 12h",IF(COUNTIFS($L$2:$L$2001,L302)&gt;1,"Duplicate?",IF(A302&gt;TODAY(),"Future date","OK"))))))))</f>
        <v/>
      </c>
      <c r="L302">
        <f>IF(A302="","",TEXT(A302,"yyyy-mm-dd")&amp;"|"&amp;B302&amp;"|"&amp;C302)</f>
        <v/>
      </c>
    </row>
    <row r="303">
      <c r="A303" s="4" t="n"/>
      <c r="D303" s="5" t="n"/>
      <c r="E303" s="5" t="n"/>
      <c r="G303" s="6">
        <f>IF(OR(A303="",D303="",E303=""),"",ROUND(MOD(E303-D303,1)*24-N(F303)/60,2))</f>
        <v/>
      </c>
      <c r="H303" s="7">
        <f>IF(C303="","",IFERROR(INDEX(Sites!$B$2:$B$501,MATCH(C303,Sites!$A$2:$A$501,0)),"?"))</f>
        <v/>
      </c>
      <c r="I303" s="8">
        <f>IF(A303="","",A303-WEEKDAY(A303,3))</f>
        <v/>
      </c>
      <c r="K303" s="7">
        <f>IF(A303="","",IF(OR(B303="",C303="",D303="",E303=""),"Missing info",IF(ISNA(MATCH(B303,Staff!$A$2:$A$101,0)),"Unknown employee",IF(H303="?","Unknown site",IF(G303&lt;=0,"Check times",IF(G303&gt;12,"Over 12h",IF(COUNTIFS($L$2:$L$2001,L303)&gt;1,"Duplicate?",IF(A303&gt;TODAY(),"Future date","OK"))))))))</f>
        <v/>
      </c>
      <c r="L303">
        <f>IF(A303="","",TEXT(A303,"yyyy-mm-dd")&amp;"|"&amp;B303&amp;"|"&amp;C303)</f>
        <v/>
      </c>
    </row>
    <row r="304">
      <c r="A304" s="4" t="n"/>
      <c r="D304" s="5" t="n"/>
      <c r="E304" s="5" t="n"/>
      <c r="G304" s="6">
        <f>IF(OR(A304="",D304="",E304=""),"",ROUND(MOD(E304-D304,1)*24-N(F304)/60,2))</f>
        <v/>
      </c>
      <c r="H304" s="7">
        <f>IF(C304="","",IFERROR(INDEX(Sites!$B$2:$B$501,MATCH(C304,Sites!$A$2:$A$501,0)),"?"))</f>
        <v/>
      </c>
      <c r="I304" s="8">
        <f>IF(A304="","",A304-WEEKDAY(A304,3))</f>
        <v/>
      </c>
      <c r="K304" s="7">
        <f>IF(A304="","",IF(OR(B304="",C304="",D304="",E304=""),"Missing info",IF(ISNA(MATCH(B304,Staff!$A$2:$A$101,0)),"Unknown employee",IF(H304="?","Unknown site",IF(G304&lt;=0,"Check times",IF(G304&gt;12,"Over 12h",IF(COUNTIFS($L$2:$L$2001,L304)&gt;1,"Duplicate?",IF(A304&gt;TODAY(),"Future date","OK"))))))))</f>
        <v/>
      </c>
      <c r="L304">
        <f>IF(A304="","",TEXT(A304,"yyyy-mm-dd")&amp;"|"&amp;B304&amp;"|"&amp;C304)</f>
        <v/>
      </c>
    </row>
    <row r="305">
      <c r="A305" s="4" t="n"/>
      <c r="D305" s="5" t="n"/>
      <c r="E305" s="5" t="n"/>
      <c r="G305" s="6">
        <f>IF(OR(A305="",D305="",E305=""),"",ROUND(MOD(E305-D305,1)*24-N(F305)/60,2))</f>
        <v/>
      </c>
      <c r="H305" s="7">
        <f>IF(C305="","",IFERROR(INDEX(Sites!$B$2:$B$501,MATCH(C305,Sites!$A$2:$A$501,0)),"?"))</f>
        <v/>
      </c>
      <c r="I305" s="8">
        <f>IF(A305="","",A305-WEEKDAY(A305,3))</f>
        <v/>
      </c>
      <c r="K305" s="7">
        <f>IF(A305="","",IF(OR(B305="",C305="",D305="",E305=""),"Missing info",IF(ISNA(MATCH(B305,Staff!$A$2:$A$101,0)),"Unknown employee",IF(H305="?","Unknown site",IF(G305&lt;=0,"Check times",IF(G305&gt;12,"Over 12h",IF(COUNTIFS($L$2:$L$2001,L305)&gt;1,"Duplicate?",IF(A305&gt;TODAY(),"Future date","OK"))))))))</f>
        <v/>
      </c>
      <c r="L305">
        <f>IF(A305="","",TEXT(A305,"yyyy-mm-dd")&amp;"|"&amp;B305&amp;"|"&amp;C305)</f>
        <v/>
      </c>
    </row>
    <row r="306">
      <c r="A306" s="4" t="n"/>
      <c r="D306" s="5" t="n"/>
      <c r="E306" s="5" t="n"/>
      <c r="G306" s="6">
        <f>IF(OR(A306="",D306="",E306=""),"",ROUND(MOD(E306-D306,1)*24-N(F306)/60,2))</f>
        <v/>
      </c>
      <c r="H306" s="7">
        <f>IF(C306="","",IFERROR(INDEX(Sites!$B$2:$B$501,MATCH(C306,Sites!$A$2:$A$501,0)),"?"))</f>
        <v/>
      </c>
      <c r="I306" s="8">
        <f>IF(A306="","",A306-WEEKDAY(A306,3))</f>
        <v/>
      </c>
      <c r="K306" s="7">
        <f>IF(A306="","",IF(OR(B306="",C306="",D306="",E306=""),"Missing info",IF(ISNA(MATCH(B306,Staff!$A$2:$A$101,0)),"Unknown employee",IF(H306="?","Unknown site",IF(G306&lt;=0,"Check times",IF(G306&gt;12,"Over 12h",IF(COUNTIFS($L$2:$L$2001,L306)&gt;1,"Duplicate?",IF(A306&gt;TODAY(),"Future date","OK"))))))))</f>
        <v/>
      </c>
      <c r="L306">
        <f>IF(A306="","",TEXT(A306,"yyyy-mm-dd")&amp;"|"&amp;B306&amp;"|"&amp;C306)</f>
        <v/>
      </c>
    </row>
    <row r="307">
      <c r="A307" s="4" t="n"/>
      <c r="D307" s="5" t="n"/>
      <c r="E307" s="5" t="n"/>
      <c r="G307" s="6">
        <f>IF(OR(A307="",D307="",E307=""),"",ROUND(MOD(E307-D307,1)*24-N(F307)/60,2))</f>
        <v/>
      </c>
      <c r="H307" s="7">
        <f>IF(C307="","",IFERROR(INDEX(Sites!$B$2:$B$501,MATCH(C307,Sites!$A$2:$A$501,0)),"?"))</f>
        <v/>
      </c>
      <c r="I307" s="8">
        <f>IF(A307="","",A307-WEEKDAY(A307,3))</f>
        <v/>
      </c>
      <c r="K307" s="7">
        <f>IF(A307="","",IF(OR(B307="",C307="",D307="",E307=""),"Missing info",IF(ISNA(MATCH(B307,Staff!$A$2:$A$101,0)),"Unknown employee",IF(H307="?","Unknown site",IF(G307&lt;=0,"Check times",IF(G307&gt;12,"Over 12h",IF(COUNTIFS($L$2:$L$2001,L307)&gt;1,"Duplicate?",IF(A307&gt;TODAY(),"Future date","OK"))))))))</f>
        <v/>
      </c>
      <c r="L307">
        <f>IF(A307="","",TEXT(A307,"yyyy-mm-dd")&amp;"|"&amp;B307&amp;"|"&amp;C307)</f>
        <v/>
      </c>
    </row>
    <row r="308">
      <c r="A308" s="4" t="n"/>
      <c r="D308" s="5" t="n"/>
      <c r="E308" s="5" t="n"/>
      <c r="G308" s="6">
        <f>IF(OR(A308="",D308="",E308=""),"",ROUND(MOD(E308-D308,1)*24-N(F308)/60,2))</f>
        <v/>
      </c>
      <c r="H308" s="7">
        <f>IF(C308="","",IFERROR(INDEX(Sites!$B$2:$B$501,MATCH(C308,Sites!$A$2:$A$501,0)),"?"))</f>
        <v/>
      </c>
      <c r="I308" s="8">
        <f>IF(A308="","",A308-WEEKDAY(A308,3))</f>
        <v/>
      </c>
      <c r="K308" s="7">
        <f>IF(A308="","",IF(OR(B308="",C308="",D308="",E308=""),"Missing info",IF(ISNA(MATCH(B308,Staff!$A$2:$A$101,0)),"Unknown employee",IF(H308="?","Unknown site",IF(G308&lt;=0,"Check times",IF(G308&gt;12,"Over 12h",IF(COUNTIFS($L$2:$L$2001,L308)&gt;1,"Duplicate?",IF(A308&gt;TODAY(),"Future date","OK"))))))))</f>
        <v/>
      </c>
      <c r="L308">
        <f>IF(A308="","",TEXT(A308,"yyyy-mm-dd")&amp;"|"&amp;B308&amp;"|"&amp;C308)</f>
        <v/>
      </c>
    </row>
    <row r="309">
      <c r="A309" s="4" t="n"/>
      <c r="D309" s="5" t="n"/>
      <c r="E309" s="5" t="n"/>
      <c r="G309" s="6">
        <f>IF(OR(A309="",D309="",E309=""),"",ROUND(MOD(E309-D309,1)*24-N(F309)/60,2))</f>
        <v/>
      </c>
      <c r="H309" s="7">
        <f>IF(C309="","",IFERROR(INDEX(Sites!$B$2:$B$501,MATCH(C309,Sites!$A$2:$A$501,0)),"?"))</f>
        <v/>
      </c>
      <c r="I309" s="8">
        <f>IF(A309="","",A309-WEEKDAY(A309,3))</f>
        <v/>
      </c>
      <c r="K309" s="7">
        <f>IF(A309="","",IF(OR(B309="",C309="",D309="",E309=""),"Missing info",IF(ISNA(MATCH(B309,Staff!$A$2:$A$101,0)),"Unknown employee",IF(H309="?","Unknown site",IF(G309&lt;=0,"Check times",IF(G309&gt;12,"Over 12h",IF(COUNTIFS($L$2:$L$2001,L309)&gt;1,"Duplicate?",IF(A309&gt;TODAY(),"Future date","OK"))))))))</f>
        <v/>
      </c>
      <c r="L309">
        <f>IF(A309="","",TEXT(A309,"yyyy-mm-dd")&amp;"|"&amp;B309&amp;"|"&amp;C309)</f>
        <v/>
      </c>
    </row>
    <row r="310">
      <c r="A310" s="4" t="n"/>
      <c r="D310" s="5" t="n"/>
      <c r="E310" s="5" t="n"/>
      <c r="G310" s="6">
        <f>IF(OR(A310="",D310="",E310=""),"",ROUND(MOD(E310-D310,1)*24-N(F310)/60,2))</f>
        <v/>
      </c>
      <c r="H310" s="7">
        <f>IF(C310="","",IFERROR(INDEX(Sites!$B$2:$B$501,MATCH(C310,Sites!$A$2:$A$501,0)),"?"))</f>
        <v/>
      </c>
      <c r="I310" s="8">
        <f>IF(A310="","",A310-WEEKDAY(A310,3))</f>
        <v/>
      </c>
      <c r="K310" s="7">
        <f>IF(A310="","",IF(OR(B310="",C310="",D310="",E310=""),"Missing info",IF(ISNA(MATCH(B310,Staff!$A$2:$A$101,0)),"Unknown employee",IF(H310="?","Unknown site",IF(G310&lt;=0,"Check times",IF(G310&gt;12,"Over 12h",IF(COUNTIFS($L$2:$L$2001,L310)&gt;1,"Duplicate?",IF(A310&gt;TODAY(),"Future date","OK"))))))))</f>
        <v/>
      </c>
      <c r="L310">
        <f>IF(A310="","",TEXT(A310,"yyyy-mm-dd")&amp;"|"&amp;B310&amp;"|"&amp;C310)</f>
        <v/>
      </c>
    </row>
    <row r="311">
      <c r="A311" s="4" t="n"/>
      <c r="D311" s="5" t="n"/>
      <c r="E311" s="5" t="n"/>
      <c r="G311" s="6">
        <f>IF(OR(A311="",D311="",E311=""),"",ROUND(MOD(E311-D311,1)*24-N(F311)/60,2))</f>
        <v/>
      </c>
      <c r="H311" s="7">
        <f>IF(C311="","",IFERROR(INDEX(Sites!$B$2:$B$501,MATCH(C311,Sites!$A$2:$A$501,0)),"?"))</f>
        <v/>
      </c>
      <c r="I311" s="8">
        <f>IF(A311="","",A311-WEEKDAY(A311,3))</f>
        <v/>
      </c>
      <c r="K311" s="7">
        <f>IF(A311="","",IF(OR(B311="",C311="",D311="",E311=""),"Missing info",IF(ISNA(MATCH(B311,Staff!$A$2:$A$101,0)),"Unknown employee",IF(H311="?","Unknown site",IF(G311&lt;=0,"Check times",IF(G311&gt;12,"Over 12h",IF(COUNTIFS($L$2:$L$2001,L311)&gt;1,"Duplicate?",IF(A311&gt;TODAY(),"Future date","OK"))))))))</f>
        <v/>
      </c>
      <c r="L311">
        <f>IF(A311="","",TEXT(A311,"yyyy-mm-dd")&amp;"|"&amp;B311&amp;"|"&amp;C311)</f>
        <v/>
      </c>
    </row>
    <row r="312">
      <c r="A312" s="4" t="n"/>
      <c r="D312" s="5" t="n"/>
      <c r="E312" s="5" t="n"/>
      <c r="G312" s="6">
        <f>IF(OR(A312="",D312="",E312=""),"",ROUND(MOD(E312-D312,1)*24-N(F312)/60,2))</f>
        <v/>
      </c>
      <c r="H312" s="7">
        <f>IF(C312="","",IFERROR(INDEX(Sites!$B$2:$B$501,MATCH(C312,Sites!$A$2:$A$501,0)),"?"))</f>
        <v/>
      </c>
      <c r="I312" s="8">
        <f>IF(A312="","",A312-WEEKDAY(A312,3))</f>
        <v/>
      </c>
      <c r="K312" s="7">
        <f>IF(A312="","",IF(OR(B312="",C312="",D312="",E312=""),"Missing info",IF(ISNA(MATCH(B312,Staff!$A$2:$A$101,0)),"Unknown employee",IF(H312="?","Unknown site",IF(G312&lt;=0,"Check times",IF(G312&gt;12,"Over 12h",IF(COUNTIFS($L$2:$L$2001,L312)&gt;1,"Duplicate?",IF(A312&gt;TODAY(),"Future date","OK"))))))))</f>
        <v/>
      </c>
      <c r="L312">
        <f>IF(A312="","",TEXT(A312,"yyyy-mm-dd")&amp;"|"&amp;B312&amp;"|"&amp;C312)</f>
        <v/>
      </c>
    </row>
    <row r="313">
      <c r="A313" s="4" t="n"/>
      <c r="D313" s="5" t="n"/>
      <c r="E313" s="5" t="n"/>
      <c r="G313" s="6">
        <f>IF(OR(A313="",D313="",E313=""),"",ROUND(MOD(E313-D313,1)*24-N(F313)/60,2))</f>
        <v/>
      </c>
      <c r="H313" s="7">
        <f>IF(C313="","",IFERROR(INDEX(Sites!$B$2:$B$501,MATCH(C313,Sites!$A$2:$A$501,0)),"?"))</f>
        <v/>
      </c>
      <c r="I313" s="8">
        <f>IF(A313="","",A313-WEEKDAY(A313,3))</f>
        <v/>
      </c>
      <c r="K313" s="7">
        <f>IF(A313="","",IF(OR(B313="",C313="",D313="",E313=""),"Missing info",IF(ISNA(MATCH(B313,Staff!$A$2:$A$101,0)),"Unknown employee",IF(H313="?","Unknown site",IF(G313&lt;=0,"Check times",IF(G313&gt;12,"Over 12h",IF(COUNTIFS($L$2:$L$2001,L313)&gt;1,"Duplicate?",IF(A313&gt;TODAY(),"Future date","OK"))))))))</f>
        <v/>
      </c>
      <c r="L313">
        <f>IF(A313="","",TEXT(A313,"yyyy-mm-dd")&amp;"|"&amp;B313&amp;"|"&amp;C313)</f>
        <v/>
      </c>
    </row>
    <row r="314">
      <c r="A314" s="4" t="n"/>
      <c r="D314" s="5" t="n"/>
      <c r="E314" s="5" t="n"/>
      <c r="G314" s="6">
        <f>IF(OR(A314="",D314="",E314=""),"",ROUND(MOD(E314-D314,1)*24-N(F314)/60,2))</f>
        <v/>
      </c>
      <c r="H314" s="7">
        <f>IF(C314="","",IFERROR(INDEX(Sites!$B$2:$B$501,MATCH(C314,Sites!$A$2:$A$501,0)),"?"))</f>
        <v/>
      </c>
      <c r="I314" s="8">
        <f>IF(A314="","",A314-WEEKDAY(A314,3))</f>
        <v/>
      </c>
      <c r="K314" s="7">
        <f>IF(A314="","",IF(OR(B314="",C314="",D314="",E314=""),"Missing info",IF(ISNA(MATCH(B314,Staff!$A$2:$A$101,0)),"Unknown employee",IF(H314="?","Unknown site",IF(G314&lt;=0,"Check times",IF(G314&gt;12,"Over 12h",IF(COUNTIFS($L$2:$L$2001,L314)&gt;1,"Duplicate?",IF(A314&gt;TODAY(),"Future date","OK"))))))))</f>
        <v/>
      </c>
      <c r="L314">
        <f>IF(A314="","",TEXT(A314,"yyyy-mm-dd")&amp;"|"&amp;B314&amp;"|"&amp;C314)</f>
        <v/>
      </c>
    </row>
    <row r="315">
      <c r="A315" s="4" t="n"/>
      <c r="D315" s="5" t="n"/>
      <c r="E315" s="5" t="n"/>
      <c r="G315" s="6">
        <f>IF(OR(A315="",D315="",E315=""),"",ROUND(MOD(E315-D315,1)*24-N(F315)/60,2))</f>
        <v/>
      </c>
      <c r="H315" s="7">
        <f>IF(C315="","",IFERROR(INDEX(Sites!$B$2:$B$501,MATCH(C315,Sites!$A$2:$A$501,0)),"?"))</f>
        <v/>
      </c>
      <c r="I315" s="8">
        <f>IF(A315="","",A315-WEEKDAY(A315,3))</f>
        <v/>
      </c>
      <c r="K315" s="7">
        <f>IF(A315="","",IF(OR(B315="",C315="",D315="",E315=""),"Missing info",IF(ISNA(MATCH(B315,Staff!$A$2:$A$101,0)),"Unknown employee",IF(H315="?","Unknown site",IF(G315&lt;=0,"Check times",IF(G315&gt;12,"Over 12h",IF(COUNTIFS($L$2:$L$2001,L315)&gt;1,"Duplicate?",IF(A315&gt;TODAY(),"Future date","OK"))))))))</f>
        <v/>
      </c>
      <c r="L315">
        <f>IF(A315="","",TEXT(A315,"yyyy-mm-dd")&amp;"|"&amp;B315&amp;"|"&amp;C315)</f>
        <v/>
      </c>
    </row>
    <row r="316">
      <c r="A316" s="4" t="n"/>
      <c r="D316" s="5" t="n"/>
      <c r="E316" s="5" t="n"/>
      <c r="G316" s="6">
        <f>IF(OR(A316="",D316="",E316=""),"",ROUND(MOD(E316-D316,1)*24-N(F316)/60,2))</f>
        <v/>
      </c>
      <c r="H316" s="7">
        <f>IF(C316="","",IFERROR(INDEX(Sites!$B$2:$B$501,MATCH(C316,Sites!$A$2:$A$501,0)),"?"))</f>
        <v/>
      </c>
      <c r="I316" s="8">
        <f>IF(A316="","",A316-WEEKDAY(A316,3))</f>
        <v/>
      </c>
      <c r="K316" s="7">
        <f>IF(A316="","",IF(OR(B316="",C316="",D316="",E316=""),"Missing info",IF(ISNA(MATCH(B316,Staff!$A$2:$A$101,0)),"Unknown employee",IF(H316="?","Unknown site",IF(G316&lt;=0,"Check times",IF(G316&gt;12,"Over 12h",IF(COUNTIFS($L$2:$L$2001,L316)&gt;1,"Duplicate?",IF(A316&gt;TODAY(),"Future date","OK"))))))))</f>
        <v/>
      </c>
      <c r="L316">
        <f>IF(A316="","",TEXT(A316,"yyyy-mm-dd")&amp;"|"&amp;B316&amp;"|"&amp;C316)</f>
        <v/>
      </c>
    </row>
    <row r="317">
      <c r="A317" s="4" t="n"/>
      <c r="D317" s="5" t="n"/>
      <c r="E317" s="5" t="n"/>
      <c r="G317" s="6">
        <f>IF(OR(A317="",D317="",E317=""),"",ROUND(MOD(E317-D317,1)*24-N(F317)/60,2))</f>
        <v/>
      </c>
      <c r="H317" s="7">
        <f>IF(C317="","",IFERROR(INDEX(Sites!$B$2:$B$501,MATCH(C317,Sites!$A$2:$A$501,0)),"?"))</f>
        <v/>
      </c>
      <c r="I317" s="8">
        <f>IF(A317="","",A317-WEEKDAY(A317,3))</f>
        <v/>
      </c>
      <c r="K317" s="7">
        <f>IF(A317="","",IF(OR(B317="",C317="",D317="",E317=""),"Missing info",IF(ISNA(MATCH(B317,Staff!$A$2:$A$101,0)),"Unknown employee",IF(H317="?","Unknown site",IF(G317&lt;=0,"Check times",IF(G317&gt;12,"Over 12h",IF(COUNTIFS($L$2:$L$2001,L317)&gt;1,"Duplicate?",IF(A317&gt;TODAY(),"Future date","OK"))))))))</f>
        <v/>
      </c>
      <c r="L317">
        <f>IF(A317="","",TEXT(A317,"yyyy-mm-dd")&amp;"|"&amp;B317&amp;"|"&amp;C317)</f>
        <v/>
      </c>
    </row>
    <row r="318">
      <c r="A318" s="4" t="n"/>
      <c r="D318" s="5" t="n"/>
      <c r="E318" s="5" t="n"/>
      <c r="G318" s="6">
        <f>IF(OR(A318="",D318="",E318=""),"",ROUND(MOD(E318-D318,1)*24-N(F318)/60,2))</f>
        <v/>
      </c>
      <c r="H318" s="7">
        <f>IF(C318="","",IFERROR(INDEX(Sites!$B$2:$B$501,MATCH(C318,Sites!$A$2:$A$501,0)),"?"))</f>
        <v/>
      </c>
      <c r="I318" s="8">
        <f>IF(A318="","",A318-WEEKDAY(A318,3))</f>
        <v/>
      </c>
      <c r="K318" s="7">
        <f>IF(A318="","",IF(OR(B318="",C318="",D318="",E318=""),"Missing info",IF(ISNA(MATCH(B318,Staff!$A$2:$A$101,0)),"Unknown employee",IF(H318="?","Unknown site",IF(G318&lt;=0,"Check times",IF(G318&gt;12,"Over 12h",IF(COUNTIFS($L$2:$L$2001,L318)&gt;1,"Duplicate?",IF(A318&gt;TODAY(),"Future date","OK"))))))))</f>
        <v/>
      </c>
      <c r="L318">
        <f>IF(A318="","",TEXT(A318,"yyyy-mm-dd")&amp;"|"&amp;B318&amp;"|"&amp;C318)</f>
        <v/>
      </c>
    </row>
    <row r="319">
      <c r="A319" s="4" t="n"/>
      <c r="D319" s="5" t="n"/>
      <c r="E319" s="5" t="n"/>
      <c r="G319" s="6">
        <f>IF(OR(A319="",D319="",E319=""),"",ROUND(MOD(E319-D319,1)*24-N(F319)/60,2))</f>
        <v/>
      </c>
      <c r="H319" s="7">
        <f>IF(C319="","",IFERROR(INDEX(Sites!$B$2:$B$501,MATCH(C319,Sites!$A$2:$A$501,0)),"?"))</f>
        <v/>
      </c>
      <c r="I319" s="8">
        <f>IF(A319="","",A319-WEEKDAY(A319,3))</f>
        <v/>
      </c>
      <c r="K319" s="7">
        <f>IF(A319="","",IF(OR(B319="",C319="",D319="",E319=""),"Missing info",IF(ISNA(MATCH(B319,Staff!$A$2:$A$101,0)),"Unknown employee",IF(H319="?","Unknown site",IF(G319&lt;=0,"Check times",IF(G319&gt;12,"Over 12h",IF(COUNTIFS($L$2:$L$2001,L319)&gt;1,"Duplicate?",IF(A319&gt;TODAY(),"Future date","OK"))))))))</f>
        <v/>
      </c>
      <c r="L319">
        <f>IF(A319="","",TEXT(A319,"yyyy-mm-dd")&amp;"|"&amp;B319&amp;"|"&amp;C319)</f>
        <v/>
      </c>
    </row>
    <row r="320">
      <c r="A320" s="4" t="n"/>
      <c r="D320" s="5" t="n"/>
      <c r="E320" s="5" t="n"/>
      <c r="G320" s="6">
        <f>IF(OR(A320="",D320="",E320=""),"",ROUND(MOD(E320-D320,1)*24-N(F320)/60,2))</f>
        <v/>
      </c>
      <c r="H320" s="7">
        <f>IF(C320="","",IFERROR(INDEX(Sites!$B$2:$B$501,MATCH(C320,Sites!$A$2:$A$501,0)),"?"))</f>
        <v/>
      </c>
      <c r="I320" s="8">
        <f>IF(A320="","",A320-WEEKDAY(A320,3))</f>
        <v/>
      </c>
      <c r="K320" s="7">
        <f>IF(A320="","",IF(OR(B320="",C320="",D320="",E320=""),"Missing info",IF(ISNA(MATCH(B320,Staff!$A$2:$A$101,0)),"Unknown employee",IF(H320="?","Unknown site",IF(G320&lt;=0,"Check times",IF(G320&gt;12,"Over 12h",IF(COUNTIFS($L$2:$L$2001,L320)&gt;1,"Duplicate?",IF(A320&gt;TODAY(),"Future date","OK"))))))))</f>
        <v/>
      </c>
      <c r="L320">
        <f>IF(A320="","",TEXT(A320,"yyyy-mm-dd")&amp;"|"&amp;B320&amp;"|"&amp;C320)</f>
        <v/>
      </c>
    </row>
    <row r="321">
      <c r="A321" s="4" t="n"/>
      <c r="D321" s="5" t="n"/>
      <c r="E321" s="5" t="n"/>
      <c r="G321" s="6">
        <f>IF(OR(A321="",D321="",E321=""),"",ROUND(MOD(E321-D321,1)*24-N(F321)/60,2))</f>
        <v/>
      </c>
      <c r="H321" s="7">
        <f>IF(C321="","",IFERROR(INDEX(Sites!$B$2:$B$501,MATCH(C321,Sites!$A$2:$A$501,0)),"?"))</f>
        <v/>
      </c>
      <c r="I321" s="8">
        <f>IF(A321="","",A321-WEEKDAY(A321,3))</f>
        <v/>
      </c>
      <c r="K321" s="7">
        <f>IF(A321="","",IF(OR(B321="",C321="",D321="",E321=""),"Missing info",IF(ISNA(MATCH(B321,Staff!$A$2:$A$101,0)),"Unknown employee",IF(H321="?","Unknown site",IF(G321&lt;=0,"Check times",IF(G321&gt;12,"Over 12h",IF(COUNTIFS($L$2:$L$2001,L321)&gt;1,"Duplicate?",IF(A321&gt;TODAY(),"Future date","OK"))))))))</f>
        <v/>
      </c>
      <c r="L321">
        <f>IF(A321="","",TEXT(A321,"yyyy-mm-dd")&amp;"|"&amp;B321&amp;"|"&amp;C321)</f>
        <v/>
      </c>
    </row>
    <row r="322">
      <c r="A322" s="4" t="n"/>
      <c r="D322" s="5" t="n"/>
      <c r="E322" s="5" t="n"/>
      <c r="G322" s="6">
        <f>IF(OR(A322="",D322="",E322=""),"",ROUND(MOD(E322-D322,1)*24-N(F322)/60,2))</f>
        <v/>
      </c>
      <c r="H322" s="7">
        <f>IF(C322="","",IFERROR(INDEX(Sites!$B$2:$B$501,MATCH(C322,Sites!$A$2:$A$501,0)),"?"))</f>
        <v/>
      </c>
      <c r="I322" s="8">
        <f>IF(A322="","",A322-WEEKDAY(A322,3))</f>
        <v/>
      </c>
      <c r="K322" s="7">
        <f>IF(A322="","",IF(OR(B322="",C322="",D322="",E322=""),"Missing info",IF(ISNA(MATCH(B322,Staff!$A$2:$A$101,0)),"Unknown employee",IF(H322="?","Unknown site",IF(G322&lt;=0,"Check times",IF(G322&gt;12,"Over 12h",IF(COUNTIFS($L$2:$L$2001,L322)&gt;1,"Duplicate?",IF(A322&gt;TODAY(),"Future date","OK"))))))))</f>
        <v/>
      </c>
      <c r="L322">
        <f>IF(A322="","",TEXT(A322,"yyyy-mm-dd")&amp;"|"&amp;B322&amp;"|"&amp;C322)</f>
        <v/>
      </c>
    </row>
    <row r="323">
      <c r="A323" s="4" t="n"/>
      <c r="D323" s="5" t="n"/>
      <c r="E323" s="5" t="n"/>
      <c r="G323" s="6">
        <f>IF(OR(A323="",D323="",E323=""),"",ROUND(MOD(E323-D323,1)*24-N(F323)/60,2))</f>
        <v/>
      </c>
      <c r="H323" s="7">
        <f>IF(C323="","",IFERROR(INDEX(Sites!$B$2:$B$501,MATCH(C323,Sites!$A$2:$A$501,0)),"?"))</f>
        <v/>
      </c>
      <c r="I323" s="8">
        <f>IF(A323="","",A323-WEEKDAY(A323,3))</f>
        <v/>
      </c>
      <c r="K323" s="7">
        <f>IF(A323="","",IF(OR(B323="",C323="",D323="",E323=""),"Missing info",IF(ISNA(MATCH(B323,Staff!$A$2:$A$101,0)),"Unknown employee",IF(H323="?","Unknown site",IF(G323&lt;=0,"Check times",IF(G323&gt;12,"Over 12h",IF(COUNTIFS($L$2:$L$2001,L323)&gt;1,"Duplicate?",IF(A323&gt;TODAY(),"Future date","OK"))))))))</f>
        <v/>
      </c>
      <c r="L323">
        <f>IF(A323="","",TEXT(A323,"yyyy-mm-dd")&amp;"|"&amp;B323&amp;"|"&amp;C323)</f>
        <v/>
      </c>
    </row>
    <row r="324">
      <c r="A324" s="4" t="n"/>
      <c r="D324" s="5" t="n"/>
      <c r="E324" s="5" t="n"/>
      <c r="G324" s="6">
        <f>IF(OR(A324="",D324="",E324=""),"",ROUND(MOD(E324-D324,1)*24-N(F324)/60,2))</f>
        <v/>
      </c>
      <c r="H324" s="7">
        <f>IF(C324="","",IFERROR(INDEX(Sites!$B$2:$B$501,MATCH(C324,Sites!$A$2:$A$501,0)),"?"))</f>
        <v/>
      </c>
      <c r="I324" s="8">
        <f>IF(A324="","",A324-WEEKDAY(A324,3))</f>
        <v/>
      </c>
      <c r="K324" s="7">
        <f>IF(A324="","",IF(OR(B324="",C324="",D324="",E324=""),"Missing info",IF(ISNA(MATCH(B324,Staff!$A$2:$A$101,0)),"Unknown employee",IF(H324="?","Unknown site",IF(G324&lt;=0,"Check times",IF(G324&gt;12,"Over 12h",IF(COUNTIFS($L$2:$L$2001,L324)&gt;1,"Duplicate?",IF(A324&gt;TODAY(),"Future date","OK"))))))))</f>
        <v/>
      </c>
      <c r="L324">
        <f>IF(A324="","",TEXT(A324,"yyyy-mm-dd")&amp;"|"&amp;B324&amp;"|"&amp;C324)</f>
        <v/>
      </c>
    </row>
    <row r="325">
      <c r="A325" s="4" t="n"/>
      <c r="D325" s="5" t="n"/>
      <c r="E325" s="5" t="n"/>
      <c r="G325" s="6">
        <f>IF(OR(A325="",D325="",E325=""),"",ROUND(MOD(E325-D325,1)*24-N(F325)/60,2))</f>
        <v/>
      </c>
      <c r="H325" s="7">
        <f>IF(C325="","",IFERROR(INDEX(Sites!$B$2:$B$501,MATCH(C325,Sites!$A$2:$A$501,0)),"?"))</f>
        <v/>
      </c>
      <c r="I325" s="8">
        <f>IF(A325="","",A325-WEEKDAY(A325,3))</f>
        <v/>
      </c>
      <c r="K325" s="7">
        <f>IF(A325="","",IF(OR(B325="",C325="",D325="",E325=""),"Missing info",IF(ISNA(MATCH(B325,Staff!$A$2:$A$101,0)),"Unknown employee",IF(H325="?","Unknown site",IF(G325&lt;=0,"Check times",IF(G325&gt;12,"Over 12h",IF(COUNTIFS($L$2:$L$2001,L325)&gt;1,"Duplicate?",IF(A325&gt;TODAY(),"Future date","OK"))))))))</f>
        <v/>
      </c>
      <c r="L325">
        <f>IF(A325="","",TEXT(A325,"yyyy-mm-dd")&amp;"|"&amp;B325&amp;"|"&amp;C325)</f>
        <v/>
      </c>
    </row>
    <row r="326">
      <c r="A326" s="4" t="n"/>
      <c r="D326" s="5" t="n"/>
      <c r="E326" s="5" t="n"/>
      <c r="G326" s="6">
        <f>IF(OR(A326="",D326="",E326=""),"",ROUND(MOD(E326-D326,1)*24-N(F326)/60,2))</f>
        <v/>
      </c>
      <c r="H326" s="7">
        <f>IF(C326="","",IFERROR(INDEX(Sites!$B$2:$B$501,MATCH(C326,Sites!$A$2:$A$501,0)),"?"))</f>
        <v/>
      </c>
      <c r="I326" s="8">
        <f>IF(A326="","",A326-WEEKDAY(A326,3))</f>
        <v/>
      </c>
      <c r="K326" s="7">
        <f>IF(A326="","",IF(OR(B326="",C326="",D326="",E326=""),"Missing info",IF(ISNA(MATCH(B326,Staff!$A$2:$A$101,0)),"Unknown employee",IF(H326="?","Unknown site",IF(G326&lt;=0,"Check times",IF(G326&gt;12,"Over 12h",IF(COUNTIFS($L$2:$L$2001,L326)&gt;1,"Duplicate?",IF(A326&gt;TODAY(),"Future date","OK"))))))))</f>
        <v/>
      </c>
      <c r="L326">
        <f>IF(A326="","",TEXT(A326,"yyyy-mm-dd")&amp;"|"&amp;B326&amp;"|"&amp;C326)</f>
        <v/>
      </c>
    </row>
    <row r="327">
      <c r="A327" s="4" t="n"/>
      <c r="D327" s="5" t="n"/>
      <c r="E327" s="5" t="n"/>
      <c r="G327" s="6">
        <f>IF(OR(A327="",D327="",E327=""),"",ROUND(MOD(E327-D327,1)*24-N(F327)/60,2))</f>
        <v/>
      </c>
      <c r="H327" s="7">
        <f>IF(C327="","",IFERROR(INDEX(Sites!$B$2:$B$501,MATCH(C327,Sites!$A$2:$A$501,0)),"?"))</f>
        <v/>
      </c>
      <c r="I327" s="8">
        <f>IF(A327="","",A327-WEEKDAY(A327,3))</f>
        <v/>
      </c>
      <c r="K327" s="7">
        <f>IF(A327="","",IF(OR(B327="",C327="",D327="",E327=""),"Missing info",IF(ISNA(MATCH(B327,Staff!$A$2:$A$101,0)),"Unknown employee",IF(H327="?","Unknown site",IF(G327&lt;=0,"Check times",IF(G327&gt;12,"Over 12h",IF(COUNTIFS($L$2:$L$2001,L327)&gt;1,"Duplicate?",IF(A327&gt;TODAY(),"Future date","OK"))))))))</f>
        <v/>
      </c>
      <c r="L327">
        <f>IF(A327="","",TEXT(A327,"yyyy-mm-dd")&amp;"|"&amp;B327&amp;"|"&amp;C327)</f>
        <v/>
      </c>
    </row>
    <row r="328">
      <c r="A328" s="4" t="n"/>
      <c r="D328" s="5" t="n"/>
      <c r="E328" s="5" t="n"/>
      <c r="G328" s="6">
        <f>IF(OR(A328="",D328="",E328=""),"",ROUND(MOD(E328-D328,1)*24-N(F328)/60,2))</f>
        <v/>
      </c>
      <c r="H328" s="7">
        <f>IF(C328="","",IFERROR(INDEX(Sites!$B$2:$B$501,MATCH(C328,Sites!$A$2:$A$501,0)),"?"))</f>
        <v/>
      </c>
      <c r="I328" s="8">
        <f>IF(A328="","",A328-WEEKDAY(A328,3))</f>
        <v/>
      </c>
      <c r="K328" s="7">
        <f>IF(A328="","",IF(OR(B328="",C328="",D328="",E328=""),"Missing info",IF(ISNA(MATCH(B328,Staff!$A$2:$A$101,0)),"Unknown employee",IF(H328="?","Unknown site",IF(G328&lt;=0,"Check times",IF(G328&gt;12,"Over 12h",IF(COUNTIFS($L$2:$L$2001,L328)&gt;1,"Duplicate?",IF(A328&gt;TODAY(),"Future date","OK"))))))))</f>
        <v/>
      </c>
      <c r="L328">
        <f>IF(A328="","",TEXT(A328,"yyyy-mm-dd")&amp;"|"&amp;B328&amp;"|"&amp;C328)</f>
        <v/>
      </c>
    </row>
    <row r="329">
      <c r="A329" s="4" t="n"/>
      <c r="D329" s="5" t="n"/>
      <c r="E329" s="5" t="n"/>
      <c r="G329" s="6">
        <f>IF(OR(A329="",D329="",E329=""),"",ROUND(MOD(E329-D329,1)*24-N(F329)/60,2))</f>
        <v/>
      </c>
      <c r="H329" s="7">
        <f>IF(C329="","",IFERROR(INDEX(Sites!$B$2:$B$501,MATCH(C329,Sites!$A$2:$A$501,0)),"?"))</f>
        <v/>
      </c>
      <c r="I329" s="8">
        <f>IF(A329="","",A329-WEEKDAY(A329,3))</f>
        <v/>
      </c>
      <c r="K329" s="7">
        <f>IF(A329="","",IF(OR(B329="",C329="",D329="",E329=""),"Missing info",IF(ISNA(MATCH(B329,Staff!$A$2:$A$101,0)),"Unknown employee",IF(H329="?","Unknown site",IF(G329&lt;=0,"Check times",IF(G329&gt;12,"Over 12h",IF(COUNTIFS($L$2:$L$2001,L329)&gt;1,"Duplicate?",IF(A329&gt;TODAY(),"Future date","OK"))))))))</f>
        <v/>
      </c>
      <c r="L329">
        <f>IF(A329="","",TEXT(A329,"yyyy-mm-dd")&amp;"|"&amp;B329&amp;"|"&amp;C329)</f>
        <v/>
      </c>
    </row>
    <row r="330">
      <c r="A330" s="4" t="n"/>
      <c r="D330" s="5" t="n"/>
      <c r="E330" s="5" t="n"/>
      <c r="G330" s="6">
        <f>IF(OR(A330="",D330="",E330=""),"",ROUND(MOD(E330-D330,1)*24-N(F330)/60,2))</f>
        <v/>
      </c>
      <c r="H330" s="7">
        <f>IF(C330="","",IFERROR(INDEX(Sites!$B$2:$B$501,MATCH(C330,Sites!$A$2:$A$501,0)),"?"))</f>
        <v/>
      </c>
      <c r="I330" s="8">
        <f>IF(A330="","",A330-WEEKDAY(A330,3))</f>
        <v/>
      </c>
      <c r="K330" s="7">
        <f>IF(A330="","",IF(OR(B330="",C330="",D330="",E330=""),"Missing info",IF(ISNA(MATCH(B330,Staff!$A$2:$A$101,0)),"Unknown employee",IF(H330="?","Unknown site",IF(G330&lt;=0,"Check times",IF(G330&gt;12,"Over 12h",IF(COUNTIFS($L$2:$L$2001,L330)&gt;1,"Duplicate?",IF(A330&gt;TODAY(),"Future date","OK"))))))))</f>
        <v/>
      </c>
      <c r="L330">
        <f>IF(A330="","",TEXT(A330,"yyyy-mm-dd")&amp;"|"&amp;B330&amp;"|"&amp;C330)</f>
        <v/>
      </c>
    </row>
    <row r="331">
      <c r="A331" s="4" t="n"/>
      <c r="D331" s="5" t="n"/>
      <c r="E331" s="5" t="n"/>
      <c r="G331" s="6">
        <f>IF(OR(A331="",D331="",E331=""),"",ROUND(MOD(E331-D331,1)*24-N(F331)/60,2))</f>
        <v/>
      </c>
      <c r="H331" s="7">
        <f>IF(C331="","",IFERROR(INDEX(Sites!$B$2:$B$501,MATCH(C331,Sites!$A$2:$A$501,0)),"?"))</f>
        <v/>
      </c>
      <c r="I331" s="8">
        <f>IF(A331="","",A331-WEEKDAY(A331,3))</f>
        <v/>
      </c>
      <c r="K331" s="7">
        <f>IF(A331="","",IF(OR(B331="",C331="",D331="",E331=""),"Missing info",IF(ISNA(MATCH(B331,Staff!$A$2:$A$101,0)),"Unknown employee",IF(H331="?","Unknown site",IF(G331&lt;=0,"Check times",IF(G331&gt;12,"Over 12h",IF(COUNTIFS($L$2:$L$2001,L331)&gt;1,"Duplicate?",IF(A331&gt;TODAY(),"Future date","OK"))))))))</f>
        <v/>
      </c>
      <c r="L331">
        <f>IF(A331="","",TEXT(A331,"yyyy-mm-dd")&amp;"|"&amp;B331&amp;"|"&amp;C331)</f>
        <v/>
      </c>
    </row>
    <row r="332">
      <c r="A332" s="4" t="n"/>
      <c r="D332" s="5" t="n"/>
      <c r="E332" s="5" t="n"/>
      <c r="G332" s="6">
        <f>IF(OR(A332="",D332="",E332=""),"",ROUND(MOD(E332-D332,1)*24-N(F332)/60,2))</f>
        <v/>
      </c>
      <c r="H332" s="7">
        <f>IF(C332="","",IFERROR(INDEX(Sites!$B$2:$B$501,MATCH(C332,Sites!$A$2:$A$501,0)),"?"))</f>
        <v/>
      </c>
      <c r="I332" s="8">
        <f>IF(A332="","",A332-WEEKDAY(A332,3))</f>
        <v/>
      </c>
      <c r="K332" s="7">
        <f>IF(A332="","",IF(OR(B332="",C332="",D332="",E332=""),"Missing info",IF(ISNA(MATCH(B332,Staff!$A$2:$A$101,0)),"Unknown employee",IF(H332="?","Unknown site",IF(G332&lt;=0,"Check times",IF(G332&gt;12,"Over 12h",IF(COUNTIFS($L$2:$L$2001,L332)&gt;1,"Duplicate?",IF(A332&gt;TODAY(),"Future date","OK"))))))))</f>
        <v/>
      </c>
      <c r="L332">
        <f>IF(A332="","",TEXT(A332,"yyyy-mm-dd")&amp;"|"&amp;B332&amp;"|"&amp;C332)</f>
        <v/>
      </c>
    </row>
    <row r="333">
      <c r="A333" s="4" t="n"/>
      <c r="D333" s="5" t="n"/>
      <c r="E333" s="5" t="n"/>
      <c r="G333" s="6">
        <f>IF(OR(A333="",D333="",E333=""),"",ROUND(MOD(E333-D333,1)*24-N(F333)/60,2))</f>
        <v/>
      </c>
      <c r="H333" s="7">
        <f>IF(C333="","",IFERROR(INDEX(Sites!$B$2:$B$501,MATCH(C333,Sites!$A$2:$A$501,0)),"?"))</f>
        <v/>
      </c>
      <c r="I333" s="8">
        <f>IF(A333="","",A333-WEEKDAY(A333,3))</f>
        <v/>
      </c>
      <c r="K333" s="7">
        <f>IF(A333="","",IF(OR(B333="",C333="",D333="",E333=""),"Missing info",IF(ISNA(MATCH(B333,Staff!$A$2:$A$101,0)),"Unknown employee",IF(H333="?","Unknown site",IF(G333&lt;=0,"Check times",IF(G333&gt;12,"Over 12h",IF(COUNTIFS($L$2:$L$2001,L333)&gt;1,"Duplicate?",IF(A333&gt;TODAY(),"Future date","OK"))))))))</f>
        <v/>
      </c>
      <c r="L333">
        <f>IF(A333="","",TEXT(A333,"yyyy-mm-dd")&amp;"|"&amp;B333&amp;"|"&amp;C333)</f>
        <v/>
      </c>
    </row>
    <row r="334">
      <c r="A334" s="4" t="n"/>
      <c r="D334" s="5" t="n"/>
      <c r="E334" s="5" t="n"/>
      <c r="G334" s="6">
        <f>IF(OR(A334="",D334="",E334=""),"",ROUND(MOD(E334-D334,1)*24-N(F334)/60,2))</f>
        <v/>
      </c>
      <c r="H334" s="7">
        <f>IF(C334="","",IFERROR(INDEX(Sites!$B$2:$B$501,MATCH(C334,Sites!$A$2:$A$501,0)),"?"))</f>
        <v/>
      </c>
      <c r="I334" s="8">
        <f>IF(A334="","",A334-WEEKDAY(A334,3))</f>
        <v/>
      </c>
      <c r="K334" s="7">
        <f>IF(A334="","",IF(OR(B334="",C334="",D334="",E334=""),"Missing info",IF(ISNA(MATCH(B334,Staff!$A$2:$A$101,0)),"Unknown employee",IF(H334="?","Unknown site",IF(G334&lt;=0,"Check times",IF(G334&gt;12,"Over 12h",IF(COUNTIFS($L$2:$L$2001,L334)&gt;1,"Duplicate?",IF(A334&gt;TODAY(),"Future date","OK"))))))))</f>
        <v/>
      </c>
      <c r="L334">
        <f>IF(A334="","",TEXT(A334,"yyyy-mm-dd")&amp;"|"&amp;B334&amp;"|"&amp;C334)</f>
        <v/>
      </c>
    </row>
    <row r="335">
      <c r="A335" s="4" t="n"/>
      <c r="D335" s="5" t="n"/>
      <c r="E335" s="5" t="n"/>
      <c r="G335" s="6">
        <f>IF(OR(A335="",D335="",E335=""),"",ROUND(MOD(E335-D335,1)*24-N(F335)/60,2))</f>
        <v/>
      </c>
      <c r="H335" s="7">
        <f>IF(C335="","",IFERROR(INDEX(Sites!$B$2:$B$501,MATCH(C335,Sites!$A$2:$A$501,0)),"?"))</f>
        <v/>
      </c>
      <c r="I335" s="8">
        <f>IF(A335="","",A335-WEEKDAY(A335,3))</f>
        <v/>
      </c>
      <c r="K335" s="7">
        <f>IF(A335="","",IF(OR(B335="",C335="",D335="",E335=""),"Missing info",IF(ISNA(MATCH(B335,Staff!$A$2:$A$101,0)),"Unknown employee",IF(H335="?","Unknown site",IF(G335&lt;=0,"Check times",IF(G335&gt;12,"Over 12h",IF(COUNTIFS($L$2:$L$2001,L335)&gt;1,"Duplicate?",IF(A335&gt;TODAY(),"Future date","OK"))))))))</f>
        <v/>
      </c>
      <c r="L335">
        <f>IF(A335="","",TEXT(A335,"yyyy-mm-dd")&amp;"|"&amp;B335&amp;"|"&amp;C335)</f>
        <v/>
      </c>
    </row>
    <row r="336">
      <c r="A336" s="4" t="n"/>
      <c r="D336" s="5" t="n"/>
      <c r="E336" s="5" t="n"/>
      <c r="G336" s="6">
        <f>IF(OR(A336="",D336="",E336=""),"",ROUND(MOD(E336-D336,1)*24-N(F336)/60,2))</f>
        <v/>
      </c>
      <c r="H336" s="7">
        <f>IF(C336="","",IFERROR(INDEX(Sites!$B$2:$B$501,MATCH(C336,Sites!$A$2:$A$501,0)),"?"))</f>
        <v/>
      </c>
      <c r="I336" s="8">
        <f>IF(A336="","",A336-WEEKDAY(A336,3))</f>
        <v/>
      </c>
      <c r="K336" s="7">
        <f>IF(A336="","",IF(OR(B336="",C336="",D336="",E336=""),"Missing info",IF(ISNA(MATCH(B336,Staff!$A$2:$A$101,0)),"Unknown employee",IF(H336="?","Unknown site",IF(G336&lt;=0,"Check times",IF(G336&gt;12,"Over 12h",IF(COUNTIFS($L$2:$L$2001,L336)&gt;1,"Duplicate?",IF(A336&gt;TODAY(),"Future date","OK"))))))))</f>
        <v/>
      </c>
      <c r="L336">
        <f>IF(A336="","",TEXT(A336,"yyyy-mm-dd")&amp;"|"&amp;B336&amp;"|"&amp;C336)</f>
        <v/>
      </c>
    </row>
    <row r="337">
      <c r="A337" s="4" t="n"/>
      <c r="D337" s="5" t="n"/>
      <c r="E337" s="5" t="n"/>
      <c r="G337" s="6">
        <f>IF(OR(A337="",D337="",E337=""),"",ROUND(MOD(E337-D337,1)*24-N(F337)/60,2))</f>
        <v/>
      </c>
      <c r="H337" s="7">
        <f>IF(C337="","",IFERROR(INDEX(Sites!$B$2:$B$501,MATCH(C337,Sites!$A$2:$A$501,0)),"?"))</f>
        <v/>
      </c>
      <c r="I337" s="8">
        <f>IF(A337="","",A337-WEEKDAY(A337,3))</f>
        <v/>
      </c>
      <c r="K337" s="7">
        <f>IF(A337="","",IF(OR(B337="",C337="",D337="",E337=""),"Missing info",IF(ISNA(MATCH(B337,Staff!$A$2:$A$101,0)),"Unknown employee",IF(H337="?","Unknown site",IF(G337&lt;=0,"Check times",IF(G337&gt;12,"Over 12h",IF(COUNTIFS($L$2:$L$2001,L337)&gt;1,"Duplicate?",IF(A337&gt;TODAY(),"Future date","OK"))))))))</f>
        <v/>
      </c>
      <c r="L337">
        <f>IF(A337="","",TEXT(A337,"yyyy-mm-dd")&amp;"|"&amp;B337&amp;"|"&amp;C337)</f>
        <v/>
      </c>
    </row>
    <row r="338">
      <c r="A338" s="4" t="n"/>
      <c r="D338" s="5" t="n"/>
      <c r="E338" s="5" t="n"/>
      <c r="G338" s="6">
        <f>IF(OR(A338="",D338="",E338=""),"",ROUND(MOD(E338-D338,1)*24-N(F338)/60,2))</f>
        <v/>
      </c>
      <c r="H338" s="7">
        <f>IF(C338="","",IFERROR(INDEX(Sites!$B$2:$B$501,MATCH(C338,Sites!$A$2:$A$501,0)),"?"))</f>
        <v/>
      </c>
      <c r="I338" s="8">
        <f>IF(A338="","",A338-WEEKDAY(A338,3))</f>
        <v/>
      </c>
      <c r="K338" s="7">
        <f>IF(A338="","",IF(OR(B338="",C338="",D338="",E338=""),"Missing info",IF(ISNA(MATCH(B338,Staff!$A$2:$A$101,0)),"Unknown employee",IF(H338="?","Unknown site",IF(G338&lt;=0,"Check times",IF(G338&gt;12,"Over 12h",IF(COUNTIFS($L$2:$L$2001,L338)&gt;1,"Duplicate?",IF(A338&gt;TODAY(),"Future date","OK"))))))))</f>
        <v/>
      </c>
      <c r="L338">
        <f>IF(A338="","",TEXT(A338,"yyyy-mm-dd")&amp;"|"&amp;B338&amp;"|"&amp;C338)</f>
        <v/>
      </c>
    </row>
    <row r="339">
      <c r="A339" s="4" t="n"/>
      <c r="D339" s="5" t="n"/>
      <c r="E339" s="5" t="n"/>
      <c r="G339" s="6">
        <f>IF(OR(A339="",D339="",E339=""),"",ROUND(MOD(E339-D339,1)*24-N(F339)/60,2))</f>
        <v/>
      </c>
      <c r="H339" s="7">
        <f>IF(C339="","",IFERROR(INDEX(Sites!$B$2:$B$501,MATCH(C339,Sites!$A$2:$A$501,0)),"?"))</f>
        <v/>
      </c>
      <c r="I339" s="8">
        <f>IF(A339="","",A339-WEEKDAY(A339,3))</f>
        <v/>
      </c>
      <c r="K339" s="7">
        <f>IF(A339="","",IF(OR(B339="",C339="",D339="",E339=""),"Missing info",IF(ISNA(MATCH(B339,Staff!$A$2:$A$101,0)),"Unknown employee",IF(H339="?","Unknown site",IF(G339&lt;=0,"Check times",IF(G339&gt;12,"Over 12h",IF(COUNTIFS($L$2:$L$2001,L339)&gt;1,"Duplicate?",IF(A339&gt;TODAY(),"Future date","OK"))))))))</f>
        <v/>
      </c>
      <c r="L339">
        <f>IF(A339="","",TEXT(A339,"yyyy-mm-dd")&amp;"|"&amp;B339&amp;"|"&amp;C339)</f>
        <v/>
      </c>
    </row>
    <row r="340">
      <c r="A340" s="4" t="n"/>
      <c r="D340" s="5" t="n"/>
      <c r="E340" s="5" t="n"/>
      <c r="G340" s="6">
        <f>IF(OR(A340="",D340="",E340=""),"",ROUND(MOD(E340-D340,1)*24-N(F340)/60,2))</f>
        <v/>
      </c>
      <c r="H340" s="7">
        <f>IF(C340="","",IFERROR(INDEX(Sites!$B$2:$B$501,MATCH(C340,Sites!$A$2:$A$501,0)),"?"))</f>
        <v/>
      </c>
      <c r="I340" s="8">
        <f>IF(A340="","",A340-WEEKDAY(A340,3))</f>
        <v/>
      </c>
      <c r="K340" s="7">
        <f>IF(A340="","",IF(OR(B340="",C340="",D340="",E340=""),"Missing info",IF(ISNA(MATCH(B340,Staff!$A$2:$A$101,0)),"Unknown employee",IF(H340="?","Unknown site",IF(G340&lt;=0,"Check times",IF(G340&gt;12,"Over 12h",IF(COUNTIFS($L$2:$L$2001,L340)&gt;1,"Duplicate?",IF(A340&gt;TODAY(),"Future date","OK"))))))))</f>
        <v/>
      </c>
      <c r="L340">
        <f>IF(A340="","",TEXT(A340,"yyyy-mm-dd")&amp;"|"&amp;B340&amp;"|"&amp;C340)</f>
        <v/>
      </c>
    </row>
    <row r="341">
      <c r="A341" s="4" t="n"/>
      <c r="D341" s="5" t="n"/>
      <c r="E341" s="5" t="n"/>
      <c r="G341" s="6">
        <f>IF(OR(A341="",D341="",E341=""),"",ROUND(MOD(E341-D341,1)*24-N(F341)/60,2))</f>
        <v/>
      </c>
      <c r="H341" s="7">
        <f>IF(C341="","",IFERROR(INDEX(Sites!$B$2:$B$501,MATCH(C341,Sites!$A$2:$A$501,0)),"?"))</f>
        <v/>
      </c>
      <c r="I341" s="8">
        <f>IF(A341="","",A341-WEEKDAY(A341,3))</f>
        <v/>
      </c>
      <c r="K341" s="7">
        <f>IF(A341="","",IF(OR(B341="",C341="",D341="",E341=""),"Missing info",IF(ISNA(MATCH(B341,Staff!$A$2:$A$101,0)),"Unknown employee",IF(H341="?","Unknown site",IF(G341&lt;=0,"Check times",IF(G341&gt;12,"Over 12h",IF(COUNTIFS($L$2:$L$2001,L341)&gt;1,"Duplicate?",IF(A341&gt;TODAY(),"Future date","OK"))))))))</f>
        <v/>
      </c>
      <c r="L341">
        <f>IF(A341="","",TEXT(A341,"yyyy-mm-dd")&amp;"|"&amp;B341&amp;"|"&amp;C341)</f>
        <v/>
      </c>
    </row>
    <row r="342">
      <c r="A342" s="4" t="n"/>
      <c r="D342" s="5" t="n"/>
      <c r="E342" s="5" t="n"/>
      <c r="G342" s="6">
        <f>IF(OR(A342="",D342="",E342=""),"",ROUND(MOD(E342-D342,1)*24-N(F342)/60,2))</f>
        <v/>
      </c>
      <c r="H342" s="7">
        <f>IF(C342="","",IFERROR(INDEX(Sites!$B$2:$B$501,MATCH(C342,Sites!$A$2:$A$501,0)),"?"))</f>
        <v/>
      </c>
      <c r="I342" s="8">
        <f>IF(A342="","",A342-WEEKDAY(A342,3))</f>
        <v/>
      </c>
      <c r="K342" s="7">
        <f>IF(A342="","",IF(OR(B342="",C342="",D342="",E342=""),"Missing info",IF(ISNA(MATCH(B342,Staff!$A$2:$A$101,0)),"Unknown employee",IF(H342="?","Unknown site",IF(G342&lt;=0,"Check times",IF(G342&gt;12,"Over 12h",IF(COUNTIFS($L$2:$L$2001,L342)&gt;1,"Duplicate?",IF(A342&gt;TODAY(),"Future date","OK"))))))))</f>
        <v/>
      </c>
      <c r="L342">
        <f>IF(A342="","",TEXT(A342,"yyyy-mm-dd")&amp;"|"&amp;B342&amp;"|"&amp;C342)</f>
        <v/>
      </c>
    </row>
    <row r="343">
      <c r="A343" s="4" t="n"/>
      <c r="D343" s="5" t="n"/>
      <c r="E343" s="5" t="n"/>
      <c r="G343" s="6">
        <f>IF(OR(A343="",D343="",E343=""),"",ROUND(MOD(E343-D343,1)*24-N(F343)/60,2))</f>
        <v/>
      </c>
      <c r="H343" s="7">
        <f>IF(C343="","",IFERROR(INDEX(Sites!$B$2:$B$501,MATCH(C343,Sites!$A$2:$A$501,0)),"?"))</f>
        <v/>
      </c>
      <c r="I343" s="8">
        <f>IF(A343="","",A343-WEEKDAY(A343,3))</f>
        <v/>
      </c>
      <c r="K343" s="7">
        <f>IF(A343="","",IF(OR(B343="",C343="",D343="",E343=""),"Missing info",IF(ISNA(MATCH(B343,Staff!$A$2:$A$101,0)),"Unknown employee",IF(H343="?","Unknown site",IF(G343&lt;=0,"Check times",IF(G343&gt;12,"Over 12h",IF(COUNTIFS($L$2:$L$2001,L343)&gt;1,"Duplicate?",IF(A343&gt;TODAY(),"Future date","OK"))))))))</f>
        <v/>
      </c>
      <c r="L343">
        <f>IF(A343="","",TEXT(A343,"yyyy-mm-dd")&amp;"|"&amp;B343&amp;"|"&amp;C343)</f>
        <v/>
      </c>
    </row>
    <row r="344">
      <c r="A344" s="4" t="n"/>
      <c r="D344" s="5" t="n"/>
      <c r="E344" s="5" t="n"/>
      <c r="G344" s="6">
        <f>IF(OR(A344="",D344="",E344=""),"",ROUND(MOD(E344-D344,1)*24-N(F344)/60,2))</f>
        <v/>
      </c>
      <c r="H344" s="7">
        <f>IF(C344="","",IFERROR(INDEX(Sites!$B$2:$B$501,MATCH(C344,Sites!$A$2:$A$501,0)),"?"))</f>
        <v/>
      </c>
      <c r="I344" s="8">
        <f>IF(A344="","",A344-WEEKDAY(A344,3))</f>
        <v/>
      </c>
      <c r="K344" s="7">
        <f>IF(A344="","",IF(OR(B344="",C344="",D344="",E344=""),"Missing info",IF(ISNA(MATCH(B344,Staff!$A$2:$A$101,0)),"Unknown employee",IF(H344="?","Unknown site",IF(G344&lt;=0,"Check times",IF(G344&gt;12,"Over 12h",IF(COUNTIFS($L$2:$L$2001,L344)&gt;1,"Duplicate?",IF(A344&gt;TODAY(),"Future date","OK"))))))))</f>
        <v/>
      </c>
      <c r="L344">
        <f>IF(A344="","",TEXT(A344,"yyyy-mm-dd")&amp;"|"&amp;B344&amp;"|"&amp;C344)</f>
        <v/>
      </c>
    </row>
    <row r="345">
      <c r="A345" s="4" t="n"/>
      <c r="D345" s="5" t="n"/>
      <c r="E345" s="5" t="n"/>
      <c r="G345" s="6">
        <f>IF(OR(A345="",D345="",E345=""),"",ROUND(MOD(E345-D345,1)*24-N(F345)/60,2))</f>
        <v/>
      </c>
      <c r="H345" s="7">
        <f>IF(C345="","",IFERROR(INDEX(Sites!$B$2:$B$501,MATCH(C345,Sites!$A$2:$A$501,0)),"?"))</f>
        <v/>
      </c>
      <c r="I345" s="8">
        <f>IF(A345="","",A345-WEEKDAY(A345,3))</f>
        <v/>
      </c>
      <c r="K345" s="7">
        <f>IF(A345="","",IF(OR(B345="",C345="",D345="",E345=""),"Missing info",IF(ISNA(MATCH(B345,Staff!$A$2:$A$101,0)),"Unknown employee",IF(H345="?","Unknown site",IF(G345&lt;=0,"Check times",IF(G345&gt;12,"Over 12h",IF(COUNTIFS($L$2:$L$2001,L345)&gt;1,"Duplicate?",IF(A345&gt;TODAY(),"Future date","OK"))))))))</f>
        <v/>
      </c>
      <c r="L345">
        <f>IF(A345="","",TEXT(A345,"yyyy-mm-dd")&amp;"|"&amp;B345&amp;"|"&amp;C345)</f>
        <v/>
      </c>
    </row>
    <row r="346">
      <c r="A346" s="4" t="n"/>
      <c r="D346" s="5" t="n"/>
      <c r="E346" s="5" t="n"/>
      <c r="G346" s="6">
        <f>IF(OR(A346="",D346="",E346=""),"",ROUND(MOD(E346-D346,1)*24-N(F346)/60,2))</f>
        <v/>
      </c>
      <c r="H346" s="7">
        <f>IF(C346="","",IFERROR(INDEX(Sites!$B$2:$B$501,MATCH(C346,Sites!$A$2:$A$501,0)),"?"))</f>
        <v/>
      </c>
      <c r="I346" s="8">
        <f>IF(A346="","",A346-WEEKDAY(A346,3))</f>
        <v/>
      </c>
      <c r="K346" s="7">
        <f>IF(A346="","",IF(OR(B346="",C346="",D346="",E346=""),"Missing info",IF(ISNA(MATCH(B346,Staff!$A$2:$A$101,0)),"Unknown employee",IF(H346="?","Unknown site",IF(G346&lt;=0,"Check times",IF(G346&gt;12,"Over 12h",IF(COUNTIFS($L$2:$L$2001,L346)&gt;1,"Duplicate?",IF(A346&gt;TODAY(),"Future date","OK"))))))))</f>
        <v/>
      </c>
      <c r="L346">
        <f>IF(A346="","",TEXT(A346,"yyyy-mm-dd")&amp;"|"&amp;B346&amp;"|"&amp;C346)</f>
        <v/>
      </c>
    </row>
    <row r="347">
      <c r="A347" s="4" t="n"/>
      <c r="D347" s="5" t="n"/>
      <c r="E347" s="5" t="n"/>
      <c r="G347" s="6">
        <f>IF(OR(A347="",D347="",E347=""),"",ROUND(MOD(E347-D347,1)*24-N(F347)/60,2))</f>
        <v/>
      </c>
      <c r="H347" s="7">
        <f>IF(C347="","",IFERROR(INDEX(Sites!$B$2:$B$501,MATCH(C347,Sites!$A$2:$A$501,0)),"?"))</f>
        <v/>
      </c>
      <c r="I347" s="8">
        <f>IF(A347="","",A347-WEEKDAY(A347,3))</f>
        <v/>
      </c>
      <c r="K347" s="7">
        <f>IF(A347="","",IF(OR(B347="",C347="",D347="",E347=""),"Missing info",IF(ISNA(MATCH(B347,Staff!$A$2:$A$101,0)),"Unknown employee",IF(H347="?","Unknown site",IF(G347&lt;=0,"Check times",IF(G347&gt;12,"Over 12h",IF(COUNTIFS($L$2:$L$2001,L347)&gt;1,"Duplicate?",IF(A347&gt;TODAY(),"Future date","OK"))))))))</f>
        <v/>
      </c>
      <c r="L347">
        <f>IF(A347="","",TEXT(A347,"yyyy-mm-dd")&amp;"|"&amp;B347&amp;"|"&amp;C347)</f>
        <v/>
      </c>
    </row>
    <row r="348">
      <c r="A348" s="4" t="n"/>
      <c r="D348" s="5" t="n"/>
      <c r="E348" s="5" t="n"/>
      <c r="G348" s="6">
        <f>IF(OR(A348="",D348="",E348=""),"",ROUND(MOD(E348-D348,1)*24-N(F348)/60,2))</f>
        <v/>
      </c>
      <c r="H348" s="7">
        <f>IF(C348="","",IFERROR(INDEX(Sites!$B$2:$B$501,MATCH(C348,Sites!$A$2:$A$501,0)),"?"))</f>
        <v/>
      </c>
      <c r="I348" s="8">
        <f>IF(A348="","",A348-WEEKDAY(A348,3))</f>
        <v/>
      </c>
      <c r="K348" s="7">
        <f>IF(A348="","",IF(OR(B348="",C348="",D348="",E348=""),"Missing info",IF(ISNA(MATCH(B348,Staff!$A$2:$A$101,0)),"Unknown employee",IF(H348="?","Unknown site",IF(G348&lt;=0,"Check times",IF(G348&gt;12,"Over 12h",IF(COUNTIFS($L$2:$L$2001,L348)&gt;1,"Duplicate?",IF(A348&gt;TODAY(),"Future date","OK"))))))))</f>
        <v/>
      </c>
      <c r="L348">
        <f>IF(A348="","",TEXT(A348,"yyyy-mm-dd")&amp;"|"&amp;B348&amp;"|"&amp;C348)</f>
        <v/>
      </c>
    </row>
    <row r="349">
      <c r="A349" s="4" t="n"/>
      <c r="D349" s="5" t="n"/>
      <c r="E349" s="5" t="n"/>
      <c r="G349" s="6">
        <f>IF(OR(A349="",D349="",E349=""),"",ROUND(MOD(E349-D349,1)*24-N(F349)/60,2))</f>
        <v/>
      </c>
      <c r="H349" s="7">
        <f>IF(C349="","",IFERROR(INDEX(Sites!$B$2:$B$501,MATCH(C349,Sites!$A$2:$A$501,0)),"?"))</f>
        <v/>
      </c>
      <c r="I349" s="8">
        <f>IF(A349="","",A349-WEEKDAY(A349,3))</f>
        <v/>
      </c>
      <c r="K349" s="7">
        <f>IF(A349="","",IF(OR(B349="",C349="",D349="",E349=""),"Missing info",IF(ISNA(MATCH(B349,Staff!$A$2:$A$101,0)),"Unknown employee",IF(H349="?","Unknown site",IF(G349&lt;=0,"Check times",IF(G349&gt;12,"Over 12h",IF(COUNTIFS($L$2:$L$2001,L349)&gt;1,"Duplicate?",IF(A349&gt;TODAY(),"Future date","OK"))))))))</f>
        <v/>
      </c>
      <c r="L349">
        <f>IF(A349="","",TEXT(A349,"yyyy-mm-dd")&amp;"|"&amp;B349&amp;"|"&amp;C349)</f>
        <v/>
      </c>
    </row>
    <row r="350">
      <c r="A350" s="4" t="n"/>
      <c r="D350" s="5" t="n"/>
      <c r="E350" s="5" t="n"/>
      <c r="G350" s="6">
        <f>IF(OR(A350="",D350="",E350=""),"",ROUND(MOD(E350-D350,1)*24-N(F350)/60,2))</f>
        <v/>
      </c>
      <c r="H350" s="7">
        <f>IF(C350="","",IFERROR(INDEX(Sites!$B$2:$B$501,MATCH(C350,Sites!$A$2:$A$501,0)),"?"))</f>
        <v/>
      </c>
      <c r="I350" s="8">
        <f>IF(A350="","",A350-WEEKDAY(A350,3))</f>
        <v/>
      </c>
      <c r="K350" s="7">
        <f>IF(A350="","",IF(OR(B350="",C350="",D350="",E350=""),"Missing info",IF(ISNA(MATCH(B350,Staff!$A$2:$A$101,0)),"Unknown employee",IF(H350="?","Unknown site",IF(G350&lt;=0,"Check times",IF(G350&gt;12,"Over 12h",IF(COUNTIFS($L$2:$L$2001,L350)&gt;1,"Duplicate?",IF(A350&gt;TODAY(),"Future date","OK"))))))))</f>
        <v/>
      </c>
      <c r="L350">
        <f>IF(A350="","",TEXT(A350,"yyyy-mm-dd")&amp;"|"&amp;B350&amp;"|"&amp;C350)</f>
        <v/>
      </c>
    </row>
    <row r="351">
      <c r="A351" s="4" t="n"/>
      <c r="D351" s="5" t="n"/>
      <c r="E351" s="5" t="n"/>
      <c r="G351" s="6">
        <f>IF(OR(A351="",D351="",E351=""),"",ROUND(MOD(E351-D351,1)*24-N(F351)/60,2))</f>
        <v/>
      </c>
      <c r="H351" s="7">
        <f>IF(C351="","",IFERROR(INDEX(Sites!$B$2:$B$501,MATCH(C351,Sites!$A$2:$A$501,0)),"?"))</f>
        <v/>
      </c>
      <c r="I351" s="8">
        <f>IF(A351="","",A351-WEEKDAY(A351,3))</f>
        <v/>
      </c>
      <c r="K351" s="7">
        <f>IF(A351="","",IF(OR(B351="",C351="",D351="",E351=""),"Missing info",IF(ISNA(MATCH(B351,Staff!$A$2:$A$101,0)),"Unknown employee",IF(H351="?","Unknown site",IF(G351&lt;=0,"Check times",IF(G351&gt;12,"Over 12h",IF(COUNTIFS($L$2:$L$2001,L351)&gt;1,"Duplicate?",IF(A351&gt;TODAY(),"Future date","OK"))))))))</f>
        <v/>
      </c>
      <c r="L351">
        <f>IF(A351="","",TEXT(A351,"yyyy-mm-dd")&amp;"|"&amp;B351&amp;"|"&amp;C351)</f>
        <v/>
      </c>
    </row>
    <row r="352">
      <c r="A352" s="4" t="n"/>
      <c r="D352" s="5" t="n"/>
      <c r="E352" s="5" t="n"/>
      <c r="G352" s="6">
        <f>IF(OR(A352="",D352="",E352=""),"",ROUND(MOD(E352-D352,1)*24-N(F352)/60,2))</f>
        <v/>
      </c>
      <c r="H352" s="7">
        <f>IF(C352="","",IFERROR(INDEX(Sites!$B$2:$B$501,MATCH(C352,Sites!$A$2:$A$501,0)),"?"))</f>
        <v/>
      </c>
      <c r="I352" s="8">
        <f>IF(A352="","",A352-WEEKDAY(A352,3))</f>
        <v/>
      </c>
      <c r="K352" s="7">
        <f>IF(A352="","",IF(OR(B352="",C352="",D352="",E352=""),"Missing info",IF(ISNA(MATCH(B352,Staff!$A$2:$A$101,0)),"Unknown employee",IF(H352="?","Unknown site",IF(G352&lt;=0,"Check times",IF(G352&gt;12,"Over 12h",IF(COUNTIFS($L$2:$L$2001,L352)&gt;1,"Duplicate?",IF(A352&gt;TODAY(),"Future date","OK"))))))))</f>
        <v/>
      </c>
      <c r="L352">
        <f>IF(A352="","",TEXT(A352,"yyyy-mm-dd")&amp;"|"&amp;B352&amp;"|"&amp;C352)</f>
        <v/>
      </c>
    </row>
    <row r="353">
      <c r="A353" s="4" t="n"/>
      <c r="D353" s="5" t="n"/>
      <c r="E353" s="5" t="n"/>
      <c r="G353" s="6">
        <f>IF(OR(A353="",D353="",E353=""),"",ROUND(MOD(E353-D353,1)*24-N(F353)/60,2))</f>
        <v/>
      </c>
      <c r="H353" s="7">
        <f>IF(C353="","",IFERROR(INDEX(Sites!$B$2:$B$501,MATCH(C353,Sites!$A$2:$A$501,0)),"?"))</f>
        <v/>
      </c>
      <c r="I353" s="8">
        <f>IF(A353="","",A353-WEEKDAY(A353,3))</f>
        <v/>
      </c>
      <c r="K353" s="7">
        <f>IF(A353="","",IF(OR(B353="",C353="",D353="",E353=""),"Missing info",IF(ISNA(MATCH(B353,Staff!$A$2:$A$101,0)),"Unknown employee",IF(H353="?","Unknown site",IF(G353&lt;=0,"Check times",IF(G353&gt;12,"Over 12h",IF(COUNTIFS($L$2:$L$2001,L353)&gt;1,"Duplicate?",IF(A353&gt;TODAY(),"Future date","OK"))))))))</f>
        <v/>
      </c>
      <c r="L353">
        <f>IF(A353="","",TEXT(A353,"yyyy-mm-dd")&amp;"|"&amp;B353&amp;"|"&amp;C353)</f>
        <v/>
      </c>
    </row>
    <row r="354">
      <c r="A354" s="4" t="n"/>
      <c r="D354" s="5" t="n"/>
      <c r="E354" s="5" t="n"/>
      <c r="G354" s="6">
        <f>IF(OR(A354="",D354="",E354=""),"",ROUND(MOD(E354-D354,1)*24-N(F354)/60,2))</f>
        <v/>
      </c>
      <c r="H354" s="7">
        <f>IF(C354="","",IFERROR(INDEX(Sites!$B$2:$B$501,MATCH(C354,Sites!$A$2:$A$501,0)),"?"))</f>
        <v/>
      </c>
      <c r="I354" s="8">
        <f>IF(A354="","",A354-WEEKDAY(A354,3))</f>
        <v/>
      </c>
      <c r="K354" s="7">
        <f>IF(A354="","",IF(OR(B354="",C354="",D354="",E354=""),"Missing info",IF(ISNA(MATCH(B354,Staff!$A$2:$A$101,0)),"Unknown employee",IF(H354="?","Unknown site",IF(G354&lt;=0,"Check times",IF(G354&gt;12,"Over 12h",IF(COUNTIFS($L$2:$L$2001,L354)&gt;1,"Duplicate?",IF(A354&gt;TODAY(),"Future date","OK"))))))))</f>
        <v/>
      </c>
      <c r="L354">
        <f>IF(A354="","",TEXT(A354,"yyyy-mm-dd")&amp;"|"&amp;B354&amp;"|"&amp;C354)</f>
        <v/>
      </c>
    </row>
    <row r="355">
      <c r="A355" s="4" t="n"/>
      <c r="D355" s="5" t="n"/>
      <c r="E355" s="5" t="n"/>
      <c r="G355" s="6">
        <f>IF(OR(A355="",D355="",E355=""),"",ROUND(MOD(E355-D355,1)*24-N(F355)/60,2))</f>
        <v/>
      </c>
      <c r="H355" s="7">
        <f>IF(C355="","",IFERROR(INDEX(Sites!$B$2:$B$501,MATCH(C355,Sites!$A$2:$A$501,0)),"?"))</f>
        <v/>
      </c>
      <c r="I355" s="8">
        <f>IF(A355="","",A355-WEEKDAY(A355,3))</f>
        <v/>
      </c>
      <c r="K355" s="7">
        <f>IF(A355="","",IF(OR(B355="",C355="",D355="",E355=""),"Missing info",IF(ISNA(MATCH(B355,Staff!$A$2:$A$101,0)),"Unknown employee",IF(H355="?","Unknown site",IF(G355&lt;=0,"Check times",IF(G355&gt;12,"Over 12h",IF(COUNTIFS($L$2:$L$2001,L355)&gt;1,"Duplicate?",IF(A355&gt;TODAY(),"Future date","OK"))))))))</f>
        <v/>
      </c>
      <c r="L355">
        <f>IF(A355="","",TEXT(A355,"yyyy-mm-dd")&amp;"|"&amp;B355&amp;"|"&amp;C355)</f>
        <v/>
      </c>
    </row>
    <row r="356">
      <c r="A356" s="4" t="n"/>
      <c r="D356" s="5" t="n"/>
      <c r="E356" s="5" t="n"/>
      <c r="G356" s="6">
        <f>IF(OR(A356="",D356="",E356=""),"",ROUND(MOD(E356-D356,1)*24-N(F356)/60,2))</f>
        <v/>
      </c>
      <c r="H356" s="7">
        <f>IF(C356="","",IFERROR(INDEX(Sites!$B$2:$B$501,MATCH(C356,Sites!$A$2:$A$501,0)),"?"))</f>
        <v/>
      </c>
      <c r="I356" s="8">
        <f>IF(A356="","",A356-WEEKDAY(A356,3))</f>
        <v/>
      </c>
      <c r="K356" s="7">
        <f>IF(A356="","",IF(OR(B356="",C356="",D356="",E356=""),"Missing info",IF(ISNA(MATCH(B356,Staff!$A$2:$A$101,0)),"Unknown employee",IF(H356="?","Unknown site",IF(G356&lt;=0,"Check times",IF(G356&gt;12,"Over 12h",IF(COUNTIFS($L$2:$L$2001,L356)&gt;1,"Duplicate?",IF(A356&gt;TODAY(),"Future date","OK"))))))))</f>
        <v/>
      </c>
      <c r="L356">
        <f>IF(A356="","",TEXT(A356,"yyyy-mm-dd")&amp;"|"&amp;B356&amp;"|"&amp;C356)</f>
        <v/>
      </c>
    </row>
    <row r="357">
      <c r="A357" s="4" t="n"/>
      <c r="D357" s="5" t="n"/>
      <c r="E357" s="5" t="n"/>
      <c r="G357" s="6">
        <f>IF(OR(A357="",D357="",E357=""),"",ROUND(MOD(E357-D357,1)*24-N(F357)/60,2))</f>
        <v/>
      </c>
      <c r="H357" s="7">
        <f>IF(C357="","",IFERROR(INDEX(Sites!$B$2:$B$501,MATCH(C357,Sites!$A$2:$A$501,0)),"?"))</f>
        <v/>
      </c>
      <c r="I357" s="8">
        <f>IF(A357="","",A357-WEEKDAY(A357,3))</f>
        <v/>
      </c>
      <c r="K357" s="7">
        <f>IF(A357="","",IF(OR(B357="",C357="",D357="",E357=""),"Missing info",IF(ISNA(MATCH(B357,Staff!$A$2:$A$101,0)),"Unknown employee",IF(H357="?","Unknown site",IF(G357&lt;=0,"Check times",IF(G357&gt;12,"Over 12h",IF(COUNTIFS($L$2:$L$2001,L357)&gt;1,"Duplicate?",IF(A357&gt;TODAY(),"Future date","OK"))))))))</f>
        <v/>
      </c>
      <c r="L357">
        <f>IF(A357="","",TEXT(A357,"yyyy-mm-dd")&amp;"|"&amp;B357&amp;"|"&amp;C357)</f>
        <v/>
      </c>
    </row>
    <row r="358">
      <c r="A358" s="4" t="n"/>
      <c r="D358" s="5" t="n"/>
      <c r="E358" s="5" t="n"/>
      <c r="G358" s="6">
        <f>IF(OR(A358="",D358="",E358=""),"",ROUND(MOD(E358-D358,1)*24-N(F358)/60,2))</f>
        <v/>
      </c>
      <c r="H358" s="7">
        <f>IF(C358="","",IFERROR(INDEX(Sites!$B$2:$B$501,MATCH(C358,Sites!$A$2:$A$501,0)),"?"))</f>
        <v/>
      </c>
      <c r="I358" s="8">
        <f>IF(A358="","",A358-WEEKDAY(A358,3))</f>
        <v/>
      </c>
      <c r="K358" s="7">
        <f>IF(A358="","",IF(OR(B358="",C358="",D358="",E358=""),"Missing info",IF(ISNA(MATCH(B358,Staff!$A$2:$A$101,0)),"Unknown employee",IF(H358="?","Unknown site",IF(G358&lt;=0,"Check times",IF(G358&gt;12,"Over 12h",IF(COUNTIFS($L$2:$L$2001,L358)&gt;1,"Duplicate?",IF(A358&gt;TODAY(),"Future date","OK"))))))))</f>
        <v/>
      </c>
      <c r="L358">
        <f>IF(A358="","",TEXT(A358,"yyyy-mm-dd")&amp;"|"&amp;B358&amp;"|"&amp;C358)</f>
        <v/>
      </c>
    </row>
    <row r="359">
      <c r="A359" s="4" t="n"/>
      <c r="D359" s="5" t="n"/>
      <c r="E359" s="5" t="n"/>
      <c r="G359" s="6">
        <f>IF(OR(A359="",D359="",E359=""),"",ROUND(MOD(E359-D359,1)*24-N(F359)/60,2))</f>
        <v/>
      </c>
      <c r="H359" s="7">
        <f>IF(C359="","",IFERROR(INDEX(Sites!$B$2:$B$501,MATCH(C359,Sites!$A$2:$A$501,0)),"?"))</f>
        <v/>
      </c>
      <c r="I359" s="8">
        <f>IF(A359="","",A359-WEEKDAY(A359,3))</f>
        <v/>
      </c>
      <c r="K359" s="7">
        <f>IF(A359="","",IF(OR(B359="",C359="",D359="",E359=""),"Missing info",IF(ISNA(MATCH(B359,Staff!$A$2:$A$101,0)),"Unknown employee",IF(H359="?","Unknown site",IF(G359&lt;=0,"Check times",IF(G359&gt;12,"Over 12h",IF(COUNTIFS($L$2:$L$2001,L359)&gt;1,"Duplicate?",IF(A359&gt;TODAY(),"Future date","OK"))))))))</f>
        <v/>
      </c>
      <c r="L359">
        <f>IF(A359="","",TEXT(A359,"yyyy-mm-dd")&amp;"|"&amp;B359&amp;"|"&amp;C359)</f>
        <v/>
      </c>
    </row>
    <row r="360">
      <c r="A360" s="4" t="n"/>
      <c r="D360" s="5" t="n"/>
      <c r="E360" s="5" t="n"/>
      <c r="G360" s="6">
        <f>IF(OR(A360="",D360="",E360=""),"",ROUND(MOD(E360-D360,1)*24-N(F360)/60,2))</f>
        <v/>
      </c>
      <c r="H360" s="7">
        <f>IF(C360="","",IFERROR(INDEX(Sites!$B$2:$B$501,MATCH(C360,Sites!$A$2:$A$501,0)),"?"))</f>
        <v/>
      </c>
      <c r="I360" s="8">
        <f>IF(A360="","",A360-WEEKDAY(A360,3))</f>
        <v/>
      </c>
      <c r="K360" s="7">
        <f>IF(A360="","",IF(OR(B360="",C360="",D360="",E360=""),"Missing info",IF(ISNA(MATCH(B360,Staff!$A$2:$A$101,0)),"Unknown employee",IF(H360="?","Unknown site",IF(G360&lt;=0,"Check times",IF(G360&gt;12,"Over 12h",IF(COUNTIFS($L$2:$L$2001,L360)&gt;1,"Duplicate?",IF(A360&gt;TODAY(),"Future date","OK"))))))))</f>
        <v/>
      </c>
      <c r="L360">
        <f>IF(A360="","",TEXT(A360,"yyyy-mm-dd")&amp;"|"&amp;B360&amp;"|"&amp;C360)</f>
        <v/>
      </c>
    </row>
    <row r="361">
      <c r="A361" s="4" t="n"/>
      <c r="D361" s="5" t="n"/>
      <c r="E361" s="5" t="n"/>
      <c r="G361" s="6">
        <f>IF(OR(A361="",D361="",E361=""),"",ROUND(MOD(E361-D361,1)*24-N(F361)/60,2))</f>
        <v/>
      </c>
      <c r="H361" s="7">
        <f>IF(C361="","",IFERROR(INDEX(Sites!$B$2:$B$501,MATCH(C361,Sites!$A$2:$A$501,0)),"?"))</f>
        <v/>
      </c>
      <c r="I361" s="8">
        <f>IF(A361="","",A361-WEEKDAY(A361,3))</f>
        <v/>
      </c>
      <c r="K361" s="7">
        <f>IF(A361="","",IF(OR(B361="",C361="",D361="",E361=""),"Missing info",IF(ISNA(MATCH(B361,Staff!$A$2:$A$101,0)),"Unknown employee",IF(H361="?","Unknown site",IF(G361&lt;=0,"Check times",IF(G361&gt;12,"Over 12h",IF(COUNTIFS($L$2:$L$2001,L361)&gt;1,"Duplicate?",IF(A361&gt;TODAY(),"Future date","OK"))))))))</f>
        <v/>
      </c>
      <c r="L361">
        <f>IF(A361="","",TEXT(A361,"yyyy-mm-dd")&amp;"|"&amp;B361&amp;"|"&amp;C361)</f>
        <v/>
      </c>
    </row>
    <row r="362">
      <c r="A362" s="4" t="n"/>
      <c r="D362" s="5" t="n"/>
      <c r="E362" s="5" t="n"/>
      <c r="G362" s="6">
        <f>IF(OR(A362="",D362="",E362=""),"",ROUND(MOD(E362-D362,1)*24-N(F362)/60,2))</f>
        <v/>
      </c>
      <c r="H362" s="7">
        <f>IF(C362="","",IFERROR(INDEX(Sites!$B$2:$B$501,MATCH(C362,Sites!$A$2:$A$501,0)),"?"))</f>
        <v/>
      </c>
      <c r="I362" s="8">
        <f>IF(A362="","",A362-WEEKDAY(A362,3))</f>
        <v/>
      </c>
      <c r="K362" s="7">
        <f>IF(A362="","",IF(OR(B362="",C362="",D362="",E362=""),"Missing info",IF(ISNA(MATCH(B362,Staff!$A$2:$A$101,0)),"Unknown employee",IF(H362="?","Unknown site",IF(G362&lt;=0,"Check times",IF(G362&gt;12,"Over 12h",IF(COUNTIFS($L$2:$L$2001,L362)&gt;1,"Duplicate?",IF(A362&gt;TODAY(),"Future date","OK"))))))))</f>
        <v/>
      </c>
      <c r="L362">
        <f>IF(A362="","",TEXT(A362,"yyyy-mm-dd")&amp;"|"&amp;B362&amp;"|"&amp;C362)</f>
        <v/>
      </c>
    </row>
    <row r="363">
      <c r="A363" s="4" t="n"/>
      <c r="D363" s="5" t="n"/>
      <c r="E363" s="5" t="n"/>
      <c r="G363" s="6">
        <f>IF(OR(A363="",D363="",E363=""),"",ROUND(MOD(E363-D363,1)*24-N(F363)/60,2))</f>
        <v/>
      </c>
      <c r="H363" s="7">
        <f>IF(C363="","",IFERROR(INDEX(Sites!$B$2:$B$501,MATCH(C363,Sites!$A$2:$A$501,0)),"?"))</f>
        <v/>
      </c>
      <c r="I363" s="8">
        <f>IF(A363="","",A363-WEEKDAY(A363,3))</f>
        <v/>
      </c>
      <c r="K363" s="7">
        <f>IF(A363="","",IF(OR(B363="",C363="",D363="",E363=""),"Missing info",IF(ISNA(MATCH(B363,Staff!$A$2:$A$101,0)),"Unknown employee",IF(H363="?","Unknown site",IF(G363&lt;=0,"Check times",IF(G363&gt;12,"Over 12h",IF(COUNTIFS($L$2:$L$2001,L363)&gt;1,"Duplicate?",IF(A363&gt;TODAY(),"Future date","OK"))))))))</f>
        <v/>
      </c>
      <c r="L363">
        <f>IF(A363="","",TEXT(A363,"yyyy-mm-dd")&amp;"|"&amp;B363&amp;"|"&amp;C363)</f>
        <v/>
      </c>
    </row>
    <row r="364">
      <c r="A364" s="4" t="n"/>
      <c r="D364" s="5" t="n"/>
      <c r="E364" s="5" t="n"/>
      <c r="G364" s="6">
        <f>IF(OR(A364="",D364="",E364=""),"",ROUND(MOD(E364-D364,1)*24-N(F364)/60,2))</f>
        <v/>
      </c>
      <c r="H364" s="7">
        <f>IF(C364="","",IFERROR(INDEX(Sites!$B$2:$B$501,MATCH(C364,Sites!$A$2:$A$501,0)),"?"))</f>
        <v/>
      </c>
      <c r="I364" s="8">
        <f>IF(A364="","",A364-WEEKDAY(A364,3))</f>
        <v/>
      </c>
      <c r="K364" s="7">
        <f>IF(A364="","",IF(OR(B364="",C364="",D364="",E364=""),"Missing info",IF(ISNA(MATCH(B364,Staff!$A$2:$A$101,0)),"Unknown employee",IF(H364="?","Unknown site",IF(G364&lt;=0,"Check times",IF(G364&gt;12,"Over 12h",IF(COUNTIFS($L$2:$L$2001,L364)&gt;1,"Duplicate?",IF(A364&gt;TODAY(),"Future date","OK"))))))))</f>
        <v/>
      </c>
      <c r="L364">
        <f>IF(A364="","",TEXT(A364,"yyyy-mm-dd")&amp;"|"&amp;B364&amp;"|"&amp;C364)</f>
        <v/>
      </c>
    </row>
    <row r="365">
      <c r="A365" s="4" t="n"/>
      <c r="D365" s="5" t="n"/>
      <c r="E365" s="5" t="n"/>
      <c r="G365" s="6">
        <f>IF(OR(A365="",D365="",E365=""),"",ROUND(MOD(E365-D365,1)*24-N(F365)/60,2))</f>
        <v/>
      </c>
      <c r="H365" s="7">
        <f>IF(C365="","",IFERROR(INDEX(Sites!$B$2:$B$501,MATCH(C365,Sites!$A$2:$A$501,0)),"?"))</f>
        <v/>
      </c>
      <c r="I365" s="8">
        <f>IF(A365="","",A365-WEEKDAY(A365,3))</f>
        <v/>
      </c>
      <c r="K365" s="7">
        <f>IF(A365="","",IF(OR(B365="",C365="",D365="",E365=""),"Missing info",IF(ISNA(MATCH(B365,Staff!$A$2:$A$101,0)),"Unknown employee",IF(H365="?","Unknown site",IF(G365&lt;=0,"Check times",IF(G365&gt;12,"Over 12h",IF(COUNTIFS($L$2:$L$2001,L365)&gt;1,"Duplicate?",IF(A365&gt;TODAY(),"Future date","OK"))))))))</f>
        <v/>
      </c>
      <c r="L365">
        <f>IF(A365="","",TEXT(A365,"yyyy-mm-dd")&amp;"|"&amp;B365&amp;"|"&amp;C365)</f>
        <v/>
      </c>
    </row>
    <row r="366">
      <c r="A366" s="4" t="n"/>
      <c r="D366" s="5" t="n"/>
      <c r="E366" s="5" t="n"/>
      <c r="G366" s="6">
        <f>IF(OR(A366="",D366="",E366=""),"",ROUND(MOD(E366-D366,1)*24-N(F366)/60,2))</f>
        <v/>
      </c>
      <c r="H366" s="7">
        <f>IF(C366="","",IFERROR(INDEX(Sites!$B$2:$B$501,MATCH(C366,Sites!$A$2:$A$501,0)),"?"))</f>
        <v/>
      </c>
      <c r="I366" s="8">
        <f>IF(A366="","",A366-WEEKDAY(A366,3))</f>
        <v/>
      </c>
      <c r="K366" s="7">
        <f>IF(A366="","",IF(OR(B366="",C366="",D366="",E366=""),"Missing info",IF(ISNA(MATCH(B366,Staff!$A$2:$A$101,0)),"Unknown employee",IF(H366="?","Unknown site",IF(G366&lt;=0,"Check times",IF(G366&gt;12,"Over 12h",IF(COUNTIFS($L$2:$L$2001,L366)&gt;1,"Duplicate?",IF(A366&gt;TODAY(),"Future date","OK"))))))))</f>
        <v/>
      </c>
      <c r="L366">
        <f>IF(A366="","",TEXT(A366,"yyyy-mm-dd")&amp;"|"&amp;B366&amp;"|"&amp;C366)</f>
        <v/>
      </c>
    </row>
    <row r="367">
      <c r="A367" s="4" t="n"/>
      <c r="D367" s="5" t="n"/>
      <c r="E367" s="5" t="n"/>
      <c r="G367" s="6">
        <f>IF(OR(A367="",D367="",E367=""),"",ROUND(MOD(E367-D367,1)*24-N(F367)/60,2))</f>
        <v/>
      </c>
      <c r="H367" s="7">
        <f>IF(C367="","",IFERROR(INDEX(Sites!$B$2:$B$501,MATCH(C367,Sites!$A$2:$A$501,0)),"?"))</f>
        <v/>
      </c>
      <c r="I367" s="8">
        <f>IF(A367="","",A367-WEEKDAY(A367,3))</f>
        <v/>
      </c>
      <c r="K367" s="7">
        <f>IF(A367="","",IF(OR(B367="",C367="",D367="",E367=""),"Missing info",IF(ISNA(MATCH(B367,Staff!$A$2:$A$101,0)),"Unknown employee",IF(H367="?","Unknown site",IF(G367&lt;=0,"Check times",IF(G367&gt;12,"Over 12h",IF(COUNTIFS($L$2:$L$2001,L367)&gt;1,"Duplicate?",IF(A367&gt;TODAY(),"Future date","OK"))))))))</f>
        <v/>
      </c>
      <c r="L367">
        <f>IF(A367="","",TEXT(A367,"yyyy-mm-dd")&amp;"|"&amp;B367&amp;"|"&amp;C367)</f>
        <v/>
      </c>
    </row>
    <row r="368">
      <c r="A368" s="4" t="n"/>
      <c r="D368" s="5" t="n"/>
      <c r="E368" s="5" t="n"/>
      <c r="G368" s="6">
        <f>IF(OR(A368="",D368="",E368=""),"",ROUND(MOD(E368-D368,1)*24-N(F368)/60,2))</f>
        <v/>
      </c>
      <c r="H368" s="7">
        <f>IF(C368="","",IFERROR(INDEX(Sites!$B$2:$B$501,MATCH(C368,Sites!$A$2:$A$501,0)),"?"))</f>
        <v/>
      </c>
      <c r="I368" s="8">
        <f>IF(A368="","",A368-WEEKDAY(A368,3))</f>
        <v/>
      </c>
      <c r="K368" s="7">
        <f>IF(A368="","",IF(OR(B368="",C368="",D368="",E368=""),"Missing info",IF(ISNA(MATCH(B368,Staff!$A$2:$A$101,0)),"Unknown employee",IF(H368="?","Unknown site",IF(G368&lt;=0,"Check times",IF(G368&gt;12,"Over 12h",IF(COUNTIFS($L$2:$L$2001,L368)&gt;1,"Duplicate?",IF(A368&gt;TODAY(),"Future date","OK"))))))))</f>
        <v/>
      </c>
      <c r="L368">
        <f>IF(A368="","",TEXT(A368,"yyyy-mm-dd")&amp;"|"&amp;B368&amp;"|"&amp;C368)</f>
        <v/>
      </c>
    </row>
    <row r="369">
      <c r="A369" s="4" t="n"/>
      <c r="D369" s="5" t="n"/>
      <c r="E369" s="5" t="n"/>
      <c r="G369" s="6">
        <f>IF(OR(A369="",D369="",E369=""),"",ROUND(MOD(E369-D369,1)*24-N(F369)/60,2))</f>
        <v/>
      </c>
      <c r="H369" s="7">
        <f>IF(C369="","",IFERROR(INDEX(Sites!$B$2:$B$501,MATCH(C369,Sites!$A$2:$A$501,0)),"?"))</f>
        <v/>
      </c>
      <c r="I369" s="8">
        <f>IF(A369="","",A369-WEEKDAY(A369,3))</f>
        <v/>
      </c>
      <c r="K369" s="7">
        <f>IF(A369="","",IF(OR(B369="",C369="",D369="",E369=""),"Missing info",IF(ISNA(MATCH(B369,Staff!$A$2:$A$101,0)),"Unknown employee",IF(H369="?","Unknown site",IF(G369&lt;=0,"Check times",IF(G369&gt;12,"Over 12h",IF(COUNTIFS($L$2:$L$2001,L369)&gt;1,"Duplicate?",IF(A369&gt;TODAY(),"Future date","OK"))))))))</f>
        <v/>
      </c>
      <c r="L369">
        <f>IF(A369="","",TEXT(A369,"yyyy-mm-dd")&amp;"|"&amp;B369&amp;"|"&amp;C369)</f>
        <v/>
      </c>
    </row>
    <row r="370">
      <c r="A370" s="4" t="n"/>
      <c r="D370" s="5" t="n"/>
      <c r="E370" s="5" t="n"/>
      <c r="G370" s="6">
        <f>IF(OR(A370="",D370="",E370=""),"",ROUND(MOD(E370-D370,1)*24-N(F370)/60,2))</f>
        <v/>
      </c>
      <c r="H370" s="7">
        <f>IF(C370="","",IFERROR(INDEX(Sites!$B$2:$B$501,MATCH(C370,Sites!$A$2:$A$501,0)),"?"))</f>
        <v/>
      </c>
      <c r="I370" s="8">
        <f>IF(A370="","",A370-WEEKDAY(A370,3))</f>
        <v/>
      </c>
      <c r="K370" s="7">
        <f>IF(A370="","",IF(OR(B370="",C370="",D370="",E370=""),"Missing info",IF(ISNA(MATCH(B370,Staff!$A$2:$A$101,0)),"Unknown employee",IF(H370="?","Unknown site",IF(G370&lt;=0,"Check times",IF(G370&gt;12,"Over 12h",IF(COUNTIFS($L$2:$L$2001,L370)&gt;1,"Duplicate?",IF(A370&gt;TODAY(),"Future date","OK"))))))))</f>
        <v/>
      </c>
      <c r="L370">
        <f>IF(A370="","",TEXT(A370,"yyyy-mm-dd")&amp;"|"&amp;B370&amp;"|"&amp;C370)</f>
        <v/>
      </c>
    </row>
    <row r="371">
      <c r="A371" s="4" t="n"/>
      <c r="D371" s="5" t="n"/>
      <c r="E371" s="5" t="n"/>
      <c r="G371" s="6">
        <f>IF(OR(A371="",D371="",E371=""),"",ROUND(MOD(E371-D371,1)*24-N(F371)/60,2))</f>
        <v/>
      </c>
      <c r="H371" s="7">
        <f>IF(C371="","",IFERROR(INDEX(Sites!$B$2:$B$501,MATCH(C371,Sites!$A$2:$A$501,0)),"?"))</f>
        <v/>
      </c>
      <c r="I371" s="8">
        <f>IF(A371="","",A371-WEEKDAY(A371,3))</f>
        <v/>
      </c>
      <c r="K371" s="7">
        <f>IF(A371="","",IF(OR(B371="",C371="",D371="",E371=""),"Missing info",IF(ISNA(MATCH(B371,Staff!$A$2:$A$101,0)),"Unknown employee",IF(H371="?","Unknown site",IF(G371&lt;=0,"Check times",IF(G371&gt;12,"Over 12h",IF(COUNTIFS($L$2:$L$2001,L371)&gt;1,"Duplicate?",IF(A371&gt;TODAY(),"Future date","OK"))))))))</f>
        <v/>
      </c>
      <c r="L371">
        <f>IF(A371="","",TEXT(A371,"yyyy-mm-dd")&amp;"|"&amp;B371&amp;"|"&amp;C371)</f>
        <v/>
      </c>
    </row>
    <row r="372">
      <c r="A372" s="4" t="n"/>
      <c r="D372" s="5" t="n"/>
      <c r="E372" s="5" t="n"/>
      <c r="G372" s="6">
        <f>IF(OR(A372="",D372="",E372=""),"",ROUND(MOD(E372-D372,1)*24-N(F372)/60,2))</f>
        <v/>
      </c>
      <c r="H372" s="7">
        <f>IF(C372="","",IFERROR(INDEX(Sites!$B$2:$B$501,MATCH(C372,Sites!$A$2:$A$501,0)),"?"))</f>
        <v/>
      </c>
      <c r="I372" s="8">
        <f>IF(A372="","",A372-WEEKDAY(A372,3))</f>
        <v/>
      </c>
      <c r="K372" s="7">
        <f>IF(A372="","",IF(OR(B372="",C372="",D372="",E372=""),"Missing info",IF(ISNA(MATCH(B372,Staff!$A$2:$A$101,0)),"Unknown employee",IF(H372="?","Unknown site",IF(G372&lt;=0,"Check times",IF(G372&gt;12,"Over 12h",IF(COUNTIFS($L$2:$L$2001,L372)&gt;1,"Duplicate?",IF(A372&gt;TODAY(),"Future date","OK"))))))))</f>
        <v/>
      </c>
      <c r="L372">
        <f>IF(A372="","",TEXT(A372,"yyyy-mm-dd")&amp;"|"&amp;B372&amp;"|"&amp;C372)</f>
        <v/>
      </c>
    </row>
    <row r="373">
      <c r="A373" s="4" t="n"/>
      <c r="D373" s="5" t="n"/>
      <c r="E373" s="5" t="n"/>
      <c r="G373" s="6">
        <f>IF(OR(A373="",D373="",E373=""),"",ROUND(MOD(E373-D373,1)*24-N(F373)/60,2))</f>
        <v/>
      </c>
      <c r="H373" s="7">
        <f>IF(C373="","",IFERROR(INDEX(Sites!$B$2:$B$501,MATCH(C373,Sites!$A$2:$A$501,0)),"?"))</f>
        <v/>
      </c>
      <c r="I373" s="8">
        <f>IF(A373="","",A373-WEEKDAY(A373,3))</f>
        <v/>
      </c>
      <c r="K373" s="7">
        <f>IF(A373="","",IF(OR(B373="",C373="",D373="",E373=""),"Missing info",IF(ISNA(MATCH(B373,Staff!$A$2:$A$101,0)),"Unknown employee",IF(H373="?","Unknown site",IF(G373&lt;=0,"Check times",IF(G373&gt;12,"Over 12h",IF(COUNTIFS($L$2:$L$2001,L373)&gt;1,"Duplicate?",IF(A373&gt;TODAY(),"Future date","OK"))))))))</f>
        <v/>
      </c>
      <c r="L373">
        <f>IF(A373="","",TEXT(A373,"yyyy-mm-dd")&amp;"|"&amp;B373&amp;"|"&amp;C373)</f>
        <v/>
      </c>
    </row>
    <row r="374">
      <c r="A374" s="4" t="n"/>
      <c r="D374" s="5" t="n"/>
      <c r="E374" s="5" t="n"/>
      <c r="G374" s="6">
        <f>IF(OR(A374="",D374="",E374=""),"",ROUND(MOD(E374-D374,1)*24-N(F374)/60,2))</f>
        <v/>
      </c>
      <c r="H374" s="7">
        <f>IF(C374="","",IFERROR(INDEX(Sites!$B$2:$B$501,MATCH(C374,Sites!$A$2:$A$501,0)),"?"))</f>
        <v/>
      </c>
      <c r="I374" s="8">
        <f>IF(A374="","",A374-WEEKDAY(A374,3))</f>
        <v/>
      </c>
      <c r="K374" s="7">
        <f>IF(A374="","",IF(OR(B374="",C374="",D374="",E374=""),"Missing info",IF(ISNA(MATCH(B374,Staff!$A$2:$A$101,0)),"Unknown employee",IF(H374="?","Unknown site",IF(G374&lt;=0,"Check times",IF(G374&gt;12,"Over 12h",IF(COUNTIFS($L$2:$L$2001,L374)&gt;1,"Duplicate?",IF(A374&gt;TODAY(),"Future date","OK"))))))))</f>
        <v/>
      </c>
      <c r="L374">
        <f>IF(A374="","",TEXT(A374,"yyyy-mm-dd")&amp;"|"&amp;B374&amp;"|"&amp;C374)</f>
        <v/>
      </c>
    </row>
    <row r="375">
      <c r="A375" s="4" t="n"/>
      <c r="D375" s="5" t="n"/>
      <c r="E375" s="5" t="n"/>
      <c r="G375" s="6">
        <f>IF(OR(A375="",D375="",E375=""),"",ROUND(MOD(E375-D375,1)*24-N(F375)/60,2))</f>
        <v/>
      </c>
      <c r="H375" s="7">
        <f>IF(C375="","",IFERROR(INDEX(Sites!$B$2:$B$501,MATCH(C375,Sites!$A$2:$A$501,0)),"?"))</f>
        <v/>
      </c>
      <c r="I375" s="8">
        <f>IF(A375="","",A375-WEEKDAY(A375,3))</f>
        <v/>
      </c>
      <c r="K375" s="7">
        <f>IF(A375="","",IF(OR(B375="",C375="",D375="",E375=""),"Missing info",IF(ISNA(MATCH(B375,Staff!$A$2:$A$101,0)),"Unknown employee",IF(H375="?","Unknown site",IF(G375&lt;=0,"Check times",IF(G375&gt;12,"Over 12h",IF(COUNTIFS($L$2:$L$2001,L375)&gt;1,"Duplicate?",IF(A375&gt;TODAY(),"Future date","OK"))))))))</f>
        <v/>
      </c>
      <c r="L375">
        <f>IF(A375="","",TEXT(A375,"yyyy-mm-dd")&amp;"|"&amp;B375&amp;"|"&amp;C375)</f>
        <v/>
      </c>
    </row>
    <row r="376">
      <c r="A376" s="4" t="n"/>
      <c r="D376" s="5" t="n"/>
      <c r="E376" s="5" t="n"/>
      <c r="G376" s="6">
        <f>IF(OR(A376="",D376="",E376=""),"",ROUND(MOD(E376-D376,1)*24-N(F376)/60,2))</f>
        <v/>
      </c>
      <c r="H376" s="7">
        <f>IF(C376="","",IFERROR(INDEX(Sites!$B$2:$B$501,MATCH(C376,Sites!$A$2:$A$501,0)),"?"))</f>
        <v/>
      </c>
      <c r="I376" s="8">
        <f>IF(A376="","",A376-WEEKDAY(A376,3))</f>
        <v/>
      </c>
      <c r="K376" s="7">
        <f>IF(A376="","",IF(OR(B376="",C376="",D376="",E376=""),"Missing info",IF(ISNA(MATCH(B376,Staff!$A$2:$A$101,0)),"Unknown employee",IF(H376="?","Unknown site",IF(G376&lt;=0,"Check times",IF(G376&gt;12,"Over 12h",IF(COUNTIFS($L$2:$L$2001,L376)&gt;1,"Duplicate?",IF(A376&gt;TODAY(),"Future date","OK"))))))))</f>
        <v/>
      </c>
      <c r="L376">
        <f>IF(A376="","",TEXT(A376,"yyyy-mm-dd")&amp;"|"&amp;B376&amp;"|"&amp;C376)</f>
        <v/>
      </c>
    </row>
    <row r="377">
      <c r="A377" s="4" t="n"/>
      <c r="D377" s="5" t="n"/>
      <c r="E377" s="5" t="n"/>
      <c r="G377" s="6">
        <f>IF(OR(A377="",D377="",E377=""),"",ROUND(MOD(E377-D377,1)*24-N(F377)/60,2))</f>
        <v/>
      </c>
      <c r="H377" s="7">
        <f>IF(C377="","",IFERROR(INDEX(Sites!$B$2:$B$501,MATCH(C377,Sites!$A$2:$A$501,0)),"?"))</f>
        <v/>
      </c>
      <c r="I377" s="8">
        <f>IF(A377="","",A377-WEEKDAY(A377,3))</f>
        <v/>
      </c>
      <c r="K377" s="7">
        <f>IF(A377="","",IF(OR(B377="",C377="",D377="",E377=""),"Missing info",IF(ISNA(MATCH(B377,Staff!$A$2:$A$101,0)),"Unknown employee",IF(H377="?","Unknown site",IF(G377&lt;=0,"Check times",IF(G377&gt;12,"Over 12h",IF(COUNTIFS($L$2:$L$2001,L377)&gt;1,"Duplicate?",IF(A377&gt;TODAY(),"Future date","OK"))))))))</f>
        <v/>
      </c>
      <c r="L377">
        <f>IF(A377="","",TEXT(A377,"yyyy-mm-dd")&amp;"|"&amp;B377&amp;"|"&amp;C377)</f>
        <v/>
      </c>
    </row>
    <row r="378">
      <c r="A378" s="4" t="n"/>
      <c r="D378" s="5" t="n"/>
      <c r="E378" s="5" t="n"/>
      <c r="G378" s="6">
        <f>IF(OR(A378="",D378="",E378=""),"",ROUND(MOD(E378-D378,1)*24-N(F378)/60,2))</f>
        <v/>
      </c>
      <c r="H378" s="7">
        <f>IF(C378="","",IFERROR(INDEX(Sites!$B$2:$B$501,MATCH(C378,Sites!$A$2:$A$501,0)),"?"))</f>
        <v/>
      </c>
      <c r="I378" s="8">
        <f>IF(A378="","",A378-WEEKDAY(A378,3))</f>
        <v/>
      </c>
      <c r="K378" s="7">
        <f>IF(A378="","",IF(OR(B378="",C378="",D378="",E378=""),"Missing info",IF(ISNA(MATCH(B378,Staff!$A$2:$A$101,0)),"Unknown employee",IF(H378="?","Unknown site",IF(G378&lt;=0,"Check times",IF(G378&gt;12,"Over 12h",IF(COUNTIFS($L$2:$L$2001,L378)&gt;1,"Duplicate?",IF(A378&gt;TODAY(),"Future date","OK"))))))))</f>
        <v/>
      </c>
      <c r="L378">
        <f>IF(A378="","",TEXT(A378,"yyyy-mm-dd")&amp;"|"&amp;B378&amp;"|"&amp;C378)</f>
        <v/>
      </c>
    </row>
    <row r="379">
      <c r="A379" s="4" t="n"/>
      <c r="D379" s="5" t="n"/>
      <c r="E379" s="5" t="n"/>
      <c r="G379" s="6">
        <f>IF(OR(A379="",D379="",E379=""),"",ROUND(MOD(E379-D379,1)*24-N(F379)/60,2))</f>
        <v/>
      </c>
      <c r="H379" s="7">
        <f>IF(C379="","",IFERROR(INDEX(Sites!$B$2:$B$501,MATCH(C379,Sites!$A$2:$A$501,0)),"?"))</f>
        <v/>
      </c>
      <c r="I379" s="8">
        <f>IF(A379="","",A379-WEEKDAY(A379,3))</f>
        <v/>
      </c>
      <c r="K379" s="7">
        <f>IF(A379="","",IF(OR(B379="",C379="",D379="",E379=""),"Missing info",IF(ISNA(MATCH(B379,Staff!$A$2:$A$101,0)),"Unknown employee",IF(H379="?","Unknown site",IF(G379&lt;=0,"Check times",IF(G379&gt;12,"Over 12h",IF(COUNTIFS($L$2:$L$2001,L379)&gt;1,"Duplicate?",IF(A379&gt;TODAY(),"Future date","OK"))))))))</f>
        <v/>
      </c>
      <c r="L379">
        <f>IF(A379="","",TEXT(A379,"yyyy-mm-dd")&amp;"|"&amp;B379&amp;"|"&amp;C379)</f>
        <v/>
      </c>
    </row>
    <row r="380">
      <c r="A380" s="4" t="n"/>
      <c r="D380" s="5" t="n"/>
      <c r="E380" s="5" t="n"/>
      <c r="G380" s="6">
        <f>IF(OR(A380="",D380="",E380=""),"",ROUND(MOD(E380-D380,1)*24-N(F380)/60,2))</f>
        <v/>
      </c>
      <c r="H380" s="7">
        <f>IF(C380="","",IFERROR(INDEX(Sites!$B$2:$B$501,MATCH(C380,Sites!$A$2:$A$501,0)),"?"))</f>
        <v/>
      </c>
      <c r="I380" s="8">
        <f>IF(A380="","",A380-WEEKDAY(A380,3))</f>
        <v/>
      </c>
      <c r="K380" s="7">
        <f>IF(A380="","",IF(OR(B380="",C380="",D380="",E380=""),"Missing info",IF(ISNA(MATCH(B380,Staff!$A$2:$A$101,0)),"Unknown employee",IF(H380="?","Unknown site",IF(G380&lt;=0,"Check times",IF(G380&gt;12,"Over 12h",IF(COUNTIFS($L$2:$L$2001,L380)&gt;1,"Duplicate?",IF(A380&gt;TODAY(),"Future date","OK"))))))))</f>
        <v/>
      </c>
      <c r="L380">
        <f>IF(A380="","",TEXT(A380,"yyyy-mm-dd")&amp;"|"&amp;B380&amp;"|"&amp;C380)</f>
        <v/>
      </c>
    </row>
    <row r="381">
      <c r="A381" s="4" t="n"/>
      <c r="D381" s="5" t="n"/>
      <c r="E381" s="5" t="n"/>
      <c r="G381" s="6">
        <f>IF(OR(A381="",D381="",E381=""),"",ROUND(MOD(E381-D381,1)*24-N(F381)/60,2))</f>
        <v/>
      </c>
      <c r="H381" s="7">
        <f>IF(C381="","",IFERROR(INDEX(Sites!$B$2:$B$501,MATCH(C381,Sites!$A$2:$A$501,0)),"?"))</f>
        <v/>
      </c>
      <c r="I381" s="8">
        <f>IF(A381="","",A381-WEEKDAY(A381,3))</f>
        <v/>
      </c>
      <c r="K381" s="7">
        <f>IF(A381="","",IF(OR(B381="",C381="",D381="",E381=""),"Missing info",IF(ISNA(MATCH(B381,Staff!$A$2:$A$101,0)),"Unknown employee",IF(H381="?","Unknown site",IF(G381&lt;=0,"Check times",IF(G381&gt;12,"Over 12h",IF(COUNTIFS($L$2:$L$2001,L381)&gt;1,"Duplicate?",IF(A381&gt;TODAY(),"Future date","OK"))))))))</f>
        <v/>
      </c>
      <c r="L381">
        <f>IF(A381="","",TEXT(A381,"yyyy-mm-dd")&amp;"|"&amp;B381&amp;"|"&amp;C381)</f>
        <v/>
      </c>
    </row>
    <row r="382">
      <c r="A382" s="4" t="n"/>
      <c r="D382" s="5" t="n"/>
      <c r="E382" s="5" t="n"/>
      <c r="G382" s="6">
        <f>IF(OR(A382="",D382="",E382=""),"",ROUND(MOD(E382-D382,1)*24-N(F382)/60,2))</f>
        <v/>
      </c>
      <c r="H382" s="7">
        <f>IF(C382="","",IFERROR(INDEX(Sites!$B$2:$B$501,MATCH(C382,Sites!$A$2:$A$501,0)),"?"))</f>
        <v/>
      </c>
      <c r="I382" s="8">
        <f>IF(A382="","",A382-WEEKDAY(A382,3))</f>
        <v/>
      </c>
      <c r="K382" s="7">
        <f>IF(A382="","",IF(OR(B382="",C382="",D382="",E382=""),"Missing info",IF(ISNA(MATCH(B382,Staff!$A$2:$A$101,0)),"Unknown employee",IF(H382="?","Unknown site",IF(G382&lt;=0,"Check times",IF(G382&gt;12,"Over 12h",IF(COUNTIFS($L$2:$L$2001,L382)&gt;1,"Duplicate?",IF(A382&gt;TODAY(),"Future date","OK"))))))))</f>
        <v/>
      </c>
      <c r="L382">
        <f>IF(A382="","",TEXT(A382,"yyyy-mm-dd")&amp;"|"&amp;B382&amp;"|"&amp;C382)</f>
        <v/>
      </c>
    </row>
    <row r="383">
      <c r="A383" s="4" t="n"/>
      <c r="D383" s="5" t="n"/>
      <c r="E383" s="5" t="n"/>
      <c r="G383" s="6">
        <f>IF(OR(A383="",D383="",E383=""),"",ROUND(MOD(E383-D383,1)*24-N(F383)/60,2))</f>
        <v/>
      </c>
      <c r="H383" s="7">
        <f>IF(C383="","",IFERROR(INDEX(Sites!$B$2:$B$501,MATCH(C383,Sites!$A$2:$A$501,0)),"?"))</f>
        <v/>
      </c>
      <c r="I383" s="8">
        <f>IF(A383="","",A383-WEEKDAY(A383,3))</f>
        <v/>
      </c>
      <c r="K383" s="7">
        <f>IF(A383="","",IF(OR(B383="",C383="",D383="",E383=""),"Missing info",IF(ISNA(MATCH(B383,Staff!$A$2:$A$101,0)),"Unknown employee",IF(H383="?","Unknown site",IF(G383&lt;=0,"Check times",IF(G383&gt;12,"Over 12h",IF(COUNTIFS($L$2:$L$2001,L383)&gt;1,"Duplicate?",IF(A383&gt;TODAY(),"Future date","OK"))))))))</f>
        <v/>
      </c>
      <c r="L383">
        <f>IF(A383="","",TEXT(A383,"yyyy-mm-dd")&amp;"|"&amp;B383&amp;"|"&amp;C383)</f>
        <v/>
      </c>
    </row>
    <row r="384">
      <c r="A384" s="4" t="n"/>
      <c r="D384" s="5" t="n"/>
      <c r="E384" s="5" t="n"/>
      <c r="G384" s="6">
        <f>IF(OR(A384="",D384="",E384=""),"",ROUND(MOD(E384-D384,1)*24-N(F384)/60,2))</f>
        <v/>
      </c>
      <c r="H384" s="7">
        <f>IF(C384="","",IFERROR(INDEX(Sites!$B$2:$B$501,MATCH(C384,Sites!$A$2:$A$501,0)),"?"))</f>
        <v/>
      </c>
      <c r="I384" s="8">
        <f>IF(A384="","",A384-WEEKDAY(A384,3))</f>
        <v/>
      </c>
      <c r="K384" s="7">
        <f>IF(A384="","",IF(OR(B384="",C384="",D384="",E384=""),"Missing info",IF(ISNA(MATCH(B384,Staff!$A$2:$A$101,0)),"Unknown employee",IF(H384="?","Unknown site",IF(G384&lt;=0,"Check times",IF(G384&gt;12,"Over 12h",IF(COUNTIFS($L$2:$L$2001,L384)&gt;1,"Duplicate?",IF(A384&gt;TODAY(),"Future date","OK"))))))))</f>
        <v/>
      </c>
      <c r="L384">
        <f>IF(A384="","",TEXT(A384,"yyyy-mm-dd")&amp;"|"&amp;B384&amp;"|"&amp;C384)</f>
        <v/>
      </c>
    </row>
    <row r="385">
      <c r="A385" s="4" t="n"/>
      <c r="D385" s="5" t="n"/>
      <c r="E385" s="5" t="n"/>
      <c r="G385" s="6">
        <f>IF(OR(A385="",D385="",E385=""),"",ROUND(MOD(E385-D385,1)*24-N(F385)/60,2))</f>
        <v/>
      </c>
      <c r="H385" s="7">
        <f>IF(C385="","",IFERROR(INDEX(Sites!$B$2:$B$501,MATCH(C385,Sites!$A$2:$A$501,0)),"?"))</f>
        <v/>
      </c>
      <c r="I385" s="8">
        <f>IF(A385="","",A385-WEEKDAY(A385,3))</f>
        <v/>
      </c>
      <c r="K385" s="7">
        <f>IF(A385="","",IF(OR(B385="",C385="",D385="",E385=""),"Missing info",IF(ISNA(MATCH(B385,Staff!$A$2:$A$101,0)),"Unknown employee",IF(H385="?","Unknown site",IF(G385&lt;=0,"Check times",IF(G385&gt;12,"Over 12h",IF(COUNTIFS($L$2:$L$2001,L385)&gt;1,"Duplicate?",IF(A385&gt;TODAY(),"Future date","OK"))))))))</f>
        <v/>
      </c>
      <c r="L385">
        <f>IF(A385="","",TEXT(A385,"yyyy-mm-dd")&amp;"|"&amp;B385&amp;"|"&amp;C385)</f>
        <v/>
      </c>
    </row>
    <row r="386">
      <c r="A386" s="4" t="n"/>
      <c r="D386" s="5" t="n"/>
      <c r="E386" s="5" t="n"/>
      <c r="G386" s="6">
        <f>IF(OR(A386="",D386="",E386=""),"",ROUND(MOD(E386-D386,1)*24-N(F386)/60,2))</f>
        <v/>
      </c>
      <c r="H386" s="7">
        <f>IF(C386="","",IFERROR(INDEX(Sites!$B$2:$B$501,MATCH(C386,Sites!$A$2:$A$501,0)),"?"))</f>
        <v/>
      </c>
      <c r="I386" s="8">
        <f>IF(A386="","",A386-WEEKDAY(A386,3))</f>
        <v/>
      </c>
      <c r="K386" s="7">
        <f>IF(A386="","",IF(OR(B386="",C386="",D386="",E386=""),"Missing info",IF(ISNA(MATCH(B386,Staff!$A$2:$A$101,0)),"Unknown employee",IF(H386="?","Unknown site",IF(G386&lt;=0,"Check times",IF(G386&gt;12,"Over 12h",IF(COUNTIFS($L$2:$L$2001,L386)&gt;1,"Duplicate?",IF(A386&gt;TODAY(),"Future date","OK"))))))))</f>
        <v/>
      </c>
      <c r="L386">
        <f>IF(A386="","",TEXT(A386,"yyyy-mm-dd")&amp;"|"&amp;B386&amp;"|"&amp;C386)</f>
        <v/>
      </c>
    </row>
    <row r="387">
      <c r="A387" s="4" t="n"/>
      <c r="D387" s="5" t="n"/>
      <c r="E387" s="5" t="n"/>
      <c r="G387" s="6">
        <f>IF(OR(A387="",D387="",E387=""),"",ROUND(MOD(E387-D387,1)*24-N(F387)/60,2))</f>
        <v/>
      </c>
      <c r="H387" s="7">
        <f>IF(C387="","",IFERROR(INDEX(Sites!$B$2:$B$501,MATCH(C387,Sites!$A$2:$A$501,0)),"?"))</f>
        <v/>
      </c>
      <c r="I387" s="8">
        <f>IF(A387="","",A387-WEEKDAY(A387,3))</f>
        <v/>
      </c>
      <c r="K387" s="7">
        <f>IF(A387="","",IF(OR(B387="",C387="",D387="",E387=""),"Missing info",IF(ISNA(MATCH(B387,Staff!$A$2:$A$101,0)),"Unknown employee",IF(H387="?","Unknown site",IF(G387&lt;=0,"Check times",IF(G387&gt;12,"Over 12h",IF(COUNTIFS($L$2:$L$2001,L387)&gt;1,"Duplicate?",IF(A387&gt;TODAY(),"Future date","OK"))))))))</f>
        <v/>
      </c>
      <c r="L387">
        <f>IF(A387="","",TEXT(A387,"yyyy-mm-dd")&amp;"|"&amp;B387&amp;"|"&amp;C387)</f>
        <v/>
      </c>
    </row>
    <row r="388">
      <c r="A388" s="4" t="n"/>
      <c r="D388" s="5" t="n"/>
      <c r="E388" s="5" t="n"/>
      <c r="G388" s="6">
        <f>IF(OR(A388="",D388="",E388=""),"",ROUND(MOD(E388-D388,1)*24-N(F388)/60,2))</f>
        <v/>
      </c>
      <c r="H388" s="7">
        <f>IF(C388="","",IFERROR(INDEX(Sites!$B$2:$B$501,MATCH(C388,Sites!$A$2:$A$501,0)),"?"))</f>
        <v/>
      </c>
      <c r="I388" s="8">
        <f>IF(A388="","",A388-WEEKDAY(A388,3))</f>
        <v/>
      </c>
      <c r="K388" s="7">
        <f>IF(A388="","",IF(OR(B388="",C388="",D388="",E388=""),"Missing info",IF(ISNA(MATCH(B388,Staff!$A$2:$A$101,0)),"Unknown employee",IF(H388="?","Unknown site",IF(G388&lt;=0,"Check times",IF(G388&gt;12,"Over 12h",IF(COUNTIFS($L$2:$L$2001,L388)&gt;1,"Duplicate?",IF(A388&gt;TODAY(),"Future date","OK"))))))))</f>
        <v/>
      </c>
      <c r="L388">
        <f>IF(A388="","",TEXT(A388,"yyyy-mm-dd")&amp;"|"&amp;B388&amp;"|"&amp;C388)</f>
        <v/>
      </c>
    </row>
    <row r="389">
      <c r="A389" s="4" t="n"/>
      <c r="D389" s="5" t="n"/>
      <c r="E389" s="5" t="n"/>
      <c r="G389" s="6">
        <f>IF(OR(A389="",D389="",E389=""),"",ROUND(MOD(E389-D389,1)*24-N(F389)/60,2))</f>
        <v/>
      </c>
      <c r="H389" s="7">
        <f>IF(C389="","",IFERROR(INDEX(Sites!$B$2:$B$501,MATCH(C389,Sites!$A$2:$A$501,0)),"?"))</f>
        <v/>
      </c>
      <c r="I389" s="8">
        <f>IF(A389="","",A389-WEEKDAY(A389,3))</f>
        <v/>
      </c>
      <c r="K389" s="7">
        <f>IF(A389="","",IF(OR(B389="",C389="",D389="",E389=""),"Missing info",IF(ISNA(MATCH(B389,Staff!$A$2:$A$101,0)),"Unknown employee",IF(H389="?","Unknown site",IF(G389&lt;=0,"Check times",IF(G389&gt;12,"Over 12h",IF(COUNTIFS($L$2:$L$2001,L389)&gt;1,"Duplicate?",IF(A389&gt;TODAY(),"Future date","OK"))))))))</f>
        <v/>
      </c>
      <c r="L389">
        <f>IF(A389="","",TEXT(A389,"yyyy-mm-dd")&amp;"|"&amp;B389&amp;"|"&amp;C389)</f>
        <v/>
      </c>
    </row>
    <row r="390">
      <c r="A390" s="4" t="n"/>
      <c r="D390" s="5" t="n"/>
      <c r="E390" s="5" t="n"/>
      <c r="G390" s="6">
        <f>IF(OR(A390="",D390="",E390=""),"",ROUND(MOD(E390-D390,1)*24-N(F390)/60,2))</f>
        <v/>
      </c>
      <c r="H390" s="7">
        <f>IF(C390="","",IFERROR(INDEX(Sites!$B$2:$B$501,MATCH(C390,Sites!$A$2:$A$501,0)),"?"))</f>
        <v/>
      </c>
      <c r="I390" s="8">
        <f>IF(A390="","",A390-WEEKDAY(A390,3))</f>
        <v/>
      </c>
      <c r="K390" s="7">
        <f>IF(A390="","",IF(OR(B390="",C390="",D390="",E390=""),"Missing info",IF(ISNA(MATCH(B390,Staff!$A$2:$A$101,0)),"Unknown employee",IF(H390="?","Unknown site",IF(G390&lt;=0,"Check times",IF(G390&gt;12,"Over 12h",IF(COUNTIFS($L$2:$L$2001,L390)&gt;1,"Duplicate?",IF(A390&gt;TODAY(),"Future date","OK"))))))))</f>
        <v/>
      </c>
      <c r="L390">
        <f>IF(A390="","",TEXT(A390,"yyyy-mm-dd")&amp;"|"&amp;B390&amp;"|"&amp;C390)</f>
        <v/>
      </c>
    </row>
    <row r="391">
      <c r="A391" s="4" t="n"/>
      <c r="D391" s="5" t="n"/>
      <c r="E391" s="5" t="n"/>
      <c r="G391" s="6">
        <f>IF(OR(A391="",D391="",E391=""),"",ROUND(MOD(E391-D391,1)*24-N(F391)/60,2))</f>
        <v/>
      </c>
      <c r="H391" s="7">
        <f>IF(C391="","",IFERROR(INDEX(Sites!$B$2:$B$501,MATCH(C391,Sites!$A$2:$A$501,0)),"?"))</f>
        <v/>
      </c>
      <c r="I391" s="8">
        <f>IF(A391="","",A391-WEEKDAY(A391,3))</f>
        <v/>
      </c>
      <c r="K391" s="7">
        <f>IF(A391="","",IF(OR(B391="",C391="",D391="",E391=""),"Missing info",IF(ISNA(MATCH(B391,Staff!$A$2:$A$101,0)),"Unknown employee",IF(H391="?","Unknown site",IF(G391&lt;=0,"Check times",IF(G391&gt;12,"Over 12h",IF(COUNTIFS($L$2:$L$2001,L391)&gt;1,"Duplicate?",IF(A391&gt;TODAY(),"Future date","OK"))))))))</f>
        <v/>
      </c>
      <c r="L391">
        <f>IF(A391="","",TEXT(A391,"yyyy-mm-dd")&amp;"|"&amp;B391&amp;"|"&amp;C391)</f>
        <v/>
      </c>
    </row>
    <row r="392">
      <c r="A392" s="4" t="n"/>
      <c r="D392" s="5" t="n"/>
      <c r="E392" s="5" t="n"/>
      <c r="G392" s="6">
        <f>IF(OR(A392="",D392="",E392=""),"",ROUND(MOD(E392-D392,1)*24-N(F392)/60,2))</f>
        <v/>
      </c>
      <c r="H392" s="7">
        <f>IF(C392="","",IFERROR(INDEX(Sites!$B$2:$B$501,MATCH(C392,Sites!$A$2:$A$501,0)),"?"))</f>
        <v/>
      </c>
      <c r="I392" s="8">
        <f>IF(A392="","",A392-WEEKDAY(A392,3))</f>
        <v/>
      </c>
      <c r="K392" s="7">
        <f>IF(A392="","",IF(OR(B392="",C392="",D392="",E392=""),"Missing info",IF(ISNA(MATCH(B392,Staff!$A$2:$A$101,0)),"Unknown employee",IF(H392="?","Unknown site",IF(G392&lt;=0,"Check times",IF(G392&gt;12,"Over 12h",IF(COUNTIFS($L$2:$L$2001,L392)&gt;1,"Duplicate?",IF(A392&gt;TODAY(),"Future date","OK"))))))))</f>
        <v/>
      </c>
      <c r="L392">
        <f>IF(A392="","",TEXT(A392,"yyyy-mm-dd")&amp;"|"&amp;B392&amp;"|"&amp;C392)</f>
        <v/>
      </c>
    </row>
    <row r="393">
      <c r="A393" s="4" t="n"/>
      <c r="D393" s="5" t="n"/>
      <c r="E393" s="5" t="n"/>
      <c r="G393" s="6">
        <f>IF(OR(A393="",D393="",E393=""),"",ROUND(MOD(E393-D393,1)*24-N(F393)/60,2))</f>
        <v/>
      </c>
      <c r="H393" s="7">
        <f>IF(C393="","",IFERROR(INDEX(Sites!$B$2:$B$501,MATCH(C393,Sites!$A$2:$A$501,0)),"?"))</f>
        <v/>
      </c>
      <c r="I393" s="8">
        <f>IF(A393="","",A393-WEEKDAY(A393,3))</f>
        <v/>
      </c>
      <c r="K393" s="7">
        <f>IF(A393="","",IF(OR(B393="",C393="",D393="",E393=""),"Missing info",IF(ISNA(MATCH(B393,Staff!$A$2:$A$101,0)),"Unknown employee",IF(H393="?","Unknown site",IF(G393&lt;=0,"Check times",IF(G393&gt;12,"Over 12h",IF(COUNTIFS($L$2:$L$2001,L393)&gt;1,"Duplicate?",IF(A393&gt;TODAY(),"Future date","OK"))))))))</f>
        <v/>
      </c>
      <c r="L393">
        <f>IF(A393="","",TEXT(A393,"yyyy-mm-dd")&amp;"|"&amp;B393&amp;"|"&amp;C393)</f>
        <v/>
      </c>
    </row>
    <row r="394">
      <c r="A394" s="4" t="n"/>
      <c r="D394" s="5" t="n"/>
      <c r="E394" s="5" t="n"/>
      <c r="G394" s="6">
        <f>IF(OR(A394="",D394="",E394=""),"",ROUND(MOD(E394-D394,1)*24-N(F394)/60,2))</f>
        <v/>
      </c>
      <c r="H394" s="7">
        <f>IF(C394="","",IFERROR(INDEX(Sites!$B$2:$B$501,MATCH(C394,Sites!$A$2:$A$501,0)),"?"))</f>
        <v/>
      </c>
      <c r="I394" s="8">
        <f>IF(A394="","",A394-WEEKDAY(A394,3))</f>
        <v/>
      </c>
      <c r="K394" s="7">
        <f>IF(A394="","",IF(OR(B394="",C394="",D394="",E394=""),"Missing info",IF(ISNA(MATCH(B394,Staff!$A$2:$A$101,0)),"Unknown employee",IF(H394="?","Unknown site",IF(G394&lt;=0,"Check times",IF(G394&gt;12,"Over 12h",IF(COUNTIFS($L$2:$L$2001,L394)&gt;1,"Duplicate?",IF(A394&gt;TODAY(),"Future date","OK"))))))))</f>
        <v/>
      </c>
      <c r="L394">
        <f>IF(A394="","",TEXT(A394,"yyyy-mm-dd")&amp;"|"&amp;B394&amp;"|"&amp;C394)</f>
        <v/>
      </c>
    </row>
    <row r="395">
      <c r="A395" s="4" t="n"/>
      <c r="D395" s="5" t="n"/>
      <c r="E395" s="5" t="n"/>
      <c r="G395" s="6">
        <f>IF(OR(A395="",D395="",E395=""),"",ROUND(MOD(E395-D395,1)*24-N(F395)/60,2))</f>
        <v/>
      </c>
      <c r="H395" s="7">
        <f>IF(C395="","",IFERROR(INDEX(Sites!$B$2:$B$501,MATCH(C395,Sites!$A$2:$A$501,0)),"?"))</f>
        <v/>
      </c>
      <c r="I395" s="8">
        <f>IF(A395="","",A395-WEEKDAY(A395,3))</f>
        <v/>
      </c>
      <c r="K395" s="7">
        <f>IF(A395="","",IF(OR(B395="",C395="",D395="",E395=""),"Missing info",IF(ISNA(MATCH(B395,Staff!$A$2:$A$101,0)),"Unknown employee",IF(H395="?","Unknown site",IF(G395&lt;=0,"Check times",IF(G395&gt;12,"Over 12h",IF(COUNTIFS($L$2:$L$2001,L395)&gt;1,"Duplicate?",IF(A395&gt;TODAY(),"Future date","OK"))))))))</f>
        <v/>
      </c>
      <c r="L395">
        <f>IF(A395="","",TEXT(A395,"yyyy-mm-dd")&amp;"|"&amp;B395&amp;"|"&amp;C395)</f>
        <v/>
      </c>
    </row>
    <row r="396">
      <c r="A396" s="4" t="n"/>
      <c r="D396" s="5" t="n"/>
      <c r="E396" s="5" t="n"/>
      <c r="G396" s="6">
        <f>IF(OR(A396="",D396="",E396=""),"",ROUND(MOD(E396-D396,1)*24-N(F396)/60,2))</f>
        <v/>
      </c>
      <c r="H396" s="7">
        <f>IF(C396="","",IFERROR(INDEX(Sites!$B$2:$B$501,MATCH(C396,Sites!$A$2:$A$501,0)),"?"))</f>
        <v/>
      </c>
      <c r="I396" s="8">
        <f>IF(A396="","",A396-WEEKDAY(A396,3))</f>
        <v/>
      </c>
      <c r="K396" s="7">
        <f>IF(A396="","",IF(OR(B396="",C396="",D396="",E396=""),"Missing info",IF(ISNA(MATCH(B396,Staff!$A$2:$A$101,0)),"Unknown employee",IF(H396="?","Unknown site",IF(G396&lt;=0,"Check times",IF(G396&gt;12,"Over 12h",IF(COUNTIFS($L$2:$L$2001,L396)&gt;1,"Duplicate?",IF(A396&gt;TODAY(),"Future date","OK"))))))))</f>
        <v/>
      </c>
      <c r="L396">
        <f>IF(A396="","",TEXT(A396,"yyyy-mm-dd")&amp;"|"&amp;B396&amp;"|"&amp;C396)</f>
        <v/>
      </c>
    </row>
    <row r="397">
      <c r="A397" s="4" t="n"/>
      <c r="D397" s="5" t="n"/>
      <c r="E397" s="5" t="n"/>
      <c r="G397" s="6">
        <f>IF(OR(A397="",D397="",E397=""),"",ROUND(MOD(E397-D397,1)*24-N(F397)/60,2))</f>
        <v/>
      </c>
      <c r="H397" s="7">
        <f>IF(C397="","",IFERROR(INDEX(Sites!$B$2:$B$501,MATCH(C397,Sites!$A$2:$A$501,0)),"?"))</f>
        <v/>
      </c>
      <c r="I397" s="8">
        <f>IF(A397="","",A397-WEEKDAY(A397,3))</f>
        <v/>
      </c>
      <c r="K397" s="7">
        <f>IF(A397="","",IF(OR(B397="",C397="",D397="",E397=""),"Missing info",IF(ISNA(MATCH(B397,Staff!$A$2:$A$101,0)),"Unknown employee",IF(H397="?","Unknown site",IF(G397&lt;=0,"Check times",IF(G397&gt;12,"Over 12h",IF(COUNTIFS($L$2:$L$2001,L397)&gt;1,"Duplicate?",IF(A397&gt;TODAY(),"Future date","OK"))))))))</f>
        <v/>
      </c>
      <c r="L397">
        <f>IF(A397="","",TEXT(A397,"yyyy-mm-dd")&amp;"|"&amp;B397&amp;"|"&amp;C397)</f>
        <v/>
      </c>
    </row>
    <row r="398">
      <c r="A398" s="4" t="n"/>
      <c r="D398" s="5" t="n"/>
      <c r="E398" s="5" t="n"/>
      <c r="G398" s="6">
        <f>IF(OR(A398="",D398="",E398=""),"",ROUND(MOD(E398-D398,1)*24-N(F398)/60,2))</f>
        <v/>
      </c>
      <c r="H398" s="7">
        <f>IF(C398="","",IFERROR(INDEX(Sites!$B$2:$B$501,MATCH(C398,Sites!$A$2:$A$501,0)),"?"))</f>
        <v/>
      </c>
      <c r="I398" s="8">
        <f>IF(A398="","",A398-WEEKDAY(A398,3))</f>
        <v/>
      </c>
      <c r="K398" s="7">
        <f>IF(A398="","",IF(OR(B398="",C398="",D398="",E398=""),"Missing info",IF(ISNA(MATCH(B398,Staff!$A$2:$A$101,0)),"Unknown employee",IF(H398="?","Unknown site",IF(G398&lt;=0,"Check times",IF(G398&gt;12,"Over 12h",IF(COUNTIFS($L$2:$L$2001,L398)&gt;1,"Duplicate?",IF(A398&gt;TODAY(),"Future date","OK"))))))))</f>
        <v/>
      </c>
      <c r="L398">
        <f>IF(A398="","",TEXT(A398,"yyyy-mm-dd")&amp;"|"&amp;B398&amp;"|"&amp;C398)</f>
        <v/>
      </c>
    </row>
    <row r="399">
      <c r="A399" s="4" t="n"/>
      <c r="D399" s="5" t="n"/>
      <c r="E399" s="5" t="n"/>
      <c r="G399" s="6">
        <f>IF(OR(A399="",D399="",E399=""),"",ROUND(MOD(E399-D399,1)*24-N(F399)/60,2))</f>
        <v/>
      </c>
      <c r="H399" s="7">
        <f>IF(C399="","",IFERROR(INDEX(Sites!$B$2:$B$501,MATCH(C399,Sites!$A$2:$A$501,0)),"?"))</f>
        <v/>
      </c>
      <c r="I399" s="8">
        <f>IF(A399="","",A399-WEEKDAY(A399,3))</f>
        <v/>
      </c>
      <c r="K399" s="7">
        <f>IF(A399="","",IF(OR(B399="",C399="",D399="",E399=""),"Missing info",IF(ISNA(MATCH(B399,Staff!$A$2:$A$101,0)),"Unknown employee",IF(H399="?","Unknown site",IF(G399&lt;=0,"Check times",IF(G399&gt;12,"Over 12h",IF(COUNTIFS($L$2:$L$2001,L399)&gt;1,"Duplicate?",IF(A399&gt;TODAY(),"Future date","OK"))))))))</f>
        <v/>
      </c>
      <c r="L399">
        <f>IF(A399="","",TEXT(A399,"yyyy-mm-dd")&amp;"|"&amp;B399&amp;"|"&amp;C399)</f>
        <v/>
      </c>
    </row>
    <row r="400">
      <c r="A400" s="4" t="n"/>
      <c r="D400" s="5" t="n"/>
      <c r="E400" s="5" t="n"/>
      <c r="G400" s="6">
        <f>IF(OR(A400="",D400="",E400=""),"",ROUND(MOD(E400-D400,1)*24-N(F400)/60,2))</f>
        <v/>
      </c>
      <c r="H400" s="7">
        <f>IF(C400="","",IFERROR(INDEX(Sites!$B$2:$B$501,MATCH(C400,Sites!$A$2:$A$501,0)),"?"))</f>
        <v/>
      </c>
      <c r="I400" s="8">
        <f>IF(A400="","",A400-WEEKDAY(A400,3))</f>
        <v/>
      </c>
      <c r="K400" s="7">
        <f>IF(A400="","",IF(OR(B400="",C400="",D400="",E400=""),"Missing info",IF(ISNA(MATCH(B400,Staff!$A$2:$A$101,0)),"Unknown employee",IF(H400="?","Unknown site",IF(G400&lt;=0,"Check times",IF(G400&gt;12,"Over 12h",IF(COUNTIFS($L$2:$L$2001,L400)&gt;1,"Duplicate?",IF(A400&gt;TODAY(),"Future date","OK"))))))))</f>
        <v/>
      </c>
      <c r="L400">
        <f>IF(A400="","",TEXT(A400,"yyyy-mm-dd")&amp;"|"&amp;B400&amp;"|"&amp;C400)</f>
        <v/>
      </c>
    </row>
    <row r="401">
      <c r="A401" s="4" t="n"/>
      <c r="D401" s="5" t="n"/>
      <c r="E401" s="5" t="n"/>
      <c r="G401" s="6">
        <f>IF(OR(A401="",D401="",E401=""),"",ROUND(MOD(E401-D401,1)*24-N(F401)/60,2))</f>
        <v/>
      </c>
      <c r="H401" s="7">
        <f>IF(C401="","",IFERROR(INDEX(Sites!$B$2:$B$501,MATCH(C401,Sites!$A$2:$A$501,0)),"?"))</f>
        <v/>
      </c>
      <c r="I401" s="8">
        <f>IF(A401="","",A401-WEEKDAY(A401,3))</f>
        <v/>
      </c>
      <c r="K401" s="7">
        <f>IF(A401="","",IF(OR(B401="",C401="",D401="",E401=""),"Missing info",IF(ISNA(MATCH(B401,Staff!$A$2:$A$101,0)),"Unknown employee",IF(H401="?","Unknown site",IF(G401&lt;=0,"Check times",IF(G401&gt;12,"Over 12h",IF(COUNTIFS($L$2:$L$2001,L401)&gt;1,"Duplicate?",IF(A401&gt;TODAY(),"Future date","OK"))))))))</f>
        <v/>
      </c>
      <c r="L401">
        <f>IF(A401="","",TEXT(A401,"yyyy-mm-dd")&amp;"|"&amp;B401&amp;"|"&amp;C401)</f>
        <v/>
      </c>
    </row>
    <row r="402">
      <c r="A402" s="4" t="n"/>
      <c r="D402" s="5" t="n"/>
      <c r="E402" s="5" t="n"/>
      <c r="G402" s="6">
        <f>IF(OR(A402="",D402="",E402=""),"",ROUND(MOD(E402-D402,1)*24-N(F402)/60,2))</f>
        <v/>
      </c>
      <c r="H402" s="7">
        <f>IF(C402="","",IFERROR(INDEX(Sites!$B$2:$B$501,MATCH(C402,Sites!$A$2:$A$501,0)),"?"))</f>
        <v/>
      </c>
      <c r="I402" s="8">
        <f>IF(A402="","",A402-WEEKDAY(A402,3))</f>
        <v/>
      </c>
      <c r="K402" s="7">
        <f>IF(A402="","",IF(OR(B402="",C402="",D402="",E402=""),"Missing info",IF(ISNA(MATCH(B402,Staff!$A$2:$A$101,0)),"Unknown employee",IF(H402="?","Unknown site",IF(G402&lt;=0,"Check times",IF(G402&gt;12,"Over 12h",IF(COUNTIFS($L$2:$L$2001,L402)&gt;1,"Duplicate?",IF(A402&gt;TODAY(),"Future date","OK"))))))))</f>
        <v/>
      </c>
      <c r="L402">
        <f>IF(A402="","",TEXT(A402,"yyyy-mm-dd")&amp;"|"&amp;B402&amp;"|"&amp;C402)</f>
        <v/>
      </c>
    </row>
    <row r="403">
      <c r="A403" s="4" t="n"/>
      <c r="D403" s="5" t="n"/>
      <c r="E403" s="5" t="n"/>
      <c r="G403" s="6">
        <f>IF(OR(A403="",D403="",E403=""),"",ROUND(MOD(E403-D403,1)*24-N(F403)/60,2))</f>
        <v/>
      </c>
      <c r="H403" s="7">
        <f>IF(C403="","",IFERROR(INDEX(Sites!$B$2:$B$501,MATCH(C403,Sites!$A$2:$A$501,0)),"?"))</f>
        <v/>
      </c>
      <c r="I403" s="8">
        <f>IF(A403="","",A403-WEEKDAY(A403,3))</f>
        <v/>
      </c>
      <c r="K403" s="7">
        <f>IF(A403="","",IF(OR(B403="",C403="",D403="",E403=""),"Missing info",IF(ISNA(MATCH(B403,Staff!$A$2:$A$101,0)),"Unknown employee",IF(H403="?","Unknown site",IF(G403&lt;=0,"Check times",IF(G403&gt;12,"Over 12h",IF(COUNTIFS($L$2:$L$2001,L403)&gt;1,"Duplicate?",IF(A403&gt;TODAY(),"Future date","OK"))))))))</f>
        <v/>
      </c>
      <c r="L403">
        <f>IF(A403="","",TEXT(A403,"yyyy-mm-dd")&amp;"|"&amp;B403&amp;"|"&amp;C403)</f>
        <v/>
      </c>
    </row>
    <row r="404">
      <c r="A404" s="4" t="n"/>
      <c r="D404" s="5" t="n"/>
      <c r="E404" s="5" t="n"/>
      <c r="G404" s="6">
        <f>IF(OR(A404="",D404="",E404=""),"",ROUND(MOD(E404-D404,1)*24-N(F404)/60,2))</f>
        <v/>
      </c>
      <c r="H404" s="7">
        <f>IF(C404="","",IFERROR(INDEX(Sites!$B$2:$B$501,MATCH(C404,Sites!$A$2:$A$501,0)),"?"))</f>
        <v/>
      </c>
      <c r="I404" s="8">
        <f>IF(A404="","",A404-WEEKDAY(A404,3))</f>
        <v/>
      </c>
      <c r="K404" s="7">
        <f>IF(A404="","",IF(OR(B404="",C404="",D404="",E404=""),"Missing info",IF(ISNA(MATCH(B404,Staff!$A$2:$A$101,0)),"Unknown employee",IF(H404="?","Unknown site",IF(G404&lt;=0,"Check times",IF(G404&gt;12,"Over 12h",IF(COUNTIFS($L$2:$L$2001,L404)&gt;1,"Duplicate?",IF(A404&gt;TODAY(),"Future date","OK"))))))))</f>
        <v/>
      </c>
      <c r="L404">
        <f>IF(A404="","",TEXT(A404,"yyyy-mm-dd")&amp;"|"&amp;B404&amp;"|"&amp;C404)</f>
        <v/>
      </c>
    </row>
    <row r="405">
      <c r="A405" s="4" t="n"/>
      <c r="D405" s="5" t="n"/>
      <c r="E405" s="5" t="n"/>
      <c r="G405" s="6">
        <f>IF(OR(A405="",D405="",E405=""),"",ROUND(MOD(E405-D405,1)*24-N(F405)/60,2))</f>
        <v/>
      </c>
      <c r="H405" s="7">
        <f>IF(C405="","",IFERROR(INDEX(Sites!$B$2:$B$501,MATCH(C405,Sites!$A$2:$A$501,0)),"?"))</f>
        <v/>
      </c>
      <c r="I405" s="8">
        <f>IF(A405="","",A405-WEEKDAY(A405,3))</f>
        <v/>
      </c>
      <c r="K405" s="7">
        <f>IF(A405="","",IF(OR(B405="",C405="",D405="",E405=""),"Missing info",IF(ISNA(MATCH(B405,Staff!$A$2:$A$101,0)),"Unknown employee",IF(H405="?","Unknown site",IF(G405&lt;=0,"Check times",IF(G405&gt;12,"Over 12h",IF(COUNTIFS($L$2:$L$2001,L405)&gt;1,"Duplicate?",IF(A405&gt;TODAY(),"Future date","OK"))))))))</f>
        <v/>
      </c>
      <c r="L405">
        <f>IF(A405="","",TEXT(A405,"yyyy-mm-dd")&amp;"|"&amp;B405&amp;"|"&amp;C405)</f>
        <v/>
      </c>
    </row>
    <row r="406">
      <c r="A406" s="4" t="n"/>
      <c r="D406" s="5" t="n"/>
      <c r="E406" s="5" t="n"/>
      <c r="G406" s="6">
        <f>IF(OR(A406="",D406="",E406=""),"",ROUND(MOD(E406-D406,1)*24-N(F406)/60,2))</f>
        <v/>
      </c>
      <c r="H406" s="7">
        <f>IF(C406="","",IFERROR(INDEX(Sites!$B$2:$B$501,MATCH(C406,Sites!$A$2:$A$501,0)),"?"))</f>
        <v/>
      </c>
      <c r="I406" s="8">
        <f>IF(A406="","",A406-WEEKDAY(A406,3))</f>
        <v/>
      </c>
      <c r="K406" s="7">
        <f>IF(A406="","",IF(OR(B406="",C406="",D406="",E406=""),"Missing info",IF(ISNA(MATCH(B406,Staff!$A$2:$A$101,0)),"Unknown employee",IF(H406="?","Unknown site",IF(G406&lt;=0,"Check times",IF(G406&gt;12,"Over 12h",IF(COUNTIFS($L$2:$L$2001,L406)&gt;1,"Duplicate?",IF(A406&gt;TODAY(),"Future date","OK"))))))))</f>
        <v/>
      </c>
      <c r="L406">
        <f>IF(A406="","",TEXT(A406,"yyyy-mm-dd")&amp;"|"&amp;B406&amp;"|"&amp;C406)</f>
        <v/>
      </c>
    </row>
    <row r="407">
      <c r="A407" s="4" t="n"/>
      <c r="D407" s="5" t="n"/>
      <c r="E407" s="5" t="n"/>
      <c r="G407" s="6">
        <f>IF(OR(A407="",D407="",E407=""),"",ROUND(MOD(E407-D407,1)*24-N(F407)/60,2))</f>
        <v/>
      </c>
      <c r="H407" s="7">
        <f>IF(C407="","",IFERROR(INDEX(Sites!$B$2:$B$501,MATCH(C407,Sites!$A$2:$A$501,0)),"?"))</f>
        <v/>
      </c>
      <c r="I407" s="8">
        <f>IF(A407="","",A407-WEEKDAY(A407,3))</f>
        <v/>
      </c>
      <c r="K407" s="7">
        <f>IF(A407="","",IF(OR(B407="",C407="",D407="",E407=""),"Missing info",IF(ISNA(MATCH(B407,Staff!$A$2:$A$101,0)),"Unknown employee",IF(H407="?","Unknown site",IF(G407&lt;=0,"Check times",IF(G407&gt;12,"Over 12h",IF(COUNTIFS($L$2:$L$2001,L407)&gt;1,"Duplicate?",IF(A407&gt;TODAY(),"Future date","OK"))))))))</f>
        <v/>
      </c>
      <c r="L407">
        <f>IF(A407="","",TEXT(A407,"yyyy-mm-dd")&amp;"|"&amp;B407&amp;"|"&amp;C407)</f>
        <v/>
      </c>
    </row>
    <row r="408">
      <c r="A408" s="4" t="n"/>
      <c r="D408" s="5" t="n"/>
      <c r="E408" s="5" t="n"/>
      <c r="G408" s="6">
        <f>IF(OR(A408="",D408="",E408=""),"",ROUND(MOD(E408-D408,1)*24-N(F408)/60,2))</f>
        <v/>
      </c>
      <c r="H408" s="7">
        <f>IF(C408="","",IFERROR(INDEX(Sites!$B$2:$B$501,MATCH(C408,Sites!$A$2:$A$501,0)),"?"))</f>
        <v/>
      </c>
      <c r="I408" s="8">
        <f>IF(A408="","",A408-WEEKDAY(A408,3))</f>
        <v/>
      </c>
      <c r="K408" s="7">
        <f>IF(A408="","",IF(OR(B408="",C408="",D408="",E408=""),"Missing info",IF(ISNA(MATCH(B408,Staff!$A$2:$A$101,0)),"Unknown employee",IF(H408="?","Unknown site",IF(G408&lt;=0,"Check times",IF(G408&gt;12,"Over 12h",IF(COUNTIFS($L$2:$L$2001,L408)&gt;1,"Duplicate?",IF(A408&gt;TODAY(),"Future date","OK"))))))))</f>
        <v/>
      </c>
      <c r="L408">
        <f>IF(A408="","",TEXT(A408,"yyyy-mm-dd")&amp;"|"&amp;B408&amp;"|"&amp;C408)</f>
        <v/>
      </c>
    </row>
    <row r="409">
      <c r="A409" s="4" t="n"/>
      <c r="D409" s="5" t="n"/>
      <c r="E409" s="5" t="n"/>
      <c r="G409" s="6">
        <f>IF(OR(A409="",D409="",E409=""),"",ROUND(MOD(E409-D409,1)*24-N(F409)/60,2))</f>
        <v/>
      </c>
      <c r="H409" s="7">
        <f>IF(C409="","",IFERROR(INDEX(Sites!$B$2:$B$501,MATCH(C409,Sites!$A$2:$A$501,0)),"?"))</f>
        <v/>
      </c>
      <c r="I409" s="8">
        <f>IF(A409="","",A409-WEEKDAY(A409,3))</f>
        <v/>
      </c>
      <c r="K409" s="7">
        <f>IF(A409="","",IF(OR(B409="",C409="",D409="",E409=""),"Missing info",IF(ISNA(MATCH(B409,Staff!$A$2:$A$101,0)),"Unknown employee",IF(H409="?","Unknown site",IF(G409&lt;=0,"Check times",IF(G409&gt;12,"Over 12h",IF(COUNTIFS($L$2:$L$2001,L409)&gt;1,"Duplicate?",IF(A409&gt;TODAY(),"Future date","OK"))))))))</f>
        <v/>
      </c>
      <c r="L409">
        <f>IF(A409="","",TEXT(A409,"yyyy-mm-dd")&amp;"|"&amp;B409&amp;"|"&amp;C409)</f>
        <v/>
      </c>
    </row>
    <row r="410">
      <c r="A410" s="4" t="n"/>
      <c r="D410" s="5" t="n"/>
      <c r="E410" s="5" t="n"/>
      <c r="G410" s="6">
        <f>IF(OR(A410="",D410="",E410=""),"",ROUND(MOD(E410-D410,1)*24-N(F410)/60,2))</f>
        <v/>
      </c>
      <c r="H410" s="7">
        <f>IF(C410="","",IFERROR(INDEX(Sites!$B$2:$B$501,MATCH(C410,Sites!$A$2:$A$501,0)),"?"))</f>
        <v/>
      </c>
      <c r="I410" s="8">
        <f>IF(A410="","",A410-WEEKDAY(A410,3))</f>
        <v/>
      </c>
      <c r="K410" s="7">
        <f>IF(A410="","",IF(OR(B410="",C410="",D410="",E410=""),"Missing info",IF(ISNA(MATCH(B410,Staff!$A$2:$A$101,0)),"Unknown employee",IF(H410="?","Unknown site",IF(G410&lt;=0,"Check times",IF(G410&gt;12,"Over 12h",IF(COUNTIFS($L$2:$L$2001,L410)&gt;1,"Duplicate?",IF(A410&gt;TODAY(),"Future date","OK"))))))))</f>
        <v/>
      </c>
      <c r="L410">
        <f>IF(A410="","",TEXT(A410,"yyyy-mm-dd")&amp;"|"&amp;B410&amp;"|"&amp;C410)</f>
        <v/>
      </c>
    </row>
    <row r="411">
      <c r="A411" s="4" t="n"/>
      <c r="D411" s="5" t="n"/>
      <c r="E411" s="5" t="n"/>
      <c r="G411" s="6">
        <f>IF(OR(A411="",D411="",E411=""),"",ROUND(MOD(E411-D411,1)*24-N(F411)/60,2))</f>
        <v/>
      </c>
      <c r="H411" s="7">
        <f>IF(C411="","",IFERROR(INDEX(Sites!$B$2:$B$501,MATCH(C411,Sites!$A$2:$A$501,0)),"?"))</f>
        <v/>
      </c>
      <c r="I411" s="8">
        <f>IF(A411="","",A411-WEEKDAY(A411,3))</f>
        <v/>
      </c>
      <c r="K411" s="7">
        <f>IF(A411="","",IF(OR(B411="",C411="",D411="",E411=""),"Missing info",IF(ISNA(MATCH(B411,Staff!$A$2:$A$101,0)),"Unknown employee",IF(H411="?","Unknown site",IF(G411&lt;=0,"Check times",IF(G411&gt;12,"Over 12h",IF(COUNTIFS($L$2:$L$2001,L411)&gt;1,"Duplicate?",IF(A411&gt;TODAY(),"Future date","OK"))))))))</f>
        <v/>
      </c>
      <c r="L411">
        <f>IF(A411="","",TEXT(A411,"yyyy-mm-dd")&amp;"|"&amp;B411&amp;"|"&amp;C411)</f>
        <v/>
      </c>
    </row>
    <row r="412">
      <c r="A412" s="4" t="n"/>
      <c r="D412" s="5" t="n"/>
      <c r="E412" s="5" t="n"/>
      <c r="G412" s="6">
        <f>IF(OR(A412="",D412="",E412=""),"",ROUND(MOD(E412-D412,1)*24-N(F412)/60,2))</f>
        <v/>
      </c>
      <c r="H412" s="7">
        <f>IF(C412="","",IFERROR(INDEX(Sites!$B$2:$B$501,MATCH(C412,Sites!$A$2:$A$501,0)),"?"))</f>
        <v/>
      </c>
      <c r="I412" s="8">
        <f>IF(A412="","",A412-WEEKDAY(A412,3))</f>
        <v/>
      </c>
      <c r="K412" s="7">
        <f>IF(A412="","",IF(OR(B412="",C412="",D412="",E412=""),"Missing info",IF(ISNA(MATCH(B412,Staff!$A$2:$A$101,0)),"Unknown employee",IF(H412="?","Unknown site",IF(G412&lt;=0,"Check times",IF(G412&gt;12,"Over 12h",IF(COUNTIFS($L$2:$L$2001,L412)&gt;1,"Duplicate?",IF(A412&gt;TODAY(),"Future date","OK"))))))))</f>
        <v/>
      </c>
      <c r="L412">
        <f>IF(A412="","",TEXT(A412,"yyyy-mm-dd")&amp;"|"&amp;B412&amp;"|"&amp;C412)</f>
        <v/>
      </c>
    </row>
    <row r="413">
      <c r="A413" s="4" t="n"/>
      <c r="D413" s="5" t="n"/>
      <c r="E413" s="5" t="n"/>
      <c r="G413" s="6">
        <f>IF(OR(A413="",D413="",E413=""),"",ROUND(MOD(E413-D413,1)*24-N(F413)/60,2))</f>
        <v/>
      </c>
      <c r="H413" s="7">
        <f>IF(C413="","",IFERROR(INDEX(Sites!$B$2:$B$501,MATCH(C413,Sites!$A$2:$A$501,0)),"?"))</f>
        <v/>
      </c>
      <c r="I413" s="8">
        <f>IF(A413="","",A413-WEEKDAY(A413,3))</f>
        <v/>
      </c>
      <c r="K413" s="7">
        <f>IF(A413="","",IF(OR(B413="",C413="",D413="",E413=""),"Missing info",IF(ISNA(MATCH(B413,Staff!$A$2:$A$101,0)),"Unknown employee",IF(H413="?","Unknown site",IF(G413&lt;=0,"Check times",IF(G413&gt;12,"Over 12h",IF(COUNTIFS($L$2:$L$2001,L413)&gt;1,"Duplicate?",IF(A413&gt;TODAY(),"Future date","OK"))))))))</f>
        <v/>
      </c>
      <c r="L413">
        <f>IF(A413="","",TEXT(A413,"yyyy-mm-dd")&amp;"|"&amp;B413&amp;"|"&amp;C413)</f>
        <v/>
      </c>
    </row>
    <row r="414">
      <c r="A414" s="4" t="n"/>
      <c r="D414" s="5" t="n"/>
      <c r="E414" s="5" t="n"/>
      <c r="G414" s="6">
        <f>IF(OR(A414="",D414="",E414=""),"",ROUND(MOD(E414-D414,1)*24-N(F414)/60,2))</f>
        <v/>
      </c>
      <c r="H414" s="7">
        <f>IF(C414="","",IFERROR(INDEX(Sites!$B$2:$B$501,MATCH(C414,Sites!$A$2:$A$501,0)),"?"))</f>
        <v/>
      </c>
      <c r="I414" s="8">
        <f>IF(A414="","",A414-WEEKDAY(A414,3))</f>
        <v/>
      </c>
      <c r="K414" s="7">
        <f>IF(A414="","",IF(OR(B414="",C414="",D414="",E414=""),"Missing info",IF(ISNA(MATCH(B414,Staff!$A$2:$A$101,0)),"Unknown employee",IF(H414="?","Unknown site",IF(G414&lt;=0,"Check times",IF(G414&gt;12,"Over 12h",IF(COUNTIFS($L$2:$L$2001,L414)&gt;1,"Duplicate?",IF(A414&gt;TODAY(),"Future date","OK"))))))))</f>
        <v/>
      </c>
      <c r="L414">
        <f>IF(A414="","",TEXT(A414,"yyyy-mm-dd")&amp;"|"&amp;B414&amp;"|"&amp;C414)</f>
        <v/>
      </c>
    </row>
    <row r="415">
      <c r="A415" s="4" t="n"/>
      <c r="D415" s="5" t="n"/>
      <c r="E415" s="5" t="n"/>
      <c r="G415" s="6">
        <f>IF(OR(A415="",D415="",E415=""),"",ROUND(MOD(E415-D415,1)*24-N(F415)/60,2))</f>
        <v/>
      </c>
      <c r="H415" s="7">
        <f>IF(C415="","",IFERROR(INDEX(Sites!$B$2:$B$501,MATCH(C415,Sites!$A$2:$A$501,0)),"?"))</f>
        <v/>
      </c>
      <c r="I415" s="8">
        <f>IF(A415="","",A415-WEEKDAY(A415,3))</f>
        <v/>
      </c>
      <c r="K415" s="7">
        <f>IF(A415="","",IF(OR(B415="",C415="",D415="",E415=""),"Missing info",IF(ISNA(MATCH(B415,Staff!$A$2:$A$101,0)),"Unknown employee",IF(H415="?","Unknown site",IF(G415&lt;=0,"Check times",IF(G415&gt;12,"Over 12h",IF(COUNTIFS($L$2:$L$2001,L415)&gt;1,"Duplicate?",IF(A415&gt;TODAY(),"Future date","OK"))))))))</f>
        <v/>
      </c>
      <c r="L415">
        <f>IF(A415="","",TEXT(A415,"yyyy-mm-dd")&amp;"|"&amp;B415&amp;"|"&amp;C415)</f>
        <v/>
      </c>
    </row>
    <row r="416">
      <c r="A416" s="4" t="n"/>
      <c r="D416" s="5" t="n"/>
      <c r="E416" s="5" t="n"/>
      <c r="G416" s="6">
        <f>IF(OR(A416="",D416="",E416=""),"",ROUND(MOD(E416-D416,1)*24-N(F416)/60,2))</f>
        <v/>
      </c>
      <c r="H416" s="7">
        <f>IF(C416="","",IFERROR(INDEX(Sites!$B$2:$B$501,MATCH(C416,Sites!$A$2:$A$501,0)),"?"))</f>
        <v/>
      </c>
      <c r="I416" s="8">
        <f>IF(A416="","",A416-WEEKDAY(A416,3))</f>
        <v/>
      </c>
      <c r="K416" s="7">
        <f>IF(A416="","",IF(OR(B416="",C416="",D416="",E416=""),"Missing info",IF(ISNA(MATCH(B416,Staff!$A$2:$A$101,0)),"Unknown employee",IF(H416="?","Unknown site",IF(G416&lt;=0,"Check times",IF(G416&gt;12,"Over 12h",IF(COUNTIFS($L$2:$L$2001,L416)&gt;1,"Duplicate?",IF(A416&gt;TODAY(),"Future date","OK"))))))))</f>
        <v/>
      </c>
      <c r="L416">
        <f>IF(A416="","",TEXT(A416,"yyyy-mm-dd")&amp;"|"&amp;B416&amp;"|"&amp;C416)</f>
        <v/>
      </c>
    </row>
    <row r="417">
      <c r="A417" s="4" t="n"/>
      <c r="D417" s="5" t="n"/>
      <c r="E417" s="5" t="n"/>
      <c r="G417" s="6">
        <f>IF(OR(A417="",D417="",E417=""),"",ROUND(MOD(E417-D417,1)*24-N(F417)/60,2))</f>
        <v/>
      </c>
      <c r="H417" s="7">
        <f>IF(C417="","",IFERROR(INDEX(Sites!$B$2:$B$501,MATCH(C417,Sites!$A$2:$A$501,0)),"?"))</f>
        <v/>
      </c>
      <c r="I417" s="8">
        <f>IF(A417="","",A417-WEEKDAY(A417,3))</f>
        <v/>
      </c>
      <c r="K417" s="7">
        <f>IF(A417="","",IF(OR(B417="",C417="",D417="",E417=""),"Missing info",IF(ISNA(MATCH(B417,Staff!$A$2:$A$101,0)),"Unknown employee",IF(H417="?","Unknown site",IF(G417&lt;=0,"Check times",IF(G417&gt;12,"Over 12h",IF(COUNTIFS($L$2:$L$2001,L417)&gt;1,"Duplicate?",IF(A417&gt;TODAY(),"Future date","OK"))))))))</f>
        <v/>
      </c>
      <c r="L417">
        <f>IF(A417="","",TEXT(A417,"yyyy-mm-dd")&amp;"|"&amp;B417&amp;"|"&amp;C417)</f>
        <v/>
      </c>
    </row>
    <row r="418">
      <c r="A418" s="4" t="n"/>
      <c r="D418" s="5" t="n"/>
      <c r="E418" s="5" t="n"/>
      <c r="G418" s="6">
        <f>IF(OR(A418="",D418="",E418=""),"",ROUND(MOD(E418-D418,1)*24-N(F418)/60,2))</f>
        <v/>
      </c>
      <c r="H418" s="7">
        <f>IF(C418="","",IFERROR(INDEX(Sites!$B$2:$B$501,MATCH(C418,Sites!$A$2:$A$501,0)),"?"))</f>
        <v/>
      </c>
      <c r="I418" s="8">
        <f>IF(A418="","",A418-WEEKDAY(A418,3))</f>
        <v/>
      </c>
      <c r="K418" s="7">
        <f>IF(A418="","",IF(OR(B418="",C418="",D418="",E418=""),"Missing info",IF(ISNA(MATCH(B418,Staff!$A$2:$A$101,0)),"Unknown employee",IF(H418="?","Unknown site",IF(G418&lt;=0,"Check times",IF(G418&gt;12,"Over 12h",IF(COUNTIFS($L$2:$L$2001,L418)&gt;1,"Duplicate?",IF(A418&gt;TODAY(),"Future date","OK"))))))))</f>
        <v/>
      </c>
      <c r="L418">
        <f>IF(A418="","",TEXT(A418,"yyyy-mm-dd")&amp;"|"&amp;B418&amp;"|"&amp;C418)</f>
        <v/>
      </c>
    </row>
    <row r="419">
      <c r="A419" s="4" t="n"/>
      <c r="D419" s="5" t="n"/>
      <c r="E419" s="5" t="n"/>
      <c r="G419" s="6">
        <f>IF(OR(A419="",D419="",E419=""),"",ROUND(MOD(E419-D419,1)*24-N(F419)/60,2))</f>
        <v/>
      </c>
      <c r="H419" s="7">
        <f>IF(C419="","",IFERROR(INDEX(Sites!$B$2:$B$501,MATCH(C419,Sites!$A$2:$A$501,0)),"?"))</f>
        <v/>
      </c>
      <c r="I419" s="8">
        <f>IF(A419="","",A419-WEEKDAY(A419,3))</f>
        <v/>
      </c>
      <c r="K419" s="7">
        <f>IF(A419="","",IF(OR(B419="",C419="",D419="",E419=""),"Missing info",IF(ISNA(MATCH(B419,Staff!$A$2:$A$101,0)),"Unknown employee",IF(H419="?","Unknown site",IF(G419&lt;=0,"Check times",IF(G419&gt;12,"Over 12h",IF(COUNTIFS($L$2:$L$2001,L419)&gt;1,"Duplicate?",IF(A419&gt;TODAY(),"Future date","OK"))))))))</f>
        <v/>
      </c>
      <c r="L419">
        <f>IF(A419="","",TEXT(A419,"yyyy-mm-dd")&amp;"|"&amp;B419&amp;"|"&amp;C419)</f>
        <v/>
      </c>
    </row>
    <row r="420">
      <c r="A420" s="4" t="n"/>
      <c r="D420" s="5" t="n"/>
      <c r="E420" s="5" t="n"/>
      <c r="G420" s="6">
        <f>IF(OR(A420="",D420="",E420=""),"",ROUND(MOD(E420-D420,1)*24-N(F420)/60,2))</f>
        <v/>
      </c>
      <c r="H420" s="7">
        <f>IF(C420="","",IFERROR(INDEX(Sites!$B$2:$B$501,MATCH(C420,Sites!$A$2:$A$501,0)),"?"))</f>
        <v/>
      </c>
      <c r="I420" s="8">
        <f>IF(A420="","",A420-WEEKDAY(A420,3))</f>
        <v/>
      </c>
      <c r="K420" s="7">
        <f>IF(A420="","",IF(OR(B420="",C420="",D420="",E420=""),"Missing info",IF(ISNA(MATCH(B420,Staff!$A$2:$A$101,0)),"Unknown employee",IF(H420="?","Unknown site",IF(G420&lt;=0,"Check times",IF(G420&gt;12,"Over 12h",IF(COUNTIFS($L$2:$L$2001,L420)&gt;1,"Duplicate?",IF(A420&gt;TODAY(),"Future date","OK"))))))))</f>
        <v/>
      </c>
      <c r="L420">
        <f>IF(A420="","",TEXT(A420,"yyyy-mm-dd")&amp;"|"&amp;B420&amp;"|"&amp;C420)</f>
        <v/>
      </c>
    </row>
    <row r="421">
      <c r="A421" s="4" t="n"/>
      <c r="D421" s="5" t="n"/>
      <c r="E421" s="5" t="n"/>
      <c r="G421" s="6">
        <f>IF(OR(A421="",D421="",E421=""),"",ROUND(MOD(E421-D421,1)*24-N(F421)/60,2))</f>
        <v/>
      </c>
      <c r="H421" s="7">
        <f>IF(C421="","",IFERROR(INDEX(Sites!$B$2:$B$501,MATCH(C421,Sites!$A$2:$A$501,0)),"?"))</f>
        <v/>
      </c>
      <c r="I421" s="8">
        <f>IF(A421="","",A421-WEEKDAY(A421,3))</f>
        <v/>
      </c>
      <c r="K421" s="7">
        <f>IF(A421="","",IF(OR(B421="",C421="",D421="",E421=""),"Missing info",IF(ISNA(MATCH(B421,Staff!$A$2:$A$101,0)),"Unknown employee",IF(H421="?","Unknown site",IF(G421&lt;=0,"Check times",IF(G421&gt;12,"Over 12h",IF(COUNTIFS($L$2:$L$2001,L421)&gt;1,"Duplicate?",IF(A421&gt;TODAY(),"Future date","OK"))))))))</f>
        <v/>
      </c>
      <c r="L421">
        <f>IF(A421="","",TEXT(A421,"yyyy-mm-dd")&amp;"|"&amp;B421&amp;"|"&amp;C421)</f>
        <v/>
      </c>
    </row>
    <row r="422">
      <c r="A422" s="4" t="n"/>
      <c r="D422" s="5" t="n"/>
      <c r="E422" s="5" t="n"/>
      <c r="G422" s="6">
        <f>IF(OR(A422="",D422="",E422=""),"",ROUND(MOD(E422-D422,1)*24-N(F422)/60,2))</f>
        <v/>
      </c>
      <c r="H422" s="7">
        <f>IF(C422="","",IFERROR(INDEX(Sites!$B$2:$B$501,MATCH(C422,Sites!$A$2:$A$501,0)),"?"))</f>
        <v/>
      </c>
      <c r="I422" s="8">
        <f>IF(A422="","",A422-WEEKDAY(A422,3))</f>
        <v/>
      </c>
      <c r="K422" s="7">
        <f>IF(A422="","",IF(OR(B422="",C422="",D422="",E422=""),"Missing info",IF(ISNA(MATCH(B422,Staff!$A$2:$A$101,0)),"Unknown employee",IF(H422="?","Unknown site",IF(G422&lt;=0,"Check times",IF(G422&gt;12,"Over 12h",IF(COUNTIFS($L$2:$L$2001,L422)&gt;1,"Duplicate?",IF(A422&gt;TODAY(),"Future date","OK"))))))))</f>
        <v/>
      </c>
      <c r="L422">
        <f>IF(A422="","",TEXT(A422,"yyyy-mm-dd")&amp;"|"&amp;B422&amp;"|"&amp;C422)</f>
        <v/>
      </c>
    </row>
    <row r="423">
      <c r="A423" s="4" t="n"/>
      <c r="D423" s="5" t="n"/>
      <c r="E423" s="5" t="n"/>
      <c r="G423" s="6">
        <f>IF(OR(A423="",D423="",E423=""),"",ROUND(MOD(E423-D423,1)*24-N(F423)/60,2))</f>
        <v/>
      </c>
      <c r="H423" s="7">
        <f>IF(C423="","",IFERROR(INDEX(Sites!$B$2:$B$501,MATCH(C423,Sites!$A$2:$A$501,0)),"?"))</f>
        <v/>
      </c>
      <c r="I423" s="8">
        <f>IF(A423="","",A423-WEEKDAY(A423,3))</f>
        <v/>
      </c>
      <c r="K423" s="7">
        <f>IF(A423="","",IF(OR(B423="",C423="",D423="",E423=""),"Missing info",IF(ISNA(MATCH(B423,Staff!$A$2:$A$101,0)),"Unknown employee",IF(H423="?","Unknown site",IF(G423&lt;=0,"Check times",IF(G423&gt;12,"Over 12h",IF(COUNTIFS($L$2:$L$2001,L423)&gt;1,"Duplicate?",IF(A423&gt;TODAY(),"Future date","OK"))))))))</f>
        <v/>
      </c>
      <c r="L423">
        <f>IF(A423="","",TEXT(A423,"yyyy-mm-dd")&amp;"|"&amp;B423&amp;"|"&amp;C423)</f>
        <v/>
      </c>
    </row>
    <row r="424">
      <c r="A424" s="4" t="n"/>
      <c r="D424" s="5" t="n"/>
      <c r="E424" s="5" t="n"/>
      <c r="G424" s="6">
        <f>IF(OR(A424="",D424="",E424=""),"",ROUND(MOD(E424-D424,1)*24-N(F424)/60,2))</f>
        <v/>
      </c>
      <c r="H424" s="7">
        <f>IF(C424="","",IFERROR(INDEX(Sites!$B$2:$B$501,MATCH(C424,Sites!$A$2:$A$501,0)),"?"))</f>
        <v/>
      </c>
      <c r="I424" s="8">
        <f>IF(A424="","",A424-WEEKDAY(A424,3))</f>
        <v/>
      </c>
      <c r="K424" s="7">
        <f>IF(A424="","",IF(OR(B424="",C424="",D424="",E424=""),"Missing info",IF(ISNA(MATCH(B424,Staff!$A$2:$A$101,0)),"Unknown employee",IF(H424="?","Unknown site",IF(G424&lt;=0,"Check times",IF(G424&gt;12,"Over 12h",IF(COUNTIFS($L$2:$L$2001,L424)&gt;1,"Duplicate?",IF(A424&gt;TODAY(),"Future date","OK"))))))))</f>
        <v/>
      </c>
      <c r="L424">
        <f>IF(A424="","",TEXT(A424,"yyyy-mm-dd")&amp;"|"&amp;B424&amp;"|"&amp;C424)</f>
        <v/>
      </c>
    </row>
    <row r="425">
      <c r="A425" s="4" t="n"/>
      <c r="D425" s="5" t="n"/>
      <c r="E425" s="5" t="n"/>
      <c r="G425" s="6">
        <f>IF(OR(A425="",D425="",E425=""),"",ROUND(MOD(E425-D425,1)*24-N(F425)/60,2))</f>
        <v/>
      </c>
      <c r="H425" s="7">
        <f>IF(C425="","",IFERROR(INDEX(Sites!$B$2:$B$501,MATCH(C425,Sites!$A$2:$A$501,0)),"?"))</f>
        <v/>
      </c>
      <c r="I425" s="8">
        <f>IF(A425="","",A425-WEEKDAY(A425,3))</f>
        <v/>
      </c>
      <c r="K425" s="7">
        <f>IF(A425="","",IF(OR(B425="",C425="",D425="",E425=""),"Missing info",IF(ISNA(MATCH(B425,Staff!$A$2:$A$101,0)),"Unknown employee",IF(H425="?","Unknown site",IF(G425&lt;=0,"Check times",IF(G425&gt;12,"Over 12h",IF(COUNTIFS($L$2:$L$2001,L425)&gt;1,"Duplicate?",IF(A425&gt;TODAY(),"Future date","OK"))))))))</f>
        <v/>
      </c>
      <c r="L425">
        <f>IF(A425="","",TEXT(A425,"yyyy-mm-dd")&amp;"|"&amp;B425&amp;"|"&amp;C425)</f>
        <v/>
      </c>
    </row>
    <row r="426">
      <c r="A426" s="4" t="n"/>
      <c r="D426" s="5" t="n"/>
      <c r="E426" s="5" t="n"/>
      <c r="G426" s="6">
        <f>IF(OR(A426="",D426="",E426=""),"",ROUND(MOD(E426-D426,1)*24-N(F426)/60,2))</f>
        <v/>
      </c>
      <c r="H426" s="7">
        <f>IF(C426="","",IFERROR(INDEX(Sites!$B$2:$B$501,MATCH(C426,Sites!$A$2:$A$501,0)),"?"))</f>
        <v/>
      </c>
      <c r="I426" s="8">
        <f>IF(A426="","",A426-WEEKDAY(A426,3))</f>
        <v/>
      </c>
      <c r="K426" s="7">
        <f>IF(A426="","",IF(OR(B426="",C426="",D426="",E426=""),"Missing info",IF(ISNA(MATCH(B426,Staff!$A$2:$A$101,0)),"Unknown employee",IF(H426="?","Unknown site",IF(G426&lt;=0,"Check times",IF(G426&gt;12,"Over 12h",IF(COUNTIFS($L$2:$L$2001,L426)&gt;1,"Duplicate?",IF(A426&gt;TODAY(),"Future date","OK"))))))))</f>
        <v/>
      </c>
      <c r="L426">
        <f>IF(A426="","",TEXT(A426,"yyyy-mm-dd")&amp;"|"&amp;B426&amp;"|"&amp;C426)</f>
        <v/>
      </c>
    </row>
    <row r="427">
      <c r="A427" s="4" t="n"/>
      <c r="D427" s="5" t="n"/>
      <c r="E427" s="5" t="n"/>
      <c r="G427" s="6">
        <f>IF(OR(A427="",D427="",E427=""),"",ROUND(MOD(E427-D427,1)*24-N(F427)/60,2))</f>
        <v/>
      </c>
      <c r="H427" s="7">
        <f>IF(C427="","",IFERROR(INDEX(Sites!$B$2:$B$501,MATCH(C427,Sites!$A$2:$A$501,0)),"?"))</f>
        <v/>
      </c>
      <c r="I427" s="8">
        <f>IF(A427="","",A427-WEEKDAY(A427,3))</f>
        <v/>
      </c>
      <c r="K427" s="7">
        <f>IF(A427="","",IF(OR(B427="",C427="",D427="",E427=""),"Missing info",IF(ISNA(MATCH(B427,Staff!$A$2:$A$101,0)),"Unknown employee",IF(H427="?","Unknown site",IF(G427&lt;=0,"Check times",IF(G427&gt;12,"Over 12h",IF(COUNTIFS($L$2:$L$2001,L427)&gt;1,"Duplicate?",IF(A427&gt;TODAY(),"Future date","OK"))))))))</f>
        <v/>
      </c>
      <c r="L427">
        <f>IF(A427="","",TEXT(A427,"yyyy-mm-dd")&amp;"|"&amp;B427&amp;"|"&amp;C427)</f>
        <v/>
      </c>
    </row>
    <row r="428">
      <c r="A428" s="4" t="n"/>
      <c r="D428" s="5" t="n"/>
      <c r="E428" s="5" t="n"/>
      <c r="G428" s="6">
        <f>IF(OR(A428="",D428="",E428=""),"",ROUND(MOD(E428-D428,1)*24-N(F428)/60,2))</f>
        <v/>
      </c>
      <c r="H428" s="7">
        <f>IF(C428="","",IFERROR(INDEX(Sites!$B$2:$B$501,MATCH(C428,Sites!$A$2:$A$501,0)),"?"))</f>
        <v/>
      </c>
      <c r="I428" s="8">
        <f>IF(A428="","",A428-WEEKDAY(A428,3))</f>
        <v/>
      </c>
      <c r="K428" s="7">
        <f>IF(A428="","",IF(OR(B428="",C428="",D428="",E428=""),"Missing info",IF(ISNA(MATCH(B428,Staff!$A$2:$A$101,0)),"Unknown employee",IF(H428="?","Unknown site",IF(G428&lt;=0,"Check times",IF(G428&gt;12,"Over 12h",IF(COUNTIFS($L$2:$L$2001,L428)&gt;1,"Duplicate?",IF(A428&gt;TODAY(),"Future date","OK"))))))))</f>
        <v/>
      </c>
      <c r="L428">
        <f>IF(A428="","",TEXT(A428,"yyyy-mm-dd")&amp;"|"&amp;B428&amp;"|"&amp;C428)</f>
        <v/>
      </c>
    </row>
    <row r="429">
      <c r="A429" s="4" t="n"/>
      <c r="D429" s="5" t="n"/>
      <c r="E429" s="5" t="n"/>
      <c r="G429" s="6">
        <f>IF(OR(A429="",D429="",E429=""),"",ROUND(MOD(E429-D429,1)*24-N(F429)/60,2))</f>
        <v/>
      </c>
      <c r="H429" s="7">
        <f>IF(C429="","",IFERROR(INDEX(Sites!$B$2:$B$501,MATCH(C429,Sites!$A$2:$A$501,0)),"?"))</f>
        <v/>
      </c>
      <c r="I429" s="8">
        <f>IF(A429="","",A429-WEEKDAY(A429,3))</f>
        <v/>
      </c>
      <c r="K429" s="7">
        <f>IF(A429="","",IF(OR(B429="",C429="",D429="",E429=""),"Missing info",IF(ISNA(MATCH(B429,Staff!$A$2:$A$101,0)),"Unknown employee",IF(H429="?","Unknown site",IF(G429&lt;=0,"Check times",IF(G429&gt;12,"Over 12h",IF(COUNTIFS($L$2:$L$2001,L429)&gt;1,"Duplicate?",IF(A429&gt;TODAY(),"Future date","OK"))))))))</f>
        <v/>
      </c>
      <c r="L429">
        <f>IF(A429="","",TEXT(A429,"yyyy-mm-dd")&amp;"|"&amp;B429&amp;"|"&amp;C429)</f>
        <v/>
      </c>
    </row>
    <row r="430">
      <c r="A430" s="4" t="n"/>
      <c r="D430" s="5" t="n"/>
      <c r="E430" s="5" t="n"/>
      <c r="G430" s="6">
        <f>IF(OR(A430="",D430="",E430=""),"",ROUND(MOD(E430-D430,1)*24-N(F430)/60,2))</f>
        <v/>
      </c>
      <c r="H430" s="7">
        <f>IF(C430="","",IFERROR(INDEX(Sites!$B$2:$B$501,MATCH(C430,Sites!$A$2:$A$501,0)),"?"))</f>
        <v/>
      </c>
      <c r="I430" s="8">
        <f>IF(A430="","",A430-WEEKDAY(A430,3))</f>
        <v/>
      </c>
      <c r="K430" s="7">
        <f>IF(A430="","",IF(OR(B430="",C430="",D430="",E430=""),"Missing info",IF(ISNA(MATCH(B430,Staff!$A$2:$A$101,0)),"Unknown employee",IF(H430="?","Unknown site",IF(G430&lt;=0,"Check times",IF(G430&gt;12,"Over 12h",IF(COUNTIFS($L$2:$L$2001,L430)&gt;1,"Duplicate?",IF(A430&gt;TODAY(),"Future date","OK"))))))))</f>
        <v/>
      </c>
      <c r="L430">
        <f>IF(A430="","",TEXT(A430,"yyyy-mm-dd")&amp;"|"&amp;B430&amp;"|"&amp;C430)</f>
        <v/>
      </c>
    </row>
    <row r="431">
      <c r="A431" s="4" t="n"/>
      <c r="D431" s="5" t="n"/>
      <c r="E431" s="5" t="n"/>
      <c r="G431" s="6">
        <f>IF(OR(A431="",D431="",E431=""),"",ROUND(MOD(E431-D431,1)*24-N(F431)/60,2))</f>
        <v/>
      </c>
      <c r="H431" s="7">
        <f>IF(C431="","",IFERROR(INDEX(Sites!$B$2:$B$501,MATCH(C431,Sites!$A$2:$A$501,0)),"?"))</f>
        <v/>
      </c>
      <c r="I431" s="8">
        <f>IF(A431="","",A431-WEEKDAY(A431,3))</f>
        <v/>
      </c>
      <c r="K431" s="7">
        <f>IF(A431="","",IF(OR(B431="",C431="",D431="",E431=""),"Missing info",IF(ISNA(MATCH(B431,Staff!$A$2:$A$101,0)),"Unknown employee",IF(H431="?","Unknown site",IF(G431&lt;=0,"Check times",IF(G431&gt;12,"Over 12h",IF(COUNTIFS($L$2:$L$2001,L431)&gt;1,"Duplicate?",IF(A431&gt;TODAY(),"Future date","OK"))))))))</f>
        <v/>
      </c>
      <c r="L431">
        <f>IF(A431="","",TEXT(A431,"yyyy-mm-dd")&amp;"|"&amp;B431&amp;"|"&amp;C431)</f>
        <v/>
      </c>
    </row>
    <row r="432">
      <c r="A432" s="4" t="n"/>
      <c r="D432" s="5" t="n"/>
      <c r="E432" s="5" t="n"/>
      <c r="G432" s="6">
        <f>IF(OR(A432="",D432="",E432=""),"",ROUND(MOD(E432-D432,1)*24-N(F432)/60,2))</f>
        <v/>
      </c>
      <c r="H432" s="7">
        <f>IF(C432="","",IFERROR(INDEX(Sites!$B$2:$B$501,MATCH(C432,Sites!$A$2:$A$501,0)),"?"))</f>
        <v/>
      </c>
      <c r="I432" s="8">
        <f>IF(A432="","",A432-WEEKDAY(A432,3))</f>
        <v/>
      </c>
      <c r="K432" s="7">
        <f>IF(A432="","",IF(OR(B432="",C432="",D432="",E432=""),"Missing info",IF(ISNA(MATCH(B432,Staff!$A$2:$A$101,0)),"Unknown employee",IF(H432="?","Unknown site",IF(G432&lt;=0,"Check times",IF(G432&gt;12,"Over 12h",IF(COUNTIFS($L$2:$L$2001,L432)&gt;1,"Duplicate?",IF(A432&gt;TODAY(),"Future date","OK"))))))))</f>
        <v/>
      </c>
      <c r="L432">
        <f>IF(A432="","",TEXT(A432,"yyyy-mm-dd")&amp;"|"&amp;B432&amp;"|"&amp;C432)</f>
        <v/>
      </c>
    </row>
    <row r="433">
      <c r="A433" s="4" t="n"/>
      <c r="D433" s="5" t="n"/>
      <c r="E433" s="5" t="n"/>
      <c r="G433" s="6">
        <f>IF(OR(A433="",D433="",E433=""),"",ROUND(MOD(E433-D433,1)*24-N(F433)/60,2))</f>
        <v/>
      </c>
      <c r="H433" s="7">
        <f>IF(C433="","",IFERROR(INDEX(Sites!$B$2:$B$501,MATCH(C433,Sites!$A$2:$A$501,0)),"?"))</f>
        <v/>
      </c>
      <c r="I433" s="8">
        <f>IF(A433="","",A433-WEEKDAY(A433,3))</f>
        <v/>
      </c>
      <c r="K433" s="7">
        <f>IF(A433="","",IF(OR(B433="",C433="",D433="",E433=""),"Missing info",IF(ISNA(MATCH(B433,Staff!$A$2:$A$101,0)),"Unknown employee",IF(H433="?","Unknown site",IF(G433&lt;=0,"Check times",IF(G433&gt;12,"Over 12h",IF(COUNTIFS($L$2:$L$2001,L433)&gt;1,"Duplicate?",IF(A433&gt;TODAY(),"Future date","OK"))))))))</f>
        <v/>
      </c>
      <c r="L433">
        <f>IF(A433="","",TEXT(A433,"yyyy-mm-dd")&amp;"|"&amp;B433&amp;"|"&amp;C433)</f>
        <v/>
      </c>
    </row>
    <row r="434">
      <c r="A434" s="4" t="n"/>
      <c r="D434" s="5" t="n"/>
      <c r="E434" s="5" t="n"/>
      <c r="G434" s="6">
        <f>IF(OR(A434="",D434="",E434=""),"",ROUND(MOD(E434-D434,1)*24-N(F434)/60,2))</f>
        <v/>
      </c>
      <c r="H434" s="7">
        <f>IF(C434="","",IFERROR(INDEX(Sites!$B$2:$B$501,MATCH(C434,Sites!$A$2:$A$501,0)),"?"))</f>
        <v/>
      </c>
      <c r="I434" s="8">
        <f>IF(A434="","",A434-WEEKDAY(A434,3))</f>
        <v/>
      </c>
      <c r="K434" s="7">
        <f>IF(A434="","",IF(OR(B434="",C434="",D434="",E434=""),"Missing info",IF(ISNA(MATCH(B434,Staff!$A$2:$A$101,0)),"Unknown employee",IF(H434="?","Unknown site",IF(G434&lt;=0,"Check times",IF(G434&gt;12,"Over 12h",IF(COUNTIFS($L$2:$L$2001,L434)&gt;1,"Duplicate?",IF(A434&gt;TODAY(),"Future date","OK"))))))))</f>
        <v/>
      </c>
      <c r="L434">
        <f>IF(A434="","",TEXT(A434,"yyyy-mm-dd")&amp;"|"&amp;B434&amp;"|"&amp;C434)</f>
        <v/>
      </c>
    </row>
    <row r="435">
      <c r="A435" s="4" t="n"/>
      <c r="D435" s="5" t="n"/>
      <c r="E435" s="5" t="n"/>
      <c r="G435" s="6">
        <f>IF(OR(A435="",D435="",E435=""),"",ROUND(MOD(E435-D435,1)*24-N(F435)/60,2))</f>
        <v/>
      </c>
      <c r="H435" s="7">
        <f>IF(C435="","",IFERROR(INDEX(Sites!$B$2:$B$501,MATCH(C435,Sites!$A$2:$A$501,0)),"?"))</f>
        <v/>
      </c>
      <c r="I435" s="8">
        <f>IF(A435="","",A435-WEEKDAY(A435,3))</f>
        <v/>
      </c>
      <c r="K435" s="7">
        <f>IF(A435="","",IF(OR(B435="",C435="",D435="",E435=""),"Missing info",IF(ISNA(MATCH(B435,Staff!$A$2:$A$101,0)),"Unknown employee",IF(H435="?","Unknown site",IF(G435&lt;=0,"Check times",IF(G435&gt;12,"Over 12h",IF(COUNTIFS($L$2:$L$2001,L435)&gt;1,"Duplicate?",IF(A435&gt;TODAY(),"Future date","OK"))))))))</f>
        <v/>
      </c>
      <c r="L435">
        <f>IF(A435="","",TEXT(A435,"yyyy-mm-dd")&amp;"|"&amp;B435&amp;"|"&amp;C435)</f>
        <v/>
      </c>
    </row>
    <row r="436">
      <c r="A436" s="4" t="n"/>
      <c r="D436" s="5" t="n"/>
      <c r="E436" s="5" t="n"/>
      <c r="G436" s="6">
        <f>IF(OR(A436="",D436="",E436=""),"",ROUND(MOD(E436-D436,1)*24-N(F436)/60,2))</f>
        <v/>
      </c>
      <c r="H436" s="7">
        <f>IF(C436="","",IFERROR(INDEX(Sites!$B$2:$B$501,MATCH(C436,Sites!$A$2:$A$501,0)),"?"))</f>
        <v/>
      </c>
      <c r="I436" s="8">
        <f>IF(A436="","",A436-WEEKDAY(A436,3))</f>
        <v/>
      </c>
      <c r="K436" s="7">
        <f>IF(A436="","",IF(OR(B436="",C436="",D436="",E436=""),"Missing info",IF(ISNA(MATCH(B436,Staff!$A$2:$A$101,0)),"Unknown employee",IF(H436="?","Unknown site",IF(G436&lt;=0,"Check times",IF(G436&gt;12,"Over 12h",IF(COUNTIFS($L$2:$L$2001,L436)&gt;1,"Duplicate?",IF(A436&gt;TODAY(),"Future date","OK"))))))))</f>
        <v/>
      </c>
      <c r="L436">
        <f>IF(A436="","",TEXT(A436,"yyyy-mm-dd")&amp;"|"&amp;B436&amp;"|"&amp;C436)</f>
        <v/>
      </c>
    </row>
    <row r="437">
      <c r="A437" s="4" t="n"/>
      <c r="D437" s="5" t="n"/>
      <c r="E437" s="5" t="n"/>
      <c r="G437" s="6">
        <f>IF(OR(A437="",D437="",E437=""),"",ROUND(MOD(E437-D437,1)*24-N(F437)/60,2))</f>
        <v/>
      </c>
      <c r="H437" s="7">
        <f>IF(C437="","",IFERROR(INDEX(Sites!$B$2:$B$501,MATCH(C437,Sites!$A$2:$A$501,0)),"?"))</f>
        <v/>
      </c>
      <c r="I437" s="8">
        <f>IF(A437="","",A437-WEEKDAY(A437,3))</f>
        <v/>
      </c>
      <c r="K437" s="7">
        <f>IF(A437="","",IF(OR(B437="",C437="",D437="",E437=""),"Missing info",IF(ISNA(MATCH(B437,Staff!$A$2:$A$101,0)),"Unknown employee",IF(H437="?","Unknown site",IF(G437&lt;=0,"Check times",IF(G437&gt;12,"Over 12h",IF(COUNTIFS($L$2:$L$2001,L437)&gt;1,"Duplicate?",IF(A437&gt;TODAY(),"Future date","OK"))))))))</f>
        <v/>
      </c>
      <c r="L437">
        <f>IF(A437="","",TEXT(A437,"yyyy-mm-dd")&amp;"|"&amp;B437&amp;"|"&amp;C437)</f>
        <v/>
      </c>
    </row>
    <row r="438">
      <c r="A438" s="4" t="n"/>
      <c r="D438" s="5" t="n"/>
      <c r="E438" s="5" t="n"/>
      <c r="G438" s="6">
        <f>IF(OR(A438="",D438="",E438=""),"",ROUND(MOD(E438-D438,1)*24-N(F438)/60,2))</f>
        <v/>
      </c>
      <c r="H438" s="7">
        <f>IF(C438="","",IFERROR(INDEX(Sites!$B$2:$B$501,MATCH(C438,Sites!$A$2:$A$501,0)),"?"))</f>
        <v/>
      </c>
      <c r="I438" s="8">
        <f>IF(A438="","",A438-WEEKDAY(A438,3))</f>
        <v/>
      </c>
      <c r="K438" s="7">
        <f>IF(A438="","",IF(OR(B438="",C438="",D438="",E438=""),"Missing info",IF(ISNA(MATCH(B438,Staff!$A$2:$A$101,0)),"Unknown employee",IF(H438="?","Unknown site",IF(G438&lt;=0,"Check times",IF(G438&gt;12,"Over 12h",IF(COUNTIFS($L$2:$L$2001,L438)&gt;1,"Duplicate?",IF(A438&gt;TODAY(),"Future date","OK"))))))))</f>
        <v/>
      </c>
      <c r="L438">
        <f>IF(A438="","",TEXT(A438,"yyyy-mm-dd")&amp;"|"&amp;B438&amp;"|"&amp;C438)</f>
        <v/>
      </c>
    </row>
    <row r="439">
      <c r="A439" s="4" t="n"/>
      <c r="D439" s="5" t="n"/>
      <c r="E439" s="5" t="n"/>
      <c r="G439" s="6">
        <f>IF(OR(A439="",D439="",E439=""),"",ROUND(MOD(E439-D439,1)*24-N(F439)/60,2))</f>
        <v/>
      </c>
      <c r="H439" s="7">
        <f>IF(C439="","",IFERROR(INDEX(Sites!$B$2:$B$501,MATCH(C439,Sites!$A$2:$A$501,0)),"?"))</f>
        <v/>
      </c>
      <c r="I439" s="8">
        <f>IF(A439="","",A439-WEEKDAY(A439,3))</f>
        <v/>
      </c>
      <c r="K439" s="7">
        <f>IF(A439="","",IF(OR(B439="",C439="",D439="",E439=""),"Missing info",IF(ISNA(MATCH(B439,Staff!$A$2:$A$101,0)),"Unknown employee",IF(H439="?","Unknown site",IF(G439&lt;=0,"Check times",IF(G439&gt;12,"Over 12h",IF(COUNTIFS($L$2:$L$2001,L439)&gt;1,"Duplicate?",IF(A439&gt;TODAY(),"Future date","OK"))))))))</f>
        <v/>
      </c>
      <c r="L439">
        <f>IF(A439="","",TEXT(A439,"yyyy-mm-dd")&amp;"|"&amp;B439&amp;"|"&amp;C439)</f>
        <v/>
      </c>
    </row>
    <row r="440">
      <c r="A440" s="4" t="n"/>
      <c r="D440" s="5" t="n"/>
      <c r="E440" s="5" t="n"/>
      <c r="G440" s="6">
        <f>IF(OR(A440="",D440="",E440=""),"",ROUND(MOD(E440-D440,1)*24-N(F440)/60,2))</f>
        <v/>
      </c>
      <c r="H440" s="7">
        <f>IF(C440="","",IFERROR(INDEX(Sites!$B$2:$B$501,MATCH(C440,Sites!$A$2:$A$501,0)),"?"))</f>
        <v/>
      </c>
      <c r="I440" s="8">
        <f>IF(A440="","",A440-WEEKDAY(A440,3))</f>
        <v/>
      </c>
      <c r="K440" s="7">
        <f>IF(A440="","",IF(OR(B440="",C440="",D440="",E440=""),"Missing info",IF(ISNA(MATCH(B440,Staff!$A$2:$A$101,0)),"Unknown employee",IF(H440="?","Unknown site",IF(G440&lt;=0,"Check times",IF(G440&gt;12,"Over 12h",IF(COUNTIFS($L$2:$L$2001,L440)&gt;1,"Duplicate?",IF(A440&gt;TODAY(),"Future date","OK"))))))))</f>
        <v/>
      </c>
      <c r="L440">
        <f>IF(A440="","",TEXT(A440,"yyyy-mm-dd")&amp;"|"&amp;B440&amp;"|"&amp;C440)</f>
        <v/>
      </c>
    </row>
    <row r="441">
      <c r="A441" s="4" t="n"/>
      <c r="D441" s="5" t="n"/>
      <c r="E441" s="5" t="n"/>
      <c r="G441" s="6">
        <f>IF(OR(A441="",D441="",E441=""),"",ROUND(MOD(E441-D441,1)*24-N(F441)/60,2))</f>
        <v/>
      </c>
      <c r="H441" s="7">
        <f>IF(C441="","",IFERROR(INDEX(Sites!$B$2:$B$501,MATCH(C441,Sites!$A$2:$A$501,0)),"?"))</f>
        <v/>
      </c>
      <c r="I441" s="8">
        <f>IF(A441="","",A441-WEEKDAY(A441,3))</f>
        <v/>
      </c>
      <c r="K441" s="7">
        <f>IF(A441="","",IF(OR(B441="",C441="",D441="",E441=""),"Missing info",IF(ISNA(MATCH(B441,Staff!$A$2:$A$101,0)),"Unknown employee",IF(H441="?","Unknown site",IF(G441&lt;=0,"Check times",IF(G441&gt;12,"Over 12h",IF(COUNTIFS($L$2:$L$2001,L441)&gt;1,"Duplicate?",IF(A441&gt;TODAY(),"Future date","OK"))))))))</f>
        <v/>
      </c>
      <c r="L441">
        <f>IF(A441="","",TEXT(A441,"yyyy-mm-dd")&amp;"|"&amp;B441&amp;"|"&amp;C441)</f>
        <v/>
      </c>
    </row>
    <row r="442">
      <c r="A442" s="4" t="n"/>
      <c r="D442" s="5" t="n"/>
      <c r="E442" s="5" t="n"/>
      <c r="G442" s="6">
        <f>IF(OR(A442="",D442="",E442=""),"",ROUND(MOD(E442-D442,1)*24-N(F442)/60,2))</f>
        <v/>
      </c>
      <c r="H442" s="7">
        <f>IF(C442="","",IFERROR(INDEX(Sites!$B$2:$B$501,MATCH(C442,Sites!$A$2:$A$501,0)),"?"))</f>
        <v/>
      </c>
      <c r="I442" s="8">
        <f>IF(A442="","",A442-WEEKDAY(A442,3))</f>
        <v/>
      </c>
      <c r="K442" s="7">
        <f>IF(A442="","",IF(OR(B442="",C442="",D442="",E442=""),"Missing info",IF(ISNA(MATCH(B442,Staff!$A$2:$A$101,0)),"Unknown employee",IF(H442="?","Unknown site",IF(G442&lt;=0,"Check times",IF(G442&gt;12,"Over 12h",IF(COUNTIFS($L$2:$L$2001,L442)&gt;1,"Duplicate?",IF(A442&gt;TODAY(),"Future date","OK"))))))))</f>
        <v/>
      </c>
      <c r="L442">
        <f>IF(A442="","",TEXT(A442,"yyyy-mm-dd")&amp;"|"&amp;B442&amp;"|"&amp;C442)</f>
        <v/>
      </c>
    </row>
    <row r="443">
      <c r="A443" s="4" t="n"/>
      <c r="D443" s="5" t="n"/>
      <c r="E443" s="5" t="n"/>
      <c r="G443" s="6">
        <f>IF(OR(A443="",D443="",E443=""),"",ROUND(MOD(E443-D443,1)*24-N(F443)/60,2))</f>
        <v/>
      </c>
      <c r="H443" s="7">
        <f>IF(C443="","",IFERROR(INDEX(Sites!$B$2:$B$501,MATCH(C443,Sites!$A$2:$A$501,0)),"?"))</f>
        <v/>
      </c>
      <c r="I443" s="8">
        <f>IF(A443="","",A443-WEEKDAY(A443,3))</f>
        <v/>
      </c>
      <c r="K443" s="7">
        <f>IF(A443="","",IF(OR(B443="",C443="",D443="",E443=""),"Missing info",IF(ISNA(MATCH(B443,Staff!$A$2:$A$101,0)),"Unknown employee",IF(H443="?","Unknown site",IF(G443&lt;=0,"Check times",IF(G443&gt;12,"Over 12h",IF(COUNTIFS($L$2:$L$2001,L443)&gt;1,"Duplicate?",IF(A443&gt;TODAY(),"Future date","OK"))))))))</f>
        <v/>
      </c>
      <c r="L443">
        <f>IF(A443="","",TEXT(A443,"yyyy-mm-dd")&amp;"|"&amp;B443&amp;"|"&amp;C443)</f>
        <v/>
      </c>
    </row>
    <row r="444">
      <c r="A444" s="4" t="n"/>
      <c r="D444" s="5" t="n"/>
      <c r="E444" s="5" t="n"/>
      <c r="G444" s="6">
        <f>IF(OR(A444="",D444="",E444=""),"",ROUND(MOD(E444-D444,1)*24-N(F444)/60,2))</f>
        <v/>
      </c>
      <c r="H444" s="7">
        <f>IF(C444="","",IFERROR(INDEX(Sites!$B$2:$B$501,MATCH(C444,Sites!$A$2:$A$501,0)),"?"))</f>
        <v/>
      </c>
      <c r="I444" s="8">
        <f>IF(A444="","",A444-WEEKDAY(A444,3))</f>
        <v/>
      </c>
      <c r="K444" s="7">
        <f>IF(A444="","",IF(OR(B444="",C444="",D444="",E444=""),"Missing info",IF(ISNA(MATCH(B444,Staff!$A$2:$A$101,0)),"Unknown employee",IF(H444="?","Unknown site",IF(G444&lt;=0,"Check times",IF(G444&gt;12,"Over 12h",IF(COUNTIFS($L$2:$L$2001,L444)&gt;1,"Duplicate?",IF(A444&gt;TODAY(),"Future date","OK"))))))))</f>
        <v/>
      </c>
      <c r="L444">
        <f>IF(A444="","",TEXT(A444,"yyyy-mm-dd")&amp;"|"&amp;B444&amp;"|"&amp;C444)</f>
        <v/>
      </c>
    </row>
    <row r="445">
      <c r="A445" s="4" t="n"/>
      <c r="D445" s="5" t="n"/>
      <c r="E445" s="5" t="n"/>
      <c r="G445" s="6">
        <f>IF(OR(A445="",D445="",E445=""),"",ROUND(MOD(E445-D445,1)*24-N(F445)/60,2))</f>
        <v/>
      </c>
      <c r="H445" s="7">
        <f>IF(C445="","",IFERROR(INDEX(Sites!$B$2:$B$501,MATCH(C445,Sites!$A$2:$A$501,0)),"?"))</f>
        <v/>
      </c>
      <c r="I445" s="8">
        <f>IF(A445="","",A445-WEEKDAY(A445,3))</f>
        <v/>
      </c>
      <c r="K445" s="7">
        <f>IF(A445="","",IF(OR(B445="",C445="",D445="",E445=""),"Missing info",IF(ISNA(MATCH(B445,Staff!$A$2:$A$101,0)),"Unknown employee",IF(H445="?","Unknown site",IF(G445&lt;=0,"Check times",IF(G445&gt;12,"Over 12h",IF(COUNTIFS($L$2:$L$2001,L445)&gt;1,"Duplicate?",IF(A445&gt;TODAY(),"Future date","OK"))))))))</f>
        <v/>
      </c>
      <c r="L445">
        <f>IF(A445="","",TEXT(A445,"yyyy-mm-dd")&amp;"|"&amp;B445&amp;"|"&amp;C445)</f>
        <v/>
      </c>
    </row>
    <row r="446">
      <c r="A446" s="4" t="n"/>
      <c r="D446" s="5" t="n"/>
      <c r="E446" s="5" t="n"/>
      <c r="G446" s="6">
        <f>IF(OR(A446="",D446="",E446=""),"",ROUND(MOD(E446-D446,1)*24-N(F446)/60,2))</f>
        <v/>
      </c>
      <c r="H446" s="7">
        <f>IF(C446="","",IFERROR(INDEX(Sites!$B$2:$B$501,MATCH(C446,Sites!$A$2:$A$501,0)),"?"))</f>
        <v/>
      </c>
      <c r="I446" s="8">
        <f>IF(A446="","",A446-WEEKDAY(A446,3))</f>
        <v/>
      </c>
      <c r="K446" s="7">
        <f>IF(A446="","",IF(OR(B446="",C446="",D446="",E446=""),"Missing info",IF(ISNA(MATCH(B446,Staff!$A$2:$A$101,0)),"Unknown employee",IF(H446="?","Unknown site",IF(G446&lt;=0,"Check times",IF(G446&gt;12,"Over 12h",IF(COUNTIFS($L$2:$L$2001,L446)&gt;1,"Duplicate?",IF(A446&gt;TODAY(),"Future date","OK"))))))))</f>
        <v/>
      </c>
      <c r="L446">
        <f>IF(A446="","",TEXT(A446,"yyyy-mm-dd")&amp;"|"&amp;B446&amp;"|"&amp;C446)</f>
        <v/>
      </c>
    </row>
    <row r="447">
      <c r="A447" s="4" t="n"/>
      <c r="D447" s="5" t="n"/>
      <c r="E447" s="5" t="n"/>
      <c r="G447" s="6">
        <f>IF(OR(A447="",D447="",E447=""),"",ROUND(MOD(E447-D447,1)*24-N(F447)/60,2))</f>
        <v/>
      </c>
      <c r="H447" s="7">
        <f>IF(C447="","",IFERROR(INDEX(Sites!$B$2:$B$501,MATCH(C447,Sites!$A$2:$A$501,0)),"?"))</f>
        <v/>
      </c>
      <c r="I447" s="8">
        <f>IF(A447="","",A447-WEEKDAY(A447,3))</f>
        <v/>
      </c>
      <c r="K447" s="7">
        <f>IF(A447="","",IF(OR(B447="",C447="",D447="",E447=""),"Missing info",IF(ISNA(MATCH(B447,Staff!$A$2:$A$101,0)),"Unknown employee",IF(H447="?","Unknown site",IF(G447&lt;=0,"Check times",IF(G447&gt;12,"Over 12h",IF(COUNTIFS($L$2:$L$2001,L447)&gt;1,"Duplicate?",IF(A447&gt;TODAY(),"Future date","OK"))))))))</f>
        <v/>
      </c>
      <c r="L447">
        <f>IF(A447="","",TEXT(A447,"yyyy-mm-dd")&amp;"|"&amp;B447&amp;"|"&amp;C447)</f>
        <v/>
      </c>
    </row>
    <row r="448">
      <c r="A448" s="4" t="n"/>
      <c r="D448" s="5" t="n"/>
      <c r="E448" s="5" t="n"/>
      <c r="G448" s="6">
        <f>IF(OR(A448="",D448="",E448=""),"",ROUND(MOD(E448-D448,1)*24-N(F448)/60,2))</f>
        <v/>
      </c>
      <c r="H448" s="7">
        <f>IF(C448="","",IFERROR(INDEX(Sites!$B$2:$B$501,MATCH(C448,Sites!$A$2:$A$501,0)),"?"))</f>
        <v/>
      </c>
      <c r="I448" s="8">
        <f>IF(A448="","",A448-WEEKDAY(A448,3))</f>
        <v/>
      </c>
      <c r="K448" s="7">
        <f>IF(A448="","",IF(OR(B448="",C448="",D448="",E448=""),"Missing info",IF(ISNA(MATCH(B448,Staff!$A$2:$A$101,0)),"Unknown employee",IF(H448="?","Unknown site",IF(G448&lt;=0,"Check times",IF(G448&gt;12,"Over 12h",IF(COUNTIFS($L$2:$L$2001,L448)&gt;1,"Duplicate?",IF(A448&gt;TODAY(),"Future date","OK"))))))))</f>
        <v/>
      </c>
      <c r="L448">
        <f>IF(A448="","",TEXT(A448,"yyyy-mm-dd")&amp;"|"&amp;B448&amp;"|"&amp;C448)</f>
        <v/>
      </c>
    </row>
    <row r="449">
      <c r="A449" s="4" t="n"/>
      <c r="D449" s="5" t="n"/>
      <c r="E449" s="5" t="n"/>
      <c r="G449" s="6">
        <f>IF(OR(A449="",D449="",E449=""),"",ROUND(MOD(E449-D449,1)*24-N(F449)/60,2))</f>
        <v/>
      </c>
      <c r="H449" s="7">
        <f>IF(C449="","",IFERROR(INDEX(Sites!$B$2:$B$501,MATCH(C449,Sites!$A$2:$A$501,0)),"?"))</f>
        <v/>
      </c>
      <c r="I449" s="8">
        <f>IF(A449="","",A449-WEEKDAY(A449,3))</f>
        <v/>
      </c>
      <c r="K449" s="7">
        <f>IF(A449="","",IF(OR(B449="",C449="",D449="",E449=""),"Missing info",IF(ISNA(MATCH(B449,Staff!$A$2:$A$101,0)),"Unknown employee",IF(H449="?","Unknown site",IF(G449&lt;=0,"Check times",IF(G449&gt;12,"Over 12h",IF(COUNTIFS($L$2:$L$2001,L449)&gt;1,"Duplicate?",IF(A449&gt;TODAY(),"Future date","OK"))))))))</f>
        <v/>
      </c>
      <c r="L449">
        <f>IF(A449="","",TEXT(A449,"yyyy-mm-dd")&amp;"|"&amp;B449&amp;"|"&amp;C449)</f>
        <v/>
      </c>
    </row>
    <row r="450">
      <c r="A450" s="4" t="n"/>
      <c r="D450" s="5" t="n"/>
      <c r="E450" s="5" t="n"/>
      <c r="G450" s="6">
        <f>IF(OR(A450="",D450="",E450=""),"",ROUND(MOD(E450-D450,1)*24-N(F450)/60,2))</f>
        <v/>
      </c>
      <c r="H450" s="7">
        <f>IF(C450="","",IFERROR(INDEX(Sites!$B$2:$B$501,MATCH(C450,Sites!$A$2:$A$501,0)),"?"))</f>
        <v/>
      </c>
      <c r="I450" s="8">
        <f>IF(A450="","",A450-WEEKDAY(A450,3))</f>
        <v/>
      </c>
      <c r="K450" s="7">
        <f>IF(A450="","",IF(OR(B450="",C450="",D450="",E450=""),"Missing info",IF(ISNA(MATCH(B450,Staff!$A$2:$A$101,0)),"Unknown employee",IF(H450="?","Unknown site",IF(G450&lt;=0,"Check times",IF(G450&gt;12,"Over 12h",IF(COUNTIFS($L$2:$L$2001,L450)&gt;1,"Duplicate?",IF(A450&gt;TODAY(),"Future date","OK"))))))))</f>
        <v/>
      </c>
      <c r="L450">
        <f>IF(A450="","",TEXT(A450,"yyyy-mm-dd")&amp;"|"&amp;B450&amp;"|"&amp;C450)</f>
        <v/>
      </c>
    </row>
    <row r="451">
      <c r="A451" s="4" t="n"/>
      <c r="D451" s="5" t="n"/>
      <c r="E451" s="5" t="n"/>
      <c r="G451" s="6">
        <f>IF(OR(A451="",D451="",E451=""),"",ROUND(MOD(E451-D451,1)*24-N(F451)/60,2))</f>
        <v/>
      </c>
      <c r="H451" s="7">
        <f>IF(C451="","",IFERROR(INDEX(Sites!$B$2:$B$501,MATCH(C451,Sites!$A$2:$A$501,0)),"?"))</f>
        <v/>
      </c>
      <c r="I451" s="8">
        <f>IF(A451="","",A451-WEEKDAY(A451,3))</f>
        <v/>
      </c>
      <c r="K451" s="7">
        <f>IF(A451="","",IF(OR(B451="",C451="",D451="",E451=""),"Missing info",IF(ISNA(MATCH(B451,Staff!$A$2:$A$101,0)),"Unknown employee",IF(H451="?","Unknown site",IF(G451&lt;=0,"Check times",IF(G451&gt;12,"Over 12h",IF(COUNTIFS($L$2:$L$2001,L451)&gt;1,"Duplicate?",IF(A451&gt;TODAY(),"Future date","OK"))))))))</f>
        <v/>
      </c>
      <c r="L451">
        <f>IF(A451="","",TEXT(A451,"yyyy-mm-dd")&amp;"|"&amp;B451&amp;"|"&amp;C451)</f>
        <v/>
      </c>
    </row>
    <row r="452">
      <c r="A452" s="4" t="n"/>
      <c r="D452" s="5" t="n"/>
      <c r="E452" s="5" t="n"/>
      <c r="G452" s="6">
        <f>IF(OR(A452="",D452="",E452=""),"",ROUND(MOD(E452-D452,1)*24-N(F452)/60,2))</f>
        <v/>
      </c>
      <c r="H452" s="7">
        <f>IF(C452="","",IFERROR(INDEX(Sites!$B$2:$B$501,MATCH(C452,Sites!$A$2:$A$501,0)),"?"))</f>
        <v/>
      </c>
      <c r="I452" s="8">
        <f>IF(A452="","",A452-WEEKDAY(A452,3))</f>
        <v/>
      </c>
      <c r="K452" s="7">
        <f>IF(A452="","",IF(OR(B452="",C452="",D452="",E452=""),"Missing info",IF(ISNA(MATCH(B452,Staff!$A$2:$A$101,0)),"Unknown employee",IF(H452="?","Unknown site",IF(G452&lt;=0,"Check times",IF(G452&gt;12,"Over 12h",IF(COUNTIFS($L$2:$L$2001,L452)&gt;1,"Duplicate?",IF(A452&gt;TODAY(),"Future date","OK"))))))))</f>
        <v/>
      </c>
      <c r="L452">
        <f>IF(A452="","",TEXT(A452,"yyyy-mm-dd")&amp;"|"&amp;B452&amp;"|"&amp;C452)</f>
        <v/>
      </c>
    </row>
    <row r="453">
      <c r="A453" s="4" t="n"/>
      <c r="D453" s="5" t="n"/>
      <c r="E453" s="5" t="n"/>
      <c r="G453" s="6">
        <f>IF(OR(A453="",D453="",E453=""),"",ROUND(MOD(E453-D453,1)*24-N(F453)/60,2))</f>
        <v/>
      </c>
      <c r="H453" s="7">
        <f>IF(C453="","",IFERROR(INDEX(Sites!$B$2:$B$501,MATCH(C453,Sites!$A$2:$A$501,0)),"?"))</f>
        <v/>
      </c>
      <c r="I453" s="8">
        <f>IF(A453="","",A453-WEEKDAY(A453,3))</f>
        <v/>
      </c>
      <c r="K453" s="7">
        <f>IF(A453="","",IF(OR(B453="",C453="",D453="",E453=""),"Missing info",IF(ISNA(MATCH(B453,Staff!$A$2:$A$101,0)),"Unknown employee",IF(H453="?","Unknown site",IF(G453&lt;=0,"Check times",IF(G453&gt;12,"Over 12h",IF(COUNTIFS($L$2:$L$2001,L453)&gt;1,"Duplicate?",IF(A453&gt;TODAY(),"Future date","OK"))))))))</f>
        <v/>
      </c>
      <c r="L453">
        <f>IF(A453="","",TEXT(A453,"yyyy-mm-dd")&amp;"|"&amp;B453&amp;"|"&amp;C453)</f>
        <v/>
      </c>
    </row>
    <row r="454">
      <c r="A454" s="4" t="n"/>
      <c r="D454" s="5" t="n"/>
      <c r="E454" s="5" t="n"/>
      <c r="G454" s="6">
        <f>IF(OR(A454="",D454="",E454=""),"",ROUND(MOD(E454-D454,1)*24-N(F454)/60,2))</f>
        <v/>
      </c>
      <c r="H454" s="7">
        <f>IF(C454="","",IFERROR(INDEX(Sites!$B$2:$B$501,MATCH(C454,Sites!$A$2:$A$501,0)),"?"))</f>
        <v/>
      </c>
      <c r="I454" s="8">
        <f>IF(A454="","",A454-WEEKDAY(A454,3))</f>
        <v/>
      </c>
      <c r="K454" s="7">
        <f>IF(A454="","",IF(OR(B454="",C454="",D454="",E454=""),"Missing info",IF(ISNA(MATCH(B454,Staff!$A$2:$A$101,0)),"Unknown employee",IF(H454="?","Unknown site",IF(G454&lt;=0,"Check times",IF(G454&gt;12,"Over 12h",IF(COUNTIFS($L$2:$L$2001,L454)&gt;1,"Duplicate?",IF(A454&gt;TODAY(),"Future date","OK"))))))))</f>
        <v/>
      </c>
      <c r="L454">
        <f>IF(A454="","",TEXT(A454,"yyyy-mm-dd")&amp;"|"&amp;B454&amp;"|"&amp;C454)</f>
        <v/>
      </c>
    </row>
    <row r="455">
      <c r="A455" s="4" t="n"/>
      <c r="D455" s="5" t="n"/>
      <c r="E455" s="5" t="n"/>
      <c r="G455" s="6">
        <f>IF(OR(A455="",D455="",E455=""),"",ROUND(MOD(E455-D455,1)*24-N(F455)/60,2))</f>
        <v/>
      </c>
      <c r="H455" s="7">
        <f>IF(C455="","",IFERROR(INDEX(Sites!$B$2:$B$501,MATCH(C455,Sites!$A$2:$A$501,0)),"?"))</f>
        <v/>
      </c>
      <c r="I455" s="8">
        <f>IF(A455="","",A455-WEEKDAY(A455,3))</f>
        <v/>
      </c>
      <c r="K455" s="7">
        <f>IF(A455="","",IF(OR(B455="",C455="",D455="",E455=""),"Missing info",IF(ISNA(MATCH(B455,Staff!$A$2:$A$101,0)),"Unknown employee",IF(H455="?","Unknown site",IF(G455&lt;=0,"Check times",IF(G455&gt;12,"Over 12h",IF(COUNTIFS($L$2:$L$2001,L455)&gt;1,"Duplicate?",IF(A455&gt;TODAY(),"Future date","OK"))))))))</f>
        <v/>
      </c>
      <c r="L455">
        <f>IF(A455="","",TEXT(A455,"yyyy-mm-dd")&amp;"|"&amp;B455&amp;"|"&amp;C455)</f>
        <v/>
      </c>
    </row>
    <row r="456">
      <c r="A456" s="4" t="n"/>
      <c r="D456" s="5" t="n"/>
      <c r="E456" s="5" t="n"/>
      <c r="G456" s="6">
        <f>IF(OR(A456="",D456="",E456=""),"",ROUND(MOD(E456-D456,1)*24-N(F456)/60,2))</f>
        <v/>
      </c>
      <c r="H456" s="7">
        <f>IF(C456="","",IFERROR(INDEX(Sites!$B$2:$B$501,MATCH(C456,Sites!$A$2:$A$501,0)),"?"))</f>
        <v/>
      </c>
      <c r="I456" s="8">
        <f>IF(A456="","",A456-WEEKDAY(A456,3))</f>
        <v/>
      </c>
      <c r="K456" s="7">
        <f>IF(A456="","",IF(OR(B456="",C456="",D456="",E456=""),"Missing info",IF(ISNA(MATCH(B456,Staff!$A$2:$A$101,0)),"Unknown employee",IF(H456="?","Unknown site",IF(G456&lt;=0,"Check times",IF(G456&gt;12,"Over 12h",IF(COUNTIFS($L$2:$L$2001,L456)&gt;1,"Duplicate?",IF(A456&gt;TODAY(),"Future date","OK"))))))))</f>
        <v/>
      </c>
      <c r="L456">
        <f>IF(A456="","",TEXT(A456,"yyyy-mm-dd")&amp;"|"&amp;B456&amp;"|"&amp;C456)</f>
        <v/>
      </c>
    </row>
    <row r="457">
      <c r="A457" s="4" t="n"/>
      <c r="D457" s="5" t="n"/>
      <c r="E457" s="5" t="n"/>
      <c r="G457" s="6">
        <f>IF(OR(A457="",D457="",E457=""),"",ROUND(MOD(E457-D457,1)*24-N(F457)/60,2))</f>
        <v/>
      </c>
      <c r="H457" s="7">
        <f>IF(C457="","",IFERROR(INDEX(Sites!$B$2:$B$501,MATCH(C457,Sites!$A$2:$A$501,0)),"?"))</f>
        <v/>
      </c>
      <c r="I457" s="8">
        <f>IF(A457="","",A457-WEEKDAY(A457,3))</f>
        <v/>
      </c>
      <c r="K457" s="7">
        <f>IF(A457="","",IF(OR(B457="",C457="",D457="",E457=""),"Missing info",IF(ISNA(MATCH(B457,Staff!$A$2:$A$101,0)),"Unknown employee",IF(H457="?","Unknown site",IF(G457&lt;=0,"Check times",IF(G457&gt;12,"Over 12h",IF(COUNTIFS($L$2:$L$2001,L457)&gt;1,"Duplicate?",IF(A457&gt;TODAY(),"Future date","OK"))))))))</f>
        <v/>
      </c>
      <c r="L457">
        <f>IF(A457="","",TEXT(A457,"yyyy-mm-dd")&amp;"|"&amp;B457&amp;"|"&amp;C457)</f>
        <v/>
      </c>
    </row>
    <row r="458">
      <c r="A458" s="4" t="n"/>
      <c r="D458" s="5" t="n"/>
      <c r="E458" s="5" t="n"/>
      <c r="G458" s="6">
        <f>IF(OR(A458="",D458="",E458=""),"",ROUND(MOD(E458-D458,1)*24-N(F458)/60,2))</f>
        <v/>
      </c>
      <c r="H458" s="7">
        <f>IF(C458="","",IFERROR(INDEX(Sites!$B$2:$B$501,MATCH(C458,Sites!$A$2:$A$501,0)),"?"))</f>
        <v/>
      </c>
      <c r="I458" s="8">
        <f>IF(A458="","",A458-WEEKDAY(A458,3))</f>
        <v/>
      </c>
      <c r="K458" s="7">
        <f>IF(A458="","",IF(OR(B458="",C458="",D458="",E458=""),"Missing info",IF(ISNA(MATCH(B458,Staff!$A$2:$A$101,0)),"Unknown employee",IF(H458="?","Unknown site",IF(G458&lt;=0,"Check times",IF(G458&gt;12,"Over 12h",IF(COUNTIFS($L$2:$L$2001,L458)&gt;1,"Duplicate?",IF(A458&gt;TODAY(),"Future date","OK"))))))))</f>
        <v/>
      </c>
      <c r="L458">
        <f>IF(A458="","",TEXT(A458,"yyyy-mm-dd")&amp;"|"&amp;B458&amp;"|"&amp;C458)</f>
        <v/>
      </c>
    </row>
    <row r="459">
      <c r="A459" s="4" t="n"/>
      <c r="D459" s="5" t="n"/>
      <c r="E459" s="5" t="n"/>
      <c r="G459" s="6">
        <f>IF(OR(A459="",D459="",E459=""),"",ROUND(MOD(E459-D459,1)*24-N(F459)/60,2))</f>
        <v/>
      </c>
      <c r="H459" s="7">
        <f>IF(C459="","",IFERROR(INDEX(Sites!$B$2:$B$501,MATCH(C459,Sites!$A$2:$A$501,0)),"?"))</f>
        <v/>
      </c>
      <c r="I459" s="8">
        <f>IF(A459="","",A459-WEEKDAY(A459,3))</f>
        <v/>
      </c>
      <c r="K459" s="7">
        <f>IF(A459="","",IF(OR(B459="",C459="",D459="",E459=""),"Missing info",IF(ISNA(MATCH(B459,Staff!$A$2:$A$101,0)),"Unknown employee",IF(H459="?","Unknown site",IF(G459&lt;=0,"Check times",IF(G459&gt;12,"Over 12h",IF(COUNTIFS($L$2:$L$2001,L459)&gt;1,"Duplicate?",IF(A459&gt;TODAY(),"Future date","OK"))))))))</f>
        <v/>
      </c>
      <c r="L459">
        <f>IF(A459="","",TEXT(A459,"yyyy-mm-dd")&amp;"|"&amp;B459&amp;"|"&amp;C459)</f>
        <v/>
      </c>
    </row>
    <row r="460">
      <c r="A460" s="4" t="n"/>
      <c r="D460" s="5" t="n"/>
      <c r="E460" s="5" t="n"/>
      <c r="G460" s="6">
        <f>IF(OR(A460="",D460="",E460=""),"",ROUND(MOD(E460-D460,1)*24-N(F460)/60,2))</f>
        <v/>
      </c>
      <c r="H460" s="7">
        <f>IF(C460="","",IFERROR(INDEX(Sites!$B$2:$B$501,MATCH(C460,Sites!$A$2:$A$501,0)),"?"))</f>
        <v/>
      </c>
      <c r="I460" s="8">
        <f>IF(A460="","",A460-WEEKDAY(A460,3))</f>
        <v/>
      </c>
      <c r="K460" s="7">
        <f>IF(A460="","",IF(OR(B460="",C460="",D460="",E460=""),"Missing info",IF(ISNA(MATCH(B460,Staff!$A$2:$A$101,0)),"Unknown employee",IF(H460="?","Unknown site",IF(G460&lt;=0,"Check times",IF(G460&gt;12,"Over 12h",IF(COUNTIFS($L$2:$L$2001,L460)&gt;1,"Duplicate?",IF(A460&gt;TODAY(),"Future date","OK"))))))))</f>
        <v/>
      </c>
      <c r="L460">
        <f>IF(A460="","",TEXT(A460,"yyyy-mm-dd")&amp;"|"&amp;B460&amp;"|"&amp;C460)</f>
        <v/>
      </c>
    </row>
    <row r="461">
      <c r="A461" s="4" t="n"/>
      <c r="D461" s="5" t="n"/>
      <c r="E461" s="5" t="n"/>
      <c r="G461" s="6">
        <f>IF(OR(A461="",D461="",E461=""),"",ROUND(MOD(E461-D461,1)*24-N(F461)/60,2))</f>
        <v/>
      </c>
      <c r="H461" s="7">
        <f>IF(C461="","",IFERROR(INDEX(Sites!$B$2:$B$501,MATCH(C461,Sites!$A$2:$A$501,0)),"?"))</f>
        <v/>
      </c>
      <c r="I461" s="8">
        <f>IF(A461="","",A461-WEEKDAY(A461,3))</f>
        <v/>
      </c>
      <c r="K461" s="7">
        <f>IF(A461="","",IF(OR(B461="",C461="",D461="",E461=""),"Missing info",IF(ISNA(MATCH(B461,Staff!$A$2:$A$101,0)),"Unknown employee",IF(H461="?","Unknown site",IF(G461&lt;=0,"Check times",IF(G461&gt;12,"Over 12h",IF(COUNTIFS($L$2:$L$2001,L461)&gt;1,"Duplicate?",IF(A461&gt;TODAY(),"Future date","OK"))))))))</f>
        <v/>
      </c>
      <c r="L461">
        <f>IF(A461="","",TEXT(A461,"yyyy-mm-dd")&amp;"|"&amp;B461&amp;"|"&amp;C461)</f>
        <v/>
      </c>
    </row>
    <row r="462">
      <c r="A462" s="4" t="n"/>
      <c r="D462" s="5" t="n"/>
      <c r="E462" s="5" t="n"/>
      <c r="G462" s="6">
        <f>IF(OR(A462="",D462="",E462=""),"",ROUND(MOD(E462-D462,1)*24-N(F462)/60,2))</f>
        <v/>
      </c>
      <c r="H462" s="7">
        <f>IF(C462="","",IFERROR(INDEX(Sites!$B$2:$B$501,MATCH(C462,Sites!$A$2:$A$501,0)),"?"))</f>
        <v/>
      </c>
      <c r="I462" s="8">
        <f>IF(A462="","",A462-WEEKDAY(A462,3))</f>
        <v/>
      </c>
      <c r="K462" s="7">
        <f>IF(A462="","",IF(OR(B462="",C462="",D462="",E462=""),"Missing info",IF(ISNA(MATCH(B462,Staff!$A$2:$A$101,0)),"Unknown employee",IF(H462="?","Unknown site",IF(G462&lt;=0,"Check times",IF(G462&gt;12,"Over 12h",IF(COUNTIFS($L$2:$L$2001,L462)&gt;1,"Duplicate?",IF(A462&gt;TODAY(),"Future date","OK"))))))))</f>
        <v/>
      </c>
      <c r="L462">
        <f>IF(A462="","",TEXT(A462,"yyyy-mm-dd")&amp;"|"&amp;B462&amp;"|"&amp;C462)</f>
        <v/>
      </c>
    </row>
    <row r="463">
      <c r="A463" s="4" t="n"/>
      <c r="D463" s="5" t="n"/>
      <c r="E463" s="5" t="n"/>
      <c r="G463" s="6">
        <f>IF(OR(A463="",D463="",E463=""),"",ROUND(MOD(E463-D463,1)*24-N(F463)/60,2))</f>
        <v/>
      </c>
      <c r="H463" s="7">
        <f>IF(C463="","",IFERROR(INDEX(Sites!$B$2:$B$501,MATCH(C463,Sites!$A$2:$A$501,0)),"?"))</f>
        <v/>
      </c>
      <c r="I463" s="8">
        <f>IF(A463="","",A463-WEEKDAY(A463,3))</f>
        <v/>
      </c>
      <c r="K463" s="7">
        <f>IF(A463="","",IF(OR(B463="",C463="",D463="",E463=""),"Missing info",IF(ISNA(MATCH(B463,Staff!$A$2:$A$101,0)),"Unknown employee",IF(H463="?","Unknown site",IF(G463&lt;=0,"Check times",IF(G463&gt;12,"Over 12h",IF(COUNTIFS($L$2:$L$2001,L463)&gt;1,"Duplicate?",IF(A463&gt;TODAY(),"Future date","OK"))))))))</f>
        <v/>
      </c>
      <c r="L463">
        <f>IF(A463="","",TEXT(A463,"yyyy-mm-dd")&amp;"|"&amp;B463&amp;"|"&amp;C463)</f>
        <v/>
      </c>
    </row>
    <row r="464">
      <c r="A464" s="4" t="n"/>
      <c r="D464" s="5" t="n"/>
      <c r="E464" s="5" t="n"/>
      <c r="G464" s="6">
        <f>IF(OR(A464="",D464="",E464=""),"",ROUND(MOD(E464-D464,1)*24-N(F464)/60,2))</f>
        <v/>
      </c>
      <c r="H464" s="7">
        <f>IF(C464="","",IFERROR(INDEX(Sites!$B$2:$B$501,MATCH(C464,Sites!$A$2:$A$501,0)),"?"))</f>
        <v/>
      </c>
      <c r="I464" s="8">
        <f>IF(A464="","",A464-WEEKDAY(A464,3))</f>
        <v/>
      </c>
      <c r="K464" s="7">
        <f>IF(A464="","",IF(OR(B464="",C464="",D464="",E464=""),"Missing info",IF(ISNA(MATCH(B464,Staff!$A$2:$A$101,0)),"Unknown employee",IF(H464="?","Unknown site",IF(G464&lt;=0,"Check times",IF(G464&gt;12,"Over 12h",IF(COUNTIFS($L$2:$L$2001,L464)&gt;1,"Duplicate?",IF(A464&gt;TODAY(),"Future date","OK"))))))))</f>
        <v/>
      </c>
      <c r="L464">
        <f>IF(A464="","",TEXT(A464,"yyyy-mm-dd")&amp;"|"&amp;B464&amp;"|"&amp;C464)</f>
        <v/>
      </c>
    </row>
    <row r="465">
      <c r="A465" s="4" t="n"/>
      <c r="D465" s="5" t="n"/>
      <c r="E465" s="5" t="n"/>
      <c r="G465" s="6">
        <f>IF(OR(A465="",D465="",E465=""),"",ROUND(MOD(E465-D465,1)*24-N(F465)/60,2))</f>
        <v/>
      </c>
      <c r="H465" s="7">
        <f>IF(C465="","",IFERROR(INDEX(Sites!$B$2:$B$501,MATCH(C465,Sites!$A$2:$A$501,0)),"?"))</f>
        <v/>
      </c>
      <c r="I465" s="8">
        <f>IF(A465="","",A465-WEEKDAY(A465,3))</f>
        <v/>
      </c>
      <c r="K465" s="7">
        <f>IF(A465="","",IF(OR(B465="",C465="",D465="",E465=""),"Missing info",IF(ISNA(MATCH(B465,Staff!$A$2:$A$101,0)),"Unknown employee",IF(H465="?","Unknown site",IF(G465&lt;=0,"Check times",IF(G465&gt;12,"Over 12h",IF(COUNTIFS($L$2:$L$2001,L465)&gt;1,"Duplicate?",IF(A465&gt;TODAY(),"Future date","OK"))))))))</f>
        <v/>
      </c>
      <c r="L465">
        <f>IF(A465="","",TEXT(A465,"yyyy-mm-dd")&amp;"|"&amp;B465&amp;"|"&amp;C465)</f>
        <v/>
      </c>
    </row>
    <row r="466">
      <c r="A466" s="4" t="n"/>
      <c r="D466" s="5" t="n"/>
      <c r="E466" s="5" t="n"/>
      <c r="G466" s="6">
        <f>IF(OR(A466="",D466="",E466=""),"",ROUND(MOD(E466-D466,1)*24-N(F466)/60,2))</f>
        <v/>
      </c>
      <c r="H466" s="7">
        <f>IF(C466="","",IFERROR(INDEX(Sites!$B$2:$B$501,MATCH(C466,Sites!$A$2:$A$501,0)),"?"))</f>
        <v/>
      </c>
      <c r="I466" s="8">
        <f>IF(A466="","",A466-WEEKDAY(A466,3))</f>
        <v/>
      </c>
      <c r="K466" s="7">
        <f>IF(A466="","",IF(OR(B466="",C466="",D466="",E466=""),"Missing info",IF(ISNA(MATCH(B466,Staff!$A$2:$A$101,0)),"Unknown employee",IF(H466="?","Unknown site",IF(G466&lt;=0,"Check times",IF(G466&gt;12,"Over 12h",IF(COUNTIFS($L$2:$L$2001,L466)&gt;1,"Duplicate?",IF(A466&gt;TODAY(),"Future date","OK"))))))))</f>
        <v/>
      </c>
      <c r="L466">
        <f>IF(A466="","",TEXT(A466,"yyyy-mm-dd")&amp;"|"&amp;B466&amp;"|"&amp;C466)</f>
        <v/>
      </c>
    </row>
    <row r="467">
      <c r="A467" s="4" t="n"/>
      <c r="D467" s="5" t="n"/>
      <c r="E467" s="5" t="n"/>
      <c r="G467" s="6">
        <f>IF(OR(A467="",D467="",E467=""),"",ROUND(MOD(E467-D467,1)*24-N(F467)/60,2))</f>
        <v/>
      </c>
      <c r="H467" s="7">
        <f>IF(C467="","",IFERROR(INDEX(Sites!$B$2:$B$501,MATCH(C467,Sites!$A$2:$A$501,0)),"?"))</f>
        <v/>
      </c>
      <c r="I467" s="8">
        <f>IF(A467="","",A467-WEEKDAY(A467,3))</f>
        <v/>
      </c>
      <c r="K467" s="7">
        <f>IF(A467="","",IF(OR(B467="",C467="",D467="",E467=""),"Missing info",IF(ISNA(MATCH(B467,Staff!$A$2:$A$101,0)),"Unknown employee",IF(H467="?","Unknown site",IF(G467&lt;=0,"Check times",IF(G467&gt;12,"Over 12h",IF(COUNTIFS($L$2:$L$2001,L467)&gt;1,"Duplicate?",IF(A467&gt;TODAY(),"Future date","OK"))))))))</f>
        <v/>
      </c>
      <c r="L467">
        <f>IF(A467="","",TEXT(A467,"yyyy-mm-dd")&amp;"|"&amp;B467&amp;"|"&amp;C467)</f>
        <v/>
      </c>
    </row>
    <row r="468">
      <c r="A468" s="4" t="n"/>
      <c r="D468" s="5" t="n"/>
      <c r="E468" s="5" t="n"/>
      <c r="G468" s="6">
        <f>IF(OR(A468="",D468="",E468=""),"",ROUND(MOD(E468-D468,1)*24-N(F468)/60,2))</f>
        <v/>
      </c>
      <c r="H468" s="7">
        <f>IF(C468="","",IFERROR(INDEX(Sites!$B$2:$B$501,MATCH(C468,Sites!$A$2:$A$501,0)),"?"))</f>
        <v/>
      </c>
      <c r="I468" s="8">
        <f>IF(A468="","",A468-WEEKDAY(A468,3))</f>
        <v/>
      </c>
      <c r="K468" s="7">
        <f>IF(A468="","",IF(OR(B468="",C468="",D468="",E468=""),"Missing info",IF(ISNA(MATCH(B468,Staff!$A$2:$A$101,0)),"Unknown employee",IF(H468="?","Unknown site",IF(G468&lt;=0,"Check times",IF(G468&gt;12,"Over 12h",IF(COUNTIFS($L$2:$L$2001,L468)&gt;1,"Duplicate?",IF(A468&gt;TODAY(),"Future date","OK"))))))))</f>
        <v/>
      </c>
      <c r="L468">
        <f>IF(A468="","",TEXT(A468,"yyyy-mm-dd")&amp;"|"&amp;B468&amp;"|"&amp;C468)</f>
        <v/>
      </c>
    </row>
    <row r="469">
      <c r="A469" s="4" t="n"/>
      <c r="D469" s="5" t="n"/>
      <c r="E469" s="5" t="n"/>
      <c r="G469" s="6">
        <f>IF(OR(A469="",D469="",E469=""),"",ROUND(MOD(E469-D469,1)*24-N(F469)/60,2))</f>
        <v/>
      </c>
      <c r="H469" s="7">
        <f>IF(C469="","",IFERROR(INDEX(Sites!$B$2:$B$501,MATCH(C469,Sites!$A$2:$A$501,0)),"?"))</f>
        <v/>
      </c>
      <c r="I469" s="8">
        <f>IF(A469="","",A469-WEEKDAY(A469,3))</f>
        <v/>
      </c>
      <c r="K469" s="7">
        <f>IF(A469="","",IF(OR(B469="",C469="",D469="",E469=""),"Missing info",IF(ISNA(MATCH(B469,Staff!$A$2:$A$101,0)),"Unknown employee",IF(H469="?","Unknown site",IF(G469&lt;=0,"Check times",IF(G469&gt;12,"Over 12h",IF(COUNTIFS($L$2:$L$2001,L469)&gt;1,"Duplicate?",IF(A469&gt;TODAY(),"Future date","OK"))))))))</f>
        <v/>
      </c>
      <c r="L469">
        <f>IF(A469="","",TEXT(A469,"yyyy-mm-dd")&amp;"|"&amp;B469&amp;"|"&amp;C469)</f>
        <v/>
      </c>
    </row>
    <row r="470">
      <c r="A470" s="4" t="n"/>
      <c r="D470" s="5" t="n"/>
      <c r="E470" s="5" t="n"/>
      <c r="G470" s="6">
        <f>IF(OR(A470="",D470="",E470=""),"",ROUND(MOD(E470-D470,1)*24-N(F470)/60,2))</f>
        <v/>
      </c>
      <c r="H470" s="7">
        <f>IF(C470="","",IFERROR(INDEX(Sites!$B$2:$B$501,MATCH(C470,Sites!$A$2:$A$501,0)),"?"))</f>
        <v/>
      </c>
      <c r="I470" s="8">
        <f>IF(A470="","",A470-WEEKDAY(A470,3))</f>
        <v/>
      </c>
      <c r="K470" s="7">
        <f>IF(A470="","",IF(OR(B470="",C470="",D470="",E470=""),"Missing info",IF(ISNA(MATCH(B470,Staff!$A$2:$A$101,0)),"Unknown employee",IF(H470="?","Unknown site",IF(G470&lt;=0,"Check times",IF(G470&gt;12,"Over 12h",IF(COUNTIFS($L$2:$L$2001,L470)&gt;1,"Duplicate?",IF(A470&gt;TODAY(),"Future date","OK"))))))))</f>
        <v/>
      </c>
      <c r="L470">
        <f>IF(A470="","",TEXT(A470,"yyyy-mm-dd")&amp;"|"&amp;B470&amp;"|"&amp;C470)</f>
        <v/>
      </c>
    </row>
    <row r="471">
      <c r="A471" s="4" t="n"/>
      <c r="D471" s="5" t="n"/>
      <c r="E471" s="5" t="n"/>
      <c r="G471" s="6">
        <f>IF(OR(A471="",D471="",E471=""),"",ROUND(MOD(E471-D471,1)*24-N(F471)/60,2))</f>
        <v/>
      </c>
      <c r="H471" s="7">
        <f>IF(C471="","",IFERROR(INDEX(Sites!$B$2:$B$501,MATCH(C471,Sites!$A$2:$A$501,0)),"?"))</f>
        <v/>
      </c>
      <c r="I471" s="8">
        <f>IF(A471="","",A471-WEEKDAY(A471,3))</f>
        <v/>
      </c>
      <c r="K471" s="7">
        <f>IF(A471="","",IF(OR(B471="",C471="",D471="",E471=""),"Missing info",IF(ISNA(MATCH(B471,Staff!$A$2:$A$101,0)),"Unknown employee",IF(H471="?","Unknown site",IF(G471&lt;=0,"Check times",IF(G471&gt;12,"Over 12h",IF(COUNTIFS($L$2:$L$2001,L471)&gt;1,"Duplicate?",IF(A471&gt;TODAY(),"Future date","OK"))))))))</f>
        <v/>
      </c>
      <c r="L471">
        <f>IF(A471="","",TEXT(A471,"yyyy-mm-dd")&amp;"|"&amp;B471&amp;"|"&amp;C471)</f>
        <v/>
      </c>
    </row>
    <row r="472">
      <c r="A472" s="4" t="n"/>
      <c r="D472" s="5" t="n"/>
      <c r="E472" s="5" t="n"/>
      <c r="G472" s="6">
        <f>IF(OR(A472="",D472="",E472=""),"",ROUND(MOD(E472-D472,1)*24-N(F472)/60,2))</f>
        <v/>
      </c>
      <c r="H472" s="7">
        <f>IF(C472="","",IFERROR(INDEX(Sites!$B$2:$B$501,MATCH(C472,Sites!$A$2:$A$501,0)),"?"))</f>
        <v/>
      </c>
      <c r="I472" s="8">
        <f>IF(A472="","",A472-WEEKDAY(A472,3))</f>
        <v/>
      </c>
      <c r="K472" s="7">
        <f>IF(A472="","",IF(OR(B472="",C472="",D472="",E472=""),"Missing info",IF(ISNA(MATCH(B472,Staff!$A$2:$A$101,0)),"Unknown employee",IF(H472="?","Unknown site",IF(G472&lt;=0,"Check times",IF(G472&gt;12,"Over 12h",IF(COUNTIFS($L$2:$L$2001,L472)&gt;1,"Duplicate?",IF(A472&gt;TODAY(),"Future date","OK"))))))))</f>
        <v/>
      </c>
      <c r="L472">
        <f>IF(A472="","",TEXT(A472,"yyyy-mm-dd")&amp;"|"&amp;B472&amp;"|"&amp;C472)</f>
        <v/>
      </c>
    </row>
    <row r="473">
      <c r="A473" s="4" t="n"/>
      <c r="D473" s="5" t="n"/>
      <c r="E473" s="5" t="n"/>
      <c r="G473" s="6">
        <f>IF(OR(A473="",D473="",E473=""),"",ROUND(MOD(E473-D473,1)*24-N(F473)/60,2))</f>
        <v/>
      </c>
      <c r="H473" s="7">
        <f>IF(C473="","",IFERROR(INDEX(Sites!$B$2:$B$501,MATCH(C473,Sites!$A$2:$A$501,0)),"?"))</f>
        <v/>
      </c>
      <c r="I473" s="8">
        <f>IF(A473="","",A473-WEEKDAY(A473,3))</f>
        <v/>
      </c>
      <c r="K473" s="7">
        <f>IF(A473="","",IF(OR(B473="",C473="",D473="",E473=""),"Missing info",IF(ISNA(MATCH(B473,Staff!$A$2:$A$101,0)),"Unknown employee",IF(H473="?","Unknown site",IF(G473&lt;=0,"Check times",IF(G473&gt;12,"Over 12h",IF(COUNTIFS($L$2:$L$2001,L473)&gt;1,"Duplicate?",IF(A473&gt;TODAY(),"Future date","OK"))))))))</f>
        <v/>
      </c>
      <c r="L473">
        <f>IF(A473="","",TEXT(A473,"yyyy-mm-dd")&amp;"|"&amp;B473&amp;"|"&amp;C473)</f>
        <v/>
      </c>
    </row>
    <row r="474">
      <c r="A474" s="4" t="n"/>
      <c r="D474" s="5" t="n"/>
      <c r="E474" s="5" t="n"/>
      <c r="G474" s="6">
        <f>IF(OR(A474="",D474="",E474=""),"",ROUND(MOD(E474-D474,1)*24-N(F474)/60,2))</f>
        <v/>
      </c>
      <c r="H474" s="7">
        <f>IF(C474="","",IFERROR(INDEX(Sites!$B$2:$B$501,MATCH(C474,Sites!$A$2:$A$501,0)),"?"))</f>
        <v/>
      </c>
      <c r="I474" s="8">
        <f>IF(A474="","",A474-WEEKDAY(A474,3))</f>
        <v/>
      </c>
      <c r="K474" s="7">
        <f>IF(A474="","",IF(OR(B474="",C474="",D474="",E474=""),"Missing info",IF(ISNA(MATCH(B474,Staff!$A$2:$A$101,0)),"Unknown employee",IF(H474="?","Unknown site",IF(G474&lt;=0,"Check times",IF(G474&gt;12,"Over 12h",IF(COUNTIFS($L$2:$L$2001,L474)&gt;1,"Duplicate?",IF(A474&gt;TODAY(),"Future date","OK"))))))))</f>
        <v/>
      </c>
      <c r="L474">
        <f>IF(A474="","",TEXT(A474,"yyyy-mm-dd")&amp;"|"&amp;B474&amp;"|"&amp;C474)</f>
        <v/>
      </c>
    </row>
    <row r="475">
      <c r="A475" s="4" t="n"/>
      <c r="D475" s="5" t="n"/>
      <c r="E475" s="5" t="n"/>
      <c r="G475" s="6">
        <f>IF(OR(A475="",D475="",E475=""),"",ROUND(MOD(E475-D475,1)*24-N(F475)/60,2))</f>
        <v/>
      </c>
      <c r="H475" s="7">
        <f>IF(C475="","",IFERROR(INDEX(Sites!$B$2:$B$501,MATCH(C475,Sites!$A$2:$A$501,0)),"?"))</f>
        <v/>
      </c>
      <c r="I475" s="8">
        <f>IF(A475="","",A475-WEEKDAY(A475,3))</f>
        <v/>
      </c>
      <c r="K475" s="7">
        <f>IF(A475="","",IF(OR(B475="",C475="",D475="",E475=""),"Missing info",IF(ISNA(MATCH(B475,Staff!$A$2:$A$101,0)),"Unknown employee",IF(H475="?","Unknown site",IF(G475&lt;=0,"Check times",IF(G475&gt;12,"Over 12h",IF(COUNTIFS($L$2:$L$2001,L475)&gt;1,"Duplicate?",IF(A475&gt;TODAY(),"Future date","OK"))))))))</f>
        <v/>
      </c>
      <c r="L475">
        <f>IF(A475="","",TEXT(A475,"yyyy-mm-dd")&amp;"|"&amp;B475&amp;"|"&amp;C475)</f>
        <v/>
      </c>
    </row>
    <row r="476">
      <c r="A476" s="4" t="n"/>
      <c r="D476" s="5" t="n"/>
      <c r="E476" s="5" t="n"/>
      <c r="G476" s="6">
        <f>IF(OR(A476="",D476="",E476=""),"",ROUND(MOD(E476-D476,1)*24-N(F476)/60,2))</f>
        <v/>
      </c>
      <c r="H476" s="7">
        <f>IF(C476="","",IFERROR(INDEX(Sites!$B$2:$B$501,MATCH(C476,Sites!$A$2:$A$501,0)),"?"))</f>
        <v/>
      </c>
      <c r="I476" s="8">
        <f>IF(A476="","",A476-WEEKDAY(A476,3))</f>
        <v/>
      </c>
      <c r="K476" s="7">
        <f>IF(A476="","",IF(OR(B476="",C476="",D476="",E476=""),"Missing info",IF(ISNA(MATCH(B476,Staff!$A$2:$A$101,0)),"Unknown employee",IF(H476="?","Unknown site",IF(G476&lt;=0,"Check times",IF(G476&gt;12,"Over 12h",IF(COUNTIFS($L$2:$L$2001,L476)&gt;1,"Duplicate?",IF(A476&gt;TODAY(),"Future date","OK"))))))))</f>
        <v/>
      </c>
      <c r="L476">
        <f>IF(A476="","",TEXT(A476,"yyyy-mm-dd")&amp;"|"&amp;B476&amp;"|"&amp;C476)</f>
        <v/>
      </c>
    </row>
    <row r="477">
      <c r="A477" s="4" t="n"/>
      <c r="D477" s="5" t="n"/>
      <c r="E477" s="5" t="n"/>
      <c r="G477" s="6">
        <f>IF(OR(A477="",D477="",E477=""),"",ROUND(MOD(E477-D477,1)*24-N(F477)/60,2))</f>
        <v/>
      </c>
      <c r="H477" s="7">
        <f>IF(C477="","",IFERROR(INDEX(Sites!$B$2:$B$501,MATCH(C477,Sites!$A$2:$A$501,0)),"?"))</f>
        <v/>
      </c>
      <c r="I477" s="8">
        <f>IF(A477="","",A477-WEEKDAY(A477,3))</f>
        <v/>
      </c>
      <c r="K477" s="7">
        <f>IF(A477="","",IF(OR(B477="",C477="",D477="",E477=""),"Missing info",IF(ISNA(MATCH(B477,Staff!$A$2:$A$101,0)),"Unknown employee",IF(H477="?","Unknown site",IF(G477&lt;=0,"Check times",IF(G477&gt;12,"Over 12h",IF(COUNTIFS($L$2:$L$2001,L477)&gt;1,"Duplicate?",IF(A477&gt;TODAY(),"Future date","OK"))))))))</f>
        <v/>
      </c>
      <c r="L477">
        <f>IF(A477="","",TEXT(A477,"yyyy-mm-dd")&amp;"|"&amp;B477&amp;"|"&amp;C477)</f>
        <v/>
      </c>
    </row>
    <row r="478">
      <c r="A478" s="4" t="n"/>
      <c r="D478" s="5" t="n"/>
      <c r="E478" s="5" t="n"/>
      <c r="G478" s="6">
        <f>IF(OR(A478="",D478="",E478=""),"",ROUND(MOD(E478-D478,1)*24-N(F478)/60,2))</f>
        <v/>
      </c>
      <c r="H478" s="7">
        <f>IF(C478="","",IFERROR(INDEX(Sites!$B$2:$B$501,MATCH(C478,Sites!$A$2:$A$501,0)),"?"))</f>
        <v/>
      </c>
      <c r="I478" s="8">
        <f>IF(A478="","",A478-WEEKDAY(A478,3))</f>
        <v/>
      </c>
      <c r="K478" s="7">
        <f>IF(A478="","",IF(OR(B478="",C478="",D478="",E478=""),"Missing info",IF(ISNA(MATCH(B478,Staff!$A$2:$A$101,0)),"Unknown employee",IF(H478="?","Unknown site",IF(G478&lt;=0,"Check times",IF(G478&gt;12,"Over 12h",IF(COUNTIFS($L$2:$L$2001,L478)&gt;1,"Duplicate?",IF(A478&gt;TODAY(),"Future date","OK"))))))))</f>
        <v/>
      </c>
      <c r="L478">
        <f>IF(A478="","",TEXT(A478,"yyyy-mm-dd")&amp;"|"&amp;B478&amp;"|"&amp;C478)</f>
        <v/>
      </c>
    </row>
    <row r="479">
      <c r="A479" s="4" t="n"/>
      <c r="D479" s="5" t="n"/>
      <c r="E479" s="5" t="n"/>
      <c r="G479" s="6">
        <f>IF(OR(A479="",D479="",E479=""),"",ROUND(MOD(E479-D479,1)*24-N(F479)/60,2))</f>
        <v/>
      </c>
      <c r="H479" s="7">
        <f>IF(C479="","",IFERROR(INDEX(Sites!$B$2:$B$501,MATCH(C479,Sites!$A$2:$A$501,0)),"?"))</f>
        <v/>
      </c>
      <c r="I479" s="8">
        <f>IF(A479="","",A479-WEEKDAY(A479,3))</f>
        <v/>
      </c>
      <c r="K479" s="7">
        <f>IF(A479="","",IF(OR(B479="",C479="",D479="",E479=""),"Missing info",IF(ISNA(MATCH(B479,Staff!$A$2:$A$101,0)),"Unknown employee",IF(H479="?","Unknown site",IF(G479&lt;=0,"Check times",IF(G479&gt;12,"Over 12h",IF(COUNTIFS($L$2:$L$2001,L479)&gt;1,"Duplicate?",IF(A479&gt;TODAY(),"Future date","OK"))))))))</f>
        <v/>
      </c>
      <c r="L479">
        <f>IF(A479="","",TEXT(A479,"yyyy-mm-dd")&amp;"|"&amp;B479&amp;"|"&amp;C479)</f>
        <v/>
      </c>
    </row>
    <row r="480">
      <c r="A480" s="4" t="n"/>
      <c r="D480" s="5" t="n"/>
      <c r="E480" s="5" t="n"/>
      <c r="G480" s="6">
        <f>IF(OR(A480="",D480="",E480=""),"",ROUND(MOD(E480-D480,1)*24-N(F480)/60,2))</f>
        <v/>
      </c>
      <c r="H480" s="7">
        <f>IF(C480="","",IFERROR(INDEX(Sites!$B$2:$B$501,MATCH(C480,Sites!$A$2:$A$501,0)),"?"))</f>
        <v/>
      </c>
      <c r="I480" s="8">
        <f>IF(A480="","",A480-WEEKDAY(A480,3))</f>
        <v/>
      </c>
      <c r="K480" s="7">
        <f>IF(A480="","",IF(OR(B480="",C480="",D480="",E480=""),"Missing info",IF(ISNA(MATCH(B480,Staff!$A$2:$A$101,0)),"Unknown employee",IF(H480="?","Unknown site",IF(G480&lt;=0,"Check times",IF(G480&gt;12,"Over 12h",IF(COUNTIFS($L$2:$L$2001,L480)&gt;1,"Duplicate?",IF(A480&gt;TODAY(),"Future date","OK"))))))))</f>
        <v/>
      </c>
      <c r="L480">
        <f>IF(A480="","",TEXT(A480,"yyyy-mm-dd")&amp;"|"&amp;B480&amp;"|"&amp;C480)</f>
        <v/>
      </c>
    </row>
    <row r="481">
      <c r="A481" s="4" t="n"/>
      <c r="D481" s="5" t="n"/>
      <c r="E481" s="5" t="n"/>
      <c r="G481" s="6">
        <f>IF(OR(A481="",D481="",E481=""),"",ROUND(MOD(E481-D481,1)*24-N(F481)/60,2))</f>
        <v/>
      </c>
      <c r="H481" s="7">
        <f>IF(C481="","",IFERROR(INDEX(Sites!$B$2:$B$501,MATCH(C481,Sites!$A$2:$A$501,0)),"?"))</f>
        <v/>
      </c>
      <c r="I481" s="8">
        <f>IF(A481="","",A481-WEEKDAY(A481,3))</f>
        <v/>
      </c>
      <c r="K481" s="7">
        <f>IF(A481="","",IF(OR(B481="",C481="",D481="",E481=""),"Missing info",IF(ISNA(MATCH(B481,Staff!$A$2:$A$101,0)),"Unknown employee",IF(H481="?","Unknown site",IF(G481&lt;=0,"Check times",IF(G481&gt;12,"Over 12h",IF(COUNTIFS($L$2:$L$2001,L481)&gt;1,"Duplicate?",IF(A481&gt;TODAY(),"Future date","OK"))))))))</f>
        <v/>
      </c>
      <c r="L481">
        <f>IF(A481="","",TEXT(A481,"yyyy-mm-dd")&amp;"|"&amp;B481&amp;"|"&amp;C481)</f>
        <v/>
      </c>
    </row>
    <row r="482">
      <c r="A482" s="4" t="n"/>
      <c r="D482" s="5" t="n"/>
      <c r="E482" s="5" t="n"/>
      <c r="G482" s="6">
        <f>IF(OR(A482="",D482="",E482=""),"",ROUND(MOD(E482-D482,1)*24-N(F482)/60,2))</f>
        <v/>
      </c>
      <c r="H482" s="7">
        <f>IF(C482="","",IFERROR(INDEX(Sites!$B$2:$B$501,MATCH(C482,Sites!$A$2:$A$501,0)),"?"))</f>
        <v/>
      </c>
      <c r="I482" s="8">
        <f>IF(A482="","",A482-WEEKDAY(A482,3))</f>
        <v/>
      </c>
      <c r="K482" s="7">
        <f>IF(A482="","",IF(OR(B482="",C482="",D482="",E482=""),"Missing info",IF(ISNA(MATCH(B482,Staff!$A$2:$A$101,0)),"Unknown employee",IF(H482="?","Unknown site",IF(G482&lt;=0,"Check times",IF(G482&gt;12,"Over 12h",IF(COUNTIFS($L$2:$L$2001,L482)&gt;1,"Duplicate?",IF(A482&gt;TODAY(),"Future date","OK"))))))))</f>
        <v/>
      </c>
      <c r="L482">
        <f>IF(A482="","",TEXT(A482,"yyyy-mm-dd")&amp;"|"&amp;B482&amp;"|"&amp;C482)</f>
        <v/>
      </c>
    </row>
    <row r="483">
      <c r="A483" s="4" t="n"/>
      <c r="D483" s="5" t="n"/>
      <c r="E483" s="5" t="n"/>
      <c r="G483" s="6">
        <f>IF(OR(A483="",D483="",E483=""),"",ROUND(MOD(E483-D483,1)*24-N(F483)/60,2))</f>
        <v/>
      </c>
      <c r="H483" s="7">
        <f>IF(C483="","",IFERROR(INDEX(Sites!$B$2:$B$501,MATCH(C483,Sites!$A$2:$A$501,0)),"?"))</f>
        <v/>
      </c>
      <c r="I483" s="8">
        <f>IF(A483="","",A483-WEEKDAY(A483,3))</f>
        <v/>
      </c>
      <c r="K483" s="7">
        <f>IF(A483="","",IF(OR(B483="",C483="",D483="",E483=""),"Missing info",IF(ISNA(MATCH(B483,Staff!$A$2:$A$101,0)),"Unknown employee",IF(H483="?","Unknown site",IF(G483&lt;=0,"Check times",IF(G483&gt;12,"Over 12h",IF(COUNTIFS($L$2:$L$2001,L483)&gt;1,"Duplicate?",IF(A483&gt;TODAY(),"Future date","OK"))))))))</f>
        <v/>
      </c>
      <c r="L483">
        <f>IF(A483="","",TEXT(A483,"yyyy-mm-dd")&amp;"|"&amp;B483&amp;"|"&amp;C483)</f>
        <v/>
      </c>
    </row>
    <row r="484">
      <c r="A484" s="4" t="n"/>
      <c r="D484" s="5" t="n"/>
      <c r="E484" s="5" t="n"/>
      <c r="G484" s="6">
        <f>IF(OR(A484="",D484="",E484=""),"",ROUND(MOD(E484-D484,1)*24-N(F484)/60,2))</f>
        <v/>
      </c>
      <c r="H484" s="7">
        <f>IF(C484="","",IFERROR(INDEX(Sites!$B$2:$B$501,MATCH(C484,Sites!$A$2:$A$501,0)),"?"))</f>
        <v/>
      </c>
      <c r="I484" s="8">
        <f>IF(A484="","",A484-WEEKDAY(A484,3))</f>
        <v/>
      </c>
      <c r="K484" s="7">
        <f>IF(A484="","",IF(OR(B484="",C484="",D484="",E484=""),"Missing info",IF(ISNA(MATCH(B484,Staff!$A$2:$A$101,0)),"Unknown employee",IF(H484="?","Unknown site",IF(G484&lt;=0,"Check times",IF(G484&gt;12,"Over 12h",IF(COUNTIFS($L$2:$L$2001,L484)&gt;1,"Duplicate?",IF(A484&gt;TODAY(),"Future date","OK"))))))))</f>
        <v/>
      </c>
      <c r="L484">
        <f>IF(A484="","",TEXT(A484,"yyyy-mm-dd")&amp;"|"&amp;B484&amp;"|"&amp;C484)</f>
        <v/>
      </c>
    </row>
    <row r="485">
      <c r="A485" s="4" t="n"/>
      <c r="D485" s="5" t="n"/>
      <c r="E485" s="5" t="n"/>
      <c r="G485" s="6">
        <f>IF(OR(A485="",D485="",E485=""),"",ROUND(MOD(E485-D485,1)*24-N(F485)/60,2))</f>
        <v/>
      </c>
      <c r="H485" s="7">
        <f>IF(C485="","",IFERROR(INDEX(Sites!$B$2:$B$501,MATCH(C485,Sites!$A$2:$A$501,0)),"?"))</f>
        <v/>
      </c>
      <c r="I485" s="8">
        <f>IF(A485="","",A485-WEEKDAY(A485,3))</f>
        <v/>
      </c>
      <c r="K485" s="7">
        <f>IF(A485="","",IF(OR(B485="",C485="",D485="",E485=""),"Missing info",IF(ISNA(MATCH(B485,Staff!$A$2:$A$101,0)),"Unknown employee",IF(H485="?","Unknown site",IF(G485&lt;=0,"Check times",IF(G485&gt;12,"Over 12h",IF(COUNTIFS($L$2:$L$2001,L485)&gt;1,"Duplicate?",IF(A485&gt;TODAY(),"Future date","OK"))))))))</f>
        <v/>
      </c>
      <c r="L485">
        <f>IF(A485="","",TEXT(A485,"yyyy-mm-dd")&amp;"|"&amp;B485&amp;"|"&amp;C485)</f>
        <v/>
      </c>
    </row>
    <row r="486">
      <c r="A486" s="4" t="n"/>
      <c r="D486" s="5" t="n"/>
      <c r="E486" s="5" t="n"/>
      <c r="G486" s="6">
        <f>IF(OR(A486="",D486="",E486=""),"",ROUND(MOD(E486-D486,1)*24-N(F486)/60,2))</f>
        <v/>
      </c>
      <c r="H486" s="7">
        <f>IF(C486="","",IFERROR(INDEX(Sites!$B$2:$B$501,MATCH(C486,Sites!$A$2:$A$501,0)),"?"))</f>
        <v/>
      </c>
      <c r="I486" s="8">
        <f>IF(A486="","",A486-WEEKDAY(A486,3))</f>
        <v/>
      </c>
      <c r="K486" s="7">
        <f>IF(A486="","",IF(OR(B486="",C486="",D486="",E486=""),"Missing info",IF(ISNA(MATCH(B486,Staff!$A$2:$A$101,0)),"Unknown employee",IF(H486="?","Unknown site",IF(G486&lt;=0,"Check times",IF(G486&gt;12,"Over 12h",IF(COUNTIFS($L$2:$L$2001,L486)&gt;1,"Duplicate?",IF(A486&gt;TODAY(),"Future date","OK"))))))))</f>
        <v/>
      </c>
      <c r="L486">
        <f>IF(A486="","",TEXT(A486,"yyyy-mm-dd")&amp;"|"&amp;B486&amp;"|"&amp;C486)</f>
        <v/>
      </c>
    </row>
    <row r="487">
      <c r="A487" s="4" t="n"/>
      <c r="D487" s="5" t="n"/>
      <c r="E487" s="5" t="n"/>
      <c r="G487" s="6">
        <f>IF(OR(A487="",D487="",E487=""),"",ROUND(MOD(E487-D487,1)*24-N(F487)/60,2))</f>
        <v/>
      </c>
      <c r="H487" s="7">
        <f>IF(C487="","",IFERROR(INDEX(Sites!$B$2:$B$501,MATCH(C487,Sites!$A$2:$A$501,0)),"?"))</f>
        <v/>
      </c>
      <c r="I487" s="8">
        <f>IF(A487="","",A487-WEEKDAY(A487,3))</f>
        <v/>
      </c>
      <c r="K487" s="7">
        <f>IF(A487="","",IF(OR(B487="",C487="",D487="",E487=""),"Missing info",IF(ISNA(MATCH(B487,Staff!$A$2:$A$101,0)),"Unknown employee",IF(H487="?","Unknown site",IF(G487&lt;=0,"Check times",IF(G487&gt;12,"Over 12h",IF(COUNTIFS($L$2:$L$2001,L487)&gt;1,"Duplicate?",IF(A487&gt;TODAY(),"Future date","OK"))))))))</f>
        <v/>
      </c>
      <c r="L487">
        <f>IF(A487="","",TEXT(A487,"yyyy-mm-dd")&amp;"|"&amp;B487&amp;"|"&amp;C487)</f>
        <v/>
      </c>
    </row>
    <row r="488">
      <c r="A488" s="4" t="n"/>
      <c r="D488" s="5" t="n"/>
      <c r="E488" s="5" t="n"/>
      <c r="G488" s="6">
        <f>IF(OR(A488="",D488="",E488=""),"",ROUND(MOD(E488-D488,1)*24-N(F488)/60,2))</f>
        <v/>
      </c>
      <c r="H488" s="7">
        <f>IF(C488="","",IFERROR(INDEX(Sites!$B$2:$B$501,MATCH(C488,Sites!$A$2:$A$501,0)),"?"))</f>
        <v/>
      </c>
      <c r="I488" s="8">
        <f>IF(A488="","",A488-WEEKDAY(A488,3))</f>
        <v/>
      </c>
      <c r="K488" s="7">
        <f>IF(A488="","",IF(OR(B488="",C488="",D488="",E488=""),"Missing info",IF(ISNA(MATCH(B488,Staff!$A$2:$A$101,0)),"Unknown employee",IF(H488="?","Unknown site",IF(G488&lt;=0,"Check times",IF(G488&gt;12,"Over 12h",IF(COUNTIFS($L$2:$L$2001,L488)&gt;1,"Duplicate?",IF(A488&gt;TODAY(),"Future date","OK"))))))))</f>
        <v/>
      </c>
      <c r="L488">
        <f>IF(A488="","",TEXT(A488,"yyyy-mm-dd")&amp;"|"&amp;B488&amp;"|"&amp;C488)</f>
        <v/>
      </c>
    </row>
    <row r="489">
      <c r="A489" s="4" t="n"/>
      <c r="D489" s="5" t="n"/>
      <c r="E489" s="5" t="n"/>
      <c r="G489" s="6">
        <f>IF(OR(A489="",D489="",E489=""),"",ROUND(MOD(E489-D489,1)*24-N(F489)/60,2))</f>
        <v/>
      </c>
      <c r="H489" s="7">
        <f>IF(C489="","",IFERROR(INDEX(Sites!$B$2:$B$501,MATCH(C489,Sites!$A$2:$A$501,0)),"?"))</f>
        <v/>
      </c>
      <c r="I489" s="8">
        <f>IF(A489="","",A489-WEEKDAY(A489,3))</f>
        <v/>
      </c>
      <c r="K489" s="7">
        <f>IF(A489="","",IF(OR(B489="",C489="",D489="",E489=""),"Missing info",IF(ISNA(MATCH(B489,Staff!$A$2:$A$101,0)),"Unknown employee",IF(H489="?","Unknown site",IF(G489&lt;=0,"Check times",IF(G489&gt;12,"Over 12h",IF(COUNTIFS($L$2:$L$2001,L489)&gt;1,"Duplicate?",IF(A489&gt;TODAY(),"Future date","OK"))))))))</f>
        <v/>
      </c>
      <c r="L489">
        <f>IF(A489="","",TEXT(A489,"yyyy-mm-dd")&amp;"|"&amp;B489&amp;"|"&amp;C489)</f>
        <v/>
      </c>
    </row>
    <row r="490">
      <c r="A490" s="4" t="n"/>
      <c r="D490" s="5" t="n"/>
      <c r="E490" s="5" t="n"/>
      <c r="G490" s="6">
        <f>IF(OR(A490="",D490="",E490=""),"",ROUND(MOD(E490-D490,1)*24-N(F490)/60,2))</f>
        <v/>
      </c>
      <c r="H490" s="7">
        <f>IF(C490="","",IFERROR(INDEX(Sites!$B$2:$B$501,MATCH(C490,Sites!$A$2:$A$501,0)),"?"))</f>
        <v/>
      </c>
      <c r="I490" s="8">
        <f>IF(A490="","",A490-WEEKDAY(A490,3))</f>
        <v/>
      </c>
      <c r="K490" s="7">
        <f>IF(A490="","",IF(OR(B490="",C490="",D490="",E490=""),"Missing info",IF(ISNA(MATCH(B490,Staff!$A$2:$A$101,0)),"Unknown employee",IF(H490="?","Unknown site",IF(G490&lt;=0,"Check times",IF(G490&gt;12,"Over 12h",IF(COUNTIFS($L$2:$L$2001,L490)&gt;1,"Duplicate?",IF(A490&gt;TODAY(),"Future date","OK"))))))))</f>
        <v/>
      </c>
      <c r="L490">
        <f>IF(A490="","",TEXT(A490,"yyyy-mm-dd")&amp;"|"&amp;B490&amp;"|"&amp;C490)</f>
        <v/>
      </c>
    </row>
    <row r="491">
      <c r="A491" s="4" t="n"/>
      <c r="D491" s="5" t="n"/>
      <c r="E491" s="5" t="n"/>
      <c r="G491" s="6">
        <f>IF(OR(A491="",D491="",E491=""),"",ROUND(MOD(E491-D491,1)*24-N(F491)/60,2))</f>
        <v/>
      </c>
      <c r="H491" s="7">
        <f>IF(C491="","",IFERROR(INDEX(Sites!$B$2:$B$501,MATCH(C491,Sites!$A$2:$A$501,0)),"?"))</f>
        <v/>
      </c>
      <c r="I491" s="8">
        <f>IF(A491="","",A491-WEEKDAY(A491,3))</f>
        <v/>
      </c>
      <c r="K491" s="7">
        <f>IF(A491="","",IF(OR(B491="",C491="",D491="",E491=""),"Missing info",IF(ISNA(MATCH(B491,Staff!$A$2:$A$101,0)),"Unknown employee",IF(H491="?","Unknown site",IF(G491&lt;=0,"Check times",IF(G491&gt;12,"Over 12h",IF(COUNTIFS($L$2:$L$2001,L491)&gt;1,"Duplicate?",IF(A491&gt;TODAY(),"Future date","OK"))))))))</f>
        <v/>
      </c>
      <c r="L491">
        <f>IF(A491="","",TEXT(A491,"yyyy-mm-dd")&amp;"|"&amp;B491&amp;"|"&amp;C491)</f>
        <v/>
      </c>
    </row>
    <row r="492">
      <c r="A492" s="4" t="n"/>
      <c r="D492" s="5" t="n"/>
      <c r="E492" s="5" t="n"/>
      <c r="G492" s="6">
        <f>IF(OR(A492="",D492="",E492=""),"",ROUND(MOD(E492-D492,1)*24-N(F492)/60,2))</f>
        <v/>
      </c>
      <c r="H492" s="7">
        <f>IF(C492="","",IFERROR(INDEX(Sites!$B$2:$B$501,MATCH(C492,Sites!$A$2:$A$501,0)),"?"))</f>
        <v/>
      </c>
      <c r="I492" s="8">
        <f>IF(A492="","",A492-WEEKDAY(A492,3))</f>
        <v/>
      </c>
      <c r="K492" s="7">
        <f>IF(A492="","",IF(OR(B492="",C492="",D492="",E492=""),"Missing info",IF(ISNA(MATCH(B492,Staff!$A$2:$A$101,0)),"Unknown employee",IF(H492="?","Unknown site",IF(G492&lt;=0,"Check times",IF(G492&gt;12,"Over 12h",IF(COUNTIFS($L$2:$L$2001,L492)&gt;1,"Duplicate?",IF(A492&gt;TODAY(),"Future date","OK"))))))))</f>
        <v/>
      </c>
      <c r="L492">
        <f>IF(A492="","",TEXT(A492,"yyyy-mm-dd")&amp;"|"&amp;B492&amp;"|"&amp;C492)</f>
        <v/>
      </c>
    </row>
    <row r="493">
      <c r="A493" s="4" t="n"/>
      <c r="D493" s="5" t="n"/>
      <c r="E493" s="5" t="n"/>
      <c r="G493" s="6">
        <f>IF(OR(A493="",D493="",E493=""),"",ROUND(MOD(E493-D493,1)*24-N(F493)/60,2))</f>
        <v/>
      </c>
      <c r="H493" s="7">
        <f>IF(C493="","",IFERROR(INDEX(Sites!$B$2:$B$501,MATCH(C493,Sites!$A$2:$A$501,0)),"?"))</f>
        <v/>
      </c>
      <c r="I493" s="8">
        <f>IF(A493="","",A493-WEEKDAY(A493,3))</f>
        <v/>
      </c>
      <c r="K493" s="7">
        <f>IF(A493="","",IF(OR(B493="",C493="",D493="",E493=""),"Missing info",IF(ISNA(MATCH(B493,Staff!$A$2:$A$101,0)),"Unknown employee",IF(H493="?","Unknown site",IF(G493&lt;=0,"Check times",IF(G493&gt;12,"Over 12h",IF(COUNTIFS($L$2:$L$2001,L493)&gt;1,"Duplicate?",IF(A493&gt;TODAY(),"Future date","OK"))))))))</f>
        <v/>
      </c>
      <c r="L493">
        <f>IF(A493="","",TEXT(A493,"yyyy-mm-dd")&amp;"|"&amp;B493&amp;"|"&amp;C493)</f>
        <v/>
      </c>
    </row>
    <row r="494">
      <c r="A494" s="4" t="n"/>
      <c r="D494" s="5" t="n"/>
      <c r="E494" s="5" t="n"/>
      <c r="G494" s="6">
        <f>IF(OR(A494="",D494="",E494=""),"",ROUND(MOD(E494-D494,1)*24-N(F494)/60,2))</f>
        <v/>
      </c>
      <c r="H494" s="7">
        <f>IF(C494="","",IFERROR(INDEX(Sites!$B$2:$B$501,MATCH(C494,Sites!$A$2:$A$501,0)),"?"))</f>
        <v/>
      </c>
      <c r="I494" s="8">
        <f>IF(A494="","",A494-WEEKDAY(A494,3))</f>
        <v/>
      </c>
      <c r="K494" s="7">
        <f>IF(A494="","",IF(OR(B494="",C494="",D494="",E494=""),"Missing info",IF(ISNA(MATCH(B494,Staff!$A$2:$A$101,0)),"Unknown employee",IF(H494="?","Unknown site",IF(G494&lt;=0,"Check times",IF(G494&gt;12,"Over 12h",IF(COUNTIFS($L$2:$L$2001,L494)&gt;1,"Duplicate?",IF(A494&gt;TODAY(),"Future date","OK"))))))))</f>
        <v/>
      </c>
      <c r="L494">
        <f>IF(A494="","",TEXT(A494,"yyyy-mm-dd")&amp;"|"&amp;B494&amp;"|"&amp;C494)</f>
        <v/>
      </c>
    </row>
    <row r="495">
      <c r="A495" s="4" t="n"/>
      <c r="D495" s="5" t="n"/>
      <c r="E495" s="5" t="n"/>
      <c r="G495" s="6">
        <f>IF(OR(A495="",D495="",E495=""),"",ROUND(MOD(E495-D495,1)*24-N(F495)/60,2))</f>
        <v/>
      </c>
      <c r="H495" s="7">
        <f>IF(C495="","",IFERROR(INDEX(Sites!$B$2:$B$501,MATCH(C495,Sites!$A$2:$A$501,0)),"?"))</f>
        <v/>
      </c>
      <c r="I495" s="8">
        <f>IF(A495="","",A495-WEEKDAY(A495,3))</f>
        <v/>
      </c>
      <c r="K495" s="7">
        <f>IF(A495="","",IF(OR(B495="",C495="",D495="",E495=""),"Missing info",IF(ISNA(MATCH(B495,Staff!$A$2:$A$101,0)),"Unknown employee",IF(H495="?","Unknown site",IF(G495&lt;=0,"Check times",IF(G495&gt;12,"Over 12h",IF(COUNTIFS($L$2:$L$2001,L495)&gt;1,"Duplicate?",IF(A495&gt;TODAY(),"Future date","OK"))))))))</f>
        <v/>
      </c>
      <c r="L495">
        <f>IF(A495="","",TEXT(A495,"yyyy-mm-dd")&amp;"|"&amp;B495&amp;"|"&amp;C495)</f>
        <v/>
      </c>
    </row>
    <row r="496">
      <c r="A496" s="4" t="n"/>
      <c r="D496" s="5" t="n"/>
      <c r="E496" s="5" t="n"/>
      <c r="G496" s="6">
        <f>IF(OR(A496="",D496="",E496=""),"",ROUND(MOD(E496-D496,1)*24-N(F496)/60,2))</f>
        <v/>
      </c>
      <c r="H496" s="7">
        <f>IF(C496="","",IFERROR(INDEX(Sites!$B$2:$B$501,MATCH(C496,Sites!$A$2:$A$501,0)),"?"))</f>
        <v/>
      </c>
      <c r="I496" s="8">
        <f>IF(A496="","",A496-WEEKDAY(A496,3))</f>
        <v/>
      </c>
      <c r="K496" s="7">
        <f>IF(A496="","",IF(OR(B496="",C496="",D496="",E496=""),"Missing info",IF(ISNA(MATCH(B496,Staff!$A$2:$A$101,0)),"Unknown employee",IF(H496="?","Unknown site",IF(G496&lt;=0,"Check times",IF(G496&gt;12,"Over 12h",IF(COUNTIFS($L$2:$L$2001,L496)&gt;1,"Duplicate?",IF(A496&gt;TODAY(),"Future date","OK"))))))))</f>
        <v/>
      </c>
      <c r="L496">
        <f>IF(A496="","",TEXT(A496,"yyyy-mm-dd")&amp;"|"&amp;B496&amp;"|"&amp;C496)</f>
        <v/>
      </c>
    </row>
    <row r="497">
      <c r="A497" s="4" t="n"/>
      <c r="D497" s="5" t="n"/>
      <c r="E497" s="5" t="n"/>
      <c r="G497" s="6">
        <f>IF(OR(A497="",D497="",E497=""),"",ROUND(MOD(E497-D497,1)*24-N(F497)/60,2))</f>
        <v/>
      </c>
      <c r="H497" s="7">
        <f>IF(C497="","",IFERROR(INDEX(Sites!$B$2:$B$501,MATCH(C497,Sites!$A$2:$A$501,0)),"?"))</f>
        <v/>
      </c>
      <c r="I497" s="8">
        <f>IF(A497="","",A497-WEEKDAY(A497,3))</f>
        <v/>
      </c>
      <c r="K497" s="7">
        <f>IF(A497="","",IF(OR(B497="",C497="",D497="",E497=""),"Missing info",IF(ISNA(MATCH(B497,Staff!$A$2:$A$101,0)),"Unknown employee",IF(H497="?","Unknown site",IF(G497&lt;=0,"Check times",IF(G497&gt;12,"Over 12h",IF(COUNTIFS($L$2:$L$2001,L497)&gt;1,"Duplicate?",IF(A497&gt;TODAY(),"Future date","OK"))))))))</f>
        <v/>
      </c>
      <c r="L497">
        <f>IF(A497="","",TEXT(A497,"yyyy-mm-dd")&amp;"|"&amp;B497&amp;"|"&amp;C497)</f>
        <v/>
      </c>
    </row>
    <row r="498">
      <c r="A498" s="4" t="n"/>
      <c r="D498" s="5" t="n"/>
      <c r="E498" s="5" t="n"/>
      <c r="G498" s="6">
        <f>IF(OR(A498="",D498="",E498=""),"",ROUND(MOD(E498-D498,1)*24-N(F498)/60,2))</f>
        <v/>
      </c>
      <c r="H498" s="7">
        <f>IF(C498="","",IFERROR(INDEX(Sites!$B$2:$B$501,MATCH(C498,Sites!$A$2:$A$501,0)),"?"))</f>
        <v/>
      </c>
      <c r="I498" s="8">
        <f>IF(A498="","",A498-WEEKDAY(A498,3))</f>
        <v/>
      </c>
      <c r="K498" s="7">
        <f>IF(A498="","",IF(OR(B498="",C498="",D498="",E498=""),"Missing info",IF(ISNA(MATCH(B498,Staff!$A$2:$A$101,0)),"Unknown employee",IF(H498="?","Unknown site",IF(G498&lt;=0,"Check times",IF(G498&gt;12,"Over 12h",IF(COUNTIFS($L$2:$L$2001,L498)&gt;1,"Duplicate?",IF(A498&gt;TODAY(),"Future date","OK"))))))))</f>
        <v/>
      </c>
      <c r="L498">
        <f>IF(A498="","",TEXT(A498,"yyyy-mm-dd")&amp;"|"&amp;B498&amp;"|"&amp;C498)</f>
        <v/>
      </c>
    </row>
    <row r="499">
      <c r="A499" s="4" t="n"/>
      <c r="D499" s="5" t="n"/>
      <c r="E499" s="5" t="n"/>
      <c r="G499" s="6">
        <f>IF(OR(A499="",D499="",E499=""),"",ROUND(MOD(E499-D499,1)*24-N(F499)/60,2))</f>
        <v/>
      </c>
      <c r="H499" s="7">
        <f>IF(C499="","",IFERROR(INDEX(Sites!$B$2:$B$501,MATCH(C499,Sites!$A$2:$A$501,0)),"?"))</f>
        <v/>
      </c>
      <c r="I499" s="8">
        <f>IF(A499="","",A499-WEEKDAY(A499,3))</f>
        <v/>
      </c>
      <c r="K499" s="7">
        <f>IF(A499="","",IF(OR(B499="",C499="",D499="",E499=""),"Missing info",IF(ISNA(MATCH(B499,Staff!$A$2:$A$101,0)),"Unknown employee",IF(H499="?","Unknown site",IF(G499&lt;=0,"Check times",IF(G499&gt;12,"Over 12h",IF(COUNTIFS($L$2:$L$2001,L499)&gt;1,"Duplicate?",IF(A499&gt;TODAY(),"Future date","OK"))))))))</f>
        <v/>
      </c>
      <c r="L499">
        <f>IF(A499="","",TEXT(A499,"yyyy-mm-dd")&amp;"|"&amp;B499&amp;"|"&amp;C499)</f>
        <v/>
      </c>
    </row>
    <row r="500">
      <c r="A500" s="4" t="n"/>
      <c r="D500" s="5" t="n"/>
      <c r="E500" s="5" t="n"/>
      <c r="G500" s="6">
        <f>IF(OR(A500="",D500="",E500=""),"",ROUND(MOD(E500-D500,1)*24-N(F500)/60,2))</f>
        <v/>
      </c>
      <c r="H500" s="7">
        <f>IF(C500="","",IFERROR(INDEX(Sites!$B$2:$B$501,MATCH(C500,Sites!$A$2:$A$501,0)),"?"))</f>
        <v/>
      </c>
      <c r="I500" s="8">
        <f>IF(A500="","",A500-WEEKDAY(A500,3))</f>
        <v/>
      </c>
      <c r="K500" s="7">
        <f>IF(A500="","",IF(OR(B500="",C500="",D500="",E500=""),"Missing info",IF(ISNA(MATCH(B500,Staff!$A$2:$A$101,0)),"Unknown employee",IF(H500="?","Unknown site",IF(G500&lt;=0,"Check times",IF(G500&gt;12,"Over 12h",IF(COUNTIFS($L$2:$L$2001,L500)&gt;1,"Duplicate?",IF(A500&gt;TODAY(),"Future date","OK"))))))))</f>
        <v/>
      </c>
      <c r="L500">
        <f>IF(A500="","",TEXT(A500,"yyyy-mm-dd")&amp;"|"&amp;B500&amp;"|"&amp;C500)</f>
        <v/>
      </c>
    </row>
    <row r="501">
      <c r="A501" s="4" t="n"/>
      <c r="D501" s="5" t="n"/>
      <c r="E501" s="5" t="n"/>
      <c r="G501" s="6">
        <f>IF(OR(A501="",D501="",E501=""),"",ROUND(MOD(E501-D501,1)*24-N(F501)/60,2))</f>
        <v/>
      </c>
      <c r="H501" s="7">
        <f>IF(C501="","",IFERROR(INDEX(Sites!$B$2:$B$501,MATCH(C501,Sites!$A$2:$A$501,0)),"?"))</f>
        <v/>
      </c>
      <c r="I501" s="8">
        <f>IF(A501="","",A501-WEEKDAY(A501,3))</f>
        <v/>
      </c>
      <c r="K501" s="7">
        <f>IF(A501="","",IF(OR(B501="",C501="",D501="",E501=""),"Missing info",IF(ISNA(MATCH(B501,Staff!$A$2:$A$101,0)),"Unknown employee",IF(H501="?","Unknown site",IF(G501&lt;=0,"Check times",IF(G501&gt;12,"Over 12h",IF(COUNTIFS($L$2:$L$2001,L501)&gt;1,"Duplicate?",IF(A501&gt;TODAY(),"Future date","OK"))))))))</f>
        <v/>
      </c>
      <c r="L501">
        <f>IF(A501="","",TEXT(A501,"yyyy-mm-dd")&amp;"|"&amp;B501&amp;"|"&amp;C501)</f>
        <v/>
      </c>
    </row>
    <row r="502">
      <c r="A502" s="4" t="n"/>
      <c r="D502" s="5" t="n"/>
      <c r="E502" s="5" t="n"/>
      <c r="G502" s="6">
        <f>IF(OR(A502="",D502="",E502=""),"",ROUND(MOD(E502-D502,1)*24-N(F502)/60,2))</f>
        <v/>
      </c>
      <c r="H502" s="7">
        <f>IF(C502="","",IFERROR(INDEX(Sites!$B$2:$B$501,MATCH(C502,Sites!$A$2:$A$501,0)),"?"))</f>
        <v/>
      </c>
      <c r="I502" s="8">
        <f>IF(A502="","",A502-WEEKDAY(A502,3))</f>
        <v/>
      </c>
      <c r="K502" s="7">
        <f>IF(A502="","",IF(OR(B502="",C502="",D502="",E502=""),"Missing info",IF(ISNA(MATCH(B502,Staff!$A$2:$A$101,0)),"Unknown employee",IF(H502="?","Unknown site",IF(G502&lt;=0,"Check times",IF(G502&gt;12,"Over 12h",IF(COUNTIFS($L$2:$L$2001,L502)&gt;1,"Duplicate?",IF(A502&gt;TODAY(),"Future date","OK"))))))))</f>
        <v/>
      </c>
      <c r="L502">
        <f>IF(A502="","",TEXT(A502,"yyyy-mm-dd")&amp;"|"&amp;B502&amp;"|"&amp;C502)</f>
        <v/>
      </c>
    </row>
    <row r="503">
      <c r="A503" s="4" t="n"/>
      <c r="D503" s="5" t="n"/>
      <c r="E503" s="5" t="n"/>
      <c r="G503" s="6">
        <f>IF(OR(A503="",D503="",E503=""),"",ROUND(MOD(E503-D503,1)*24-N(F503)/60,2))</f>
        <v/>
      </c>
      <c r="H503" s="7">
        <f>IF(C503="","",IFERROR(INDEX(Sites!$B$2:$B$501,MATCH(C503,Sites!$A$2:$A$501,0)),"?"))</f>
        <v/>
      </c>
      <c r="I503" s="8">
        <f>IF(A503="","",A503-WEEKDAY(A503,3))</f>
        <v/>
      </c>
      <c r="K503" s="7">
        <f>IF(A503="","",IF(OR(B503="",C503="",D503="",E503=""),"Missing info",IF(ISNA(MATCH(B503,Staff!$A$2:$A$101,0)),"Unknown employee",IF(H503="?","Unknown site",IF(G503&lt;=0,"Check times",IF(G503&gt;12,"Over 12h",IF(COUNTIFS($L$2:$L$2001,L503)&gt;1,"Duplicate?",IF(A503&gt;TODAY(),"Future date","OK"))))))))</f>
        <v/>
      </c>
      <c r="L503">
        <f>IF(A503="","",TEXT(A503,"yyyy-mm-dd")&amp;"|"&amp;B503&amp;"|"&amp;C503)</f>
        <v/>
      </c>
    </row>
    <row r="504">
      <c r="A504" s="4" t="n"/>
      <c r="D504" s="5" t="n"/>
      <c r="E504" s="5" t="n"/>
      <c r="G504" s="6">
        <f>IF(OR(A504="",D504="",E504=""),"",ROUND(MOD(E504-D504,1)*24-N(F504)/60,2))</f>
        <v/>
      </c>
      <c r="H504" s="7">
        <f>IF(C504="","",IFERROR(INDEX(Sites!$B$2:$B$501,MATCH(C504,Sites!$A$2:$A$501,0)),"?"))</f>
        <v/>
      </c>
      <c r="I504" s="8">
        <f>IF(A504="","",A504-WEEKDAY(A504,3))</f>
        <v/>
      </c>
      <c r="K504" s="7">
        <f>IF(A504="","",IF(OR(B504="",C504="",D504="",E504=""),"Missing info",IF(ISNA(MATCH(B504,Staff!$A$2:$A$101,0)),"Unknown employee",IF(H504="?","Unknown site",IF(G504&lt;=0,"Check times",IF(G504&gt;12,"Over 12h",IF(COUNTIFS($L$2:$L$2001,L504)&gt;1,"Duplicate?",IF(A504&gt;TODAY(),"Future date","OK"))))))))</f>
        <v/>
      </c>
      <c r="L504">
        <f>IF(A504="","",TEXT(A504,"yyyy-mm-dd")&amp;"|"&amp;B504&amp;"|"&amp;C504)</f>
        <v/>
      </c>
    </row>
    <row r="505">
      <c r="A505" s="4" t="n"/>
      <c r="D505" s="5" t="n"/>
      <c r="E505" s="5" t="n"/>
      <c r="G505" s="6">
        <f>IF(OR(A505="",D505="",E505=""),"",ROUND(MOD(E505-D505,1)*24-N(F505)/60,2))</f>
        <v/>
      </c>
      <c r="H505" s="7">
        <f>IF(C505="","",IFERROR(INDEX(Sites!$B$2:$B$501,MATCH(C505,Sites!$A$2:$A$501,0)),"?"))</f>
        <v/>
      </c>
      <c r="I505" s="8">
        <f>IF(A505="","",A505-WEEKDAY(A505,3))</f>
        <v/>
      </c>
      <c r="K505" s="7">
        <f>IF(A505="","",IF(OR(B505="",C505="",D505="",E505=""),"Missing info",IF(ISNA(MATCH(B505,Staff!$A$2:$A$101,0)),"Unknown employee",IF(H505="?","Unknown site",IF(G505&lt;=0,"Check times",IF(G505&gt;12,"Over 12h",IF(COUNTIFS($L$2:$L$2001,L505)&gt;1,"Duplicate?",IF(A505&gt;TODAY(),"Future date","OK"))))))))</f>
        <v/>
      </c>
      <c r="L505">
        <f>IF(A505="","",TEXT(A505,"yyyy-mm-dd")&amp;"|"&amp;B505&amp;"|"&amp;C505)</f>
        <v/>
      </c>
    </row>
    <row r="506">
      <c r="A506" s="4" t="n"/>
      <c r="D506" s="5" t="n"/>
      <c r="E506" s="5" t="n"/>
      <c r="G506" s="6">
        <f>IF(OR(A506="",D506="",E506=""),"",ROUND(MOD(E506-D506,1)*24-N(F506)/60,2))</f>
        <v/>
      </c>
      <c r="H506" s="7">
        <f>IF(C506="","",IFERROR(INDEX(Sites!$B$2:$B$501,MATCH(C506,Sites!$A$2:$A$501,0)),"?"))</f>
        <v/>
      </c>
      <c r="I506" s="8">
        <f>IF(A506="","",A506-WEEKDAY(A506,3))</f>
        <v/>
      </c>
      <c r="K506" s="7">
        <f>IF(A506="","",IF(OR(B506="",C506="",D506="",E506=""),"Missing info",IF(ISNA(MATCH(B506,Staff!$A$2:$A$101,0)),"Unknown employee",IF(H506="?","Unknown site",IF(G506&lt;=0,"Check times",IF(G506&gt;12,"Over 12h",IF(COUNTIFS($L$2:$L$2001,L506)&gt;1,"Duplicate?",IF(A506&gt;TODAY(),"Future date","OK"))))))))</f>
        <v/>
      </c>
      <c r="L506">
        <f>IF(A506="","",TEXT(A506,"yyyy-mm-dd")&amp;"|"&amp;B506&amp;"|"&amp;C506)</f>
        <v/>
      </c>
    </row>
    <row r="507">
      <c r="A507" s="4" t="n"/>
      <c r="D507" s="5" t="n"/>
      <c r="E507" s="5" t="n"/>
      <c r="G507" s="6">
        <f>IF(OR(A507="",D507="",E507=""),"",ROUND(MOD(E507-D507,1)*24-N(F507)/60,2))</f>
        <v/>
      </c>
      <c r="H507" s="7">
        <f>IF(C507="","",IFERROR(INDEX(Sites!$B$2:$B$501,MATCH(C507,Sites!$A$2:$A$501,0)),"?"))</f>
        <v/>
      </c>
      <c r="I507" s="8">
        <f>IF(A507="","",A507-WEEKDAY(A507,3))</f>
        <v/>
      </c>
      <c r="K507" s="7">
        <f>IF(A507="","",IF(OR(B507="",C507="",D507="",E507=""),"Missing info",IF(ISNA(MATCH(B507,Staff!$A$2:$A$101,0)),"Unknown employee",IF(H507="?","Unknown site",IF(G507&lt;=0,"Check times",IF(G507&gt;12,"Over 12h",IF(COUNTIFS($L$2:$L$2001,L507)&gt;1,"Duplicate?",IF(A507&gt;TODAY(),"Future date","OK"))))))))</f>
        <v/>
      </c>
      <c r="L507">
        <f>IF(A507="","",TEXT(A507,"yyyy-mm-dd")&amp;"|"&amp;B507&amp;"|"&amp;C507)</f>
        <v/>
      </c>
    </row>
    <row r="508">
      <c r="A508" s="4" t="n"/>
      <c r="D508" s="5" t="n"/>
      <c r="E508" s="5" t="n"/>
      <c r="G508" s="6">
        <f>IF(OR(A508="",D508="",E508=""),"",ROUND(MOD(E508-D508,1)*24-N(F508)/60,2))</f>
        <v/>
      </c>
      <c r="H508" s="7">
        <f>IF(C508="","",IFERROR(INDEX(Sites!$B$2:$B$501,MATCH(C508,Sites!$A$2:$A$501,0)),"?"))</f>
        <v/>
      </c>
      <c r="I508" s="8">
        <f>IF(A508="","",A508-WEEKDAY(A508,3))</f>
        <v/>
      </c>
      <c r="K508" s="7">
        <f>IF(A508="","",IF(OR(B508="",C508="",D508="",E508=""),"Missing info",IF(ISNA(MATCH(B508,Staff!$A$2:$A$101,0)),"Unknown employee",IF(H508="?","Unknown site",IF(G508&lt;=0,"Check times",IF(G508&gt;12,"Over 12h",IF(COUNTIFS($L$2:$L$2001,L508)&gt;1,"Duplicate?",IF(A508&gt;TODAY(),"Future date","OK"))))))))</f>
        <v/>
      </c>
      <c r="L508">
        <f>IF(A508="","",TEXT(A508,"yyyy-mm-dd")&amp;"|"&amp;B508&amp;"|"&amp;C508)</f>
        <v/>
      </c>
    </row>
    <row r="509">
      <c r="A509" s="4" t="n"/>
      <c r="D509" s="5" t="n"/>
      <c r="E509" s="5" t="n"/>
      <c r="G509" s="6">
        <f>IF(OR(A509="",D509="",E509=""),"",ROUND(MOD(E509-D509,1)*24-N(F509)/60,2))</f>
        <v/>
      </c>
      <c r="H509" s="7">
        <f>IF(C509="","",IFERROR(INDEX(Sites!$B$2:$B$501,MATCH(C509,Sites!$A$2:$A$501,0)),"?"))</f>
        <v/>
      </c>
      <c r="I509" s="8">
        <f>IF(A509="","",A509-WEEKDAY(A509,3))</f>
        <v/>
      </c>
      <c r="K509" s="7">
        <f>IF(A509="","",IF(OR(B509="",C509="",D509="",E509=""),"Missing info",IF(ISNA(MATCH(B509,Staff!$A$2:$A$101,0)),"Unknown employee",IF(H509="?","Unknown site",IF(G509&lt;=0,"Check times",IF(G509&gt;12,"Over 12h",IF(COUNTIFS($L$2:$L$2001,L509)&gt;1,"Duplicate?",IF(A509&gt;TODAY(),"Future date","OK"))))))))</f>
        <v/>
      </c>
      <c r="L509">
        <f>IF(A509="","",TEXT(A509,"yyyy-mm-dd")&amp;"|"&amp;B509&amp;"|"&amp;C509)</f>
        <v/>
      </c>
    </row>
    <row r="510">
      <c r="A510" s="4" t="n"/>
      <c r="D510" s="5" t="n"/>
      <c r="E510" s="5" t="n"/>
      <c r="G510" s="6">
        <f>IF(OR(A510="",D510="",E510=""),"",ROUND(MOD(E510-D510,1)*24-N(F510)/60,2))</f>
        <v/>
      </c>
      <c r="H510" s="7">
        <f>IF(C510="","",IFERROR(INDEX(Sites!$B$2:$B$501,MATCH(C510,Sites!$A$2:$A$501,0)),"?"))</f>
        <v/>
      </c>
      <c r="I510" s="8">
        <f>IF(A510="","",A510-WEEKDAY(A510,3))</f>
        <v/>
      </c>
      <c r="K510" s="7">
        <f>IF(A510="","",IF(OR(B510="",C510="",D510="",E510=""),"Missing info",IF(ISNA(MATCH(B510,Staff!$A$2:$A$101,0)),"Unknown employee",IF(H510="?","Unknown site",IF(G510&lt;=0,"Check times",IF(G510&gt;12,"Over 12h",IF(COUNTIFS($L$2:$L$2001,L510)&gt;1,"Duplicate?",IF(A510&gt;TODAY(),"Future date","OK"))))))))</f>
        <v/>
      </c>
      <c r="L510">
        <f>IF(A510="","",TEXT(A510,"yyyy-mm-dd")&amp;"|"&amp;B510&amp;"|"&amp;C510)</f>
        <v/>
      </c>
    </row>
    <row r="511">
      <c r="A511" s="4" t="n"/>
      <c r="D511" s="5" t="n"/>
      <c r="E511" s="5" t="n"/>
      <c r="G511" s="6">
        <f>IF(OR(A511="",D511="",E511=""),"",ROUND(MOD(E511-D511,1)*24-N(F511)/60,2))</f>
        <v/>
      </c>
      <c r="H511" s="7">
        <f>IF(C511="","",IFERROR(INDEX(Sites!$B$2:$B$501,MATCH(C511,Sites!$A$2:$A$501,0)),"?"))</f>
        <v/>
      </c>
      <c r="I511" s="8">
        <f>IF(A511="","",A511-WEEKDAY(A511,3))</f>
        <v/>
      </c>
      <c r="K511" s="7">
        <f>IF(A511="","",IF(OR(B511="",C511="",D511="",E511=""),"Missing info",IF(ISNA(MATCH(B511,Staff!$A$2:$A$101,0)),"Unknown employee",IF(H511="?","Unknown site",IF(G511&lt;=0,"Check times",IF(G511&gt;12,"Over 12h",IF(COUNTIFS($L$2:$L$2001,L511)&gt;1,"Duplicate?",IF(A511&gt;TODAY(),"Future date","OK"))))))))</f>
        <v/>
      </c>
      <c r="L511">
        <f>IF(A511="","",TEXT(A511,"yyyy-mm-dd")&amp;"|"&amp;B511&amp;"|"&amp;C511)</f>
        <v/>
      </c>
    </row>
    <row r="512">
      <c r="A512" s="4" t="n"/>
      <c r="D512" s="5" t="n"/>
      <c r="E512" s="5" t="n"/>
      <c r="G512" s="6">
        <f>IF(OR(A512="",D512="",E512=""),"",ROUND(MOD(E512-D512,1)*24-N(F512)/60,2))</f>
        <v/>
      </c>
      <c r="H512" s="7">
        <f>IF(C512="","",IFERROR(INDEX(Sites!$B$2:$B$501,MATCH(C512,Sites!$A$2:$A$501,0)),"?"))</f>
        <v/>
      </c>
      <c r="I512" s="8">
        <f>IF(A512="","",A512-WEEKDAY(A512,3))</f>
        <v/>
      </c>
      <c r="K512" s="7">
        <f>IF(A512="","",IF(OR(B512="",C512="",D512="",E512=""),"Missing info",IF(ISNA(MATCH(B512,Staff!$A$2:$A$101,0)),"Unknown employee",IF(H512="?","Unknown site",IF(G512&lt;=0,"Check times",IF(G512&gt;12,"Over 12h",IF(COUNTIFS($L$2:$L$2001,L512)&gt;1,"Duplicate?",IF(A512&gt;TODAY(),"Future date","OK"))))))))</f>
        <v/>
      </c>
      <c r="L512">
        <f>IF(A512="","",TEXT(A512,"yyyy-mm-dd")&amp;"|"&amp;B512&amp;"|"&amp;C512)</f>
        <v/>
      </c>
    </row>
    <row r="513">
      <c r="A513" s="4" t="n"/>
      <c r="D513" s="5" t="n"/>
      <c r="E513" s="5" t="n"/>
      <c r="G513" s="6">
        <f>IF(OR(A513="",D513="",E513=""),"",ROUND(MOD(E513-D513,1)*24-N(F513)/60,2))</f>
        <v/>
      </c>
      <c r="H513" s="7">
        <f>IF(C513="","",IFERROR(INDEX(Sites!$B$2:$B$501,MATCH(C513,Sites!$A$2:$A$501,0)),"?"))</f>
        <v/>
      </c>
      <c r="I513" s="8">
        <f>IF(A513="","",A513-WEEKDAY(A513,3))</f>
        <v/>
      </c>
      <c r="K513" s="7">
        <f>IF(A513="","",IF(OR(B513="",C513="",D513="",E513=""),"Missing info",IF(ISNA(MATCH(B513,Staff!$A$2:$A$101,0)),"Unknown employee",IF(H513="?","Unknown site",IF(G513&lt;=0,"Check times",IF(G513&gt;12,"Over 12h",IF(COUNTIFS($L$2:$L$2001,L513)&gt;1,"Duplicate?",IF(A513&gt;TODAY(),"Future date","OK"))))))))</f>
        <v/>
      </c>
      <c r="L513">
        <f>IF(A513="","",TEXT(A513,"yyyy-mm-dd")&amp;"|"&amp;B513&amp;"|"&amp;C513)</f>
        <v/>
      </c>
    </row>
    <row r="514">
      <c r="A514" s="4" t="n"/>
      <c r="D514" s="5" t="n"/>
      <c r="E514" s="5" t="n"/>
      <c r="G514" s="6">
        <f>IF(OR(A514="",D514="",E514=""),"",ROUND(MOD(E514-D514,1)*24-N(F514)/60,2))</f>
        <v/>
      </c>
      <c r="H514" s="7">
        <f>IF(C514="","",IFERROR(INDEX(Sites!$B$2:$B$501,MATCH(C514,Sites!$A$2:$A$501,0)),"?"))</f>
        <v/>
      </c>
      <c r="I514" s="8">
        <f>IF(A514="","",A514-WEEKDAY(A514,3))</f>
        <v/>
      </c>
      <c r="K514" s="7">
        <f>IF(A514="","",IF(OR(B514="",C514="",D514="",E514=""),"Missing info",IF(ISNA(MATCH(B514,Staff!$A$2:$A$101,0)),"Unknown employee",IF(H514="?","Unknown site",IF(G514&lt;=0,"Check times",IF(G514&gt;12,"Over 12h",IF(COUNTIFS($L$2:$L$2001,L514)&gt;1,"Duplicate?",IF(A514&gt;TODAY(),"Future date","OK"))))))))</f>
        <v/>
      </c>
      <c r="L514">
        <f>IF(A514="","",TEXT(A514,"yyyy-mm-dd")&amp;"|"&amp;B514&amp;"|"&amp;C514)</f>
        <v/>
      </c>
    </row>
    <row r="515">
      <c r="A515" s="4" t="n"/>
      <c r="D515" s="5" t="n"/>
      <c r="E515" s="5" t="n"/>
      <c r="G515" s="6">
        <f>IF(OR(A515="",D515="",E515=""),"",ROUND(MOD(E515-D515,1)*24-N(F515)/60,2))</f>
        <v/>
      </c>
      <c r="H515" s="7">
        <f>IF(C515="","",IFERROR(INDEX(Sites!$B$2:$B$501,MATCH(C515,Sites!$A$2:$A$501,0)),"?"))</f>
        <v/>
      </c>
      <c r="I515" s="8">
        <f>IF(A515="","",A515-WEEKDAY(A515,3))</f>
        <v/>
      </c>
      <c r="K515" s="7">
        <f>IF(A515="","",IF(OR(B515="",C515="",D515="",E515=""),"Missing info",IF(ISNA(MATCH(B515,Staff!$A$2:$A$101,0)),"Unknown employee",IF(H515="?","Unknown site",IF(G515&lt;=0,"Check times",IF(G515&gt;12,"Over 12h",IF(COUNTIFS($L$2:$L$2001,L515)&gt;1,"Duplicate?",IF(A515&gt;TODAY(),"Future date","OK"))))))))</f>
        <v/>
      </c>
      <c r="L515">
        <f>IF(A515="","",TEXT(A515,"yyyy-mm-dd")&amp;"|"&amp;B515&amp;"|"&amp;C515)</f>
        <v/>
      </c>
    </row>
    <row r="516">
      <c r="A516" s="4" t="n"/>
      <c r="D516" s="5" t="n"/>
      <c r="E516" s="5" t="n"/>
      <c r="G516" s="6">
        <f>IF(OR(A516="",D516="",E516=""),"",ROUND(MOD(E516-D516,1)*24-N(F516)/60,2))</f>
        <v/>
      </c>
      <c r="H516" s="7">
        <f>IF(C516="","",IFERROR(INDEX(Sites!$B$2:$B$501,MATCH(C516,Sites!$A$2:$A$501,0)),"?"))</f>
        <v/>
      </c>
      <c r="I516" s="8">
        <f>IF(A516="","",A516-WEEKDAY(A516,3))</f>
        <v/>
      </c>
      <c r="K516" s="7">
        <f>IF(A516="","",IF(OR(B516="",C516="",D516="",E516=""),"Missing info",IF(ISNA(MATCH(B516,Staff!$A$2:$A$101,0)),"Unknown employee",IF(H516="?","Unknown site",IF(G516&lt;=0,"Check times",IF(G516&gt;12,"Over 12h",IF(COUNTIFS($L$2:$L$2001,L516)&gt;1,"Duplicate?",IF(A516&gt;TODAY(),"Future date","OK"))))))))</f>
        <v/>
      </c>
      <c r="L516">
        <f>IF(A516="","",TEXT(A516,"yyyy-mm-dd")&amp;"|"&amp;B516&amp;"|"&amp;C516)</f>
        <v/>
      </c>
    </row>
    <row r="517">
      <c r="A517" s="4" t="n"/>
      <c r="D517" s="5" t="n"/>
      <c r="E517" s="5" t="n"/>
      <c r="G517" s="6">
        <f>IF(OR(A517="",D517="",E517=""),"",ROUND(MOD(E517-D517,1)*24-N(F517)/60,2))</f>
        <v/>
      </c>
      <c r="H517" s="7">
        <f>IF(C517="","",IFERROR(INDEX(Sites!$B$2:$B$501,MATCH(C517,Sites!$A$2:$A$501,0)),"?"))</f>
        <v/>
      </c>
      <c r="I517" s="8">
        <f>IF(A517="","",A517-WEEKDAY(A517,3))</f>
        <v/>
      </c>
      <c r="K517" s="7">
        <f>IF(A517="","",IF(OR(B517="",C517="",D517="",E517=""),"Missing info",IF(ISNA(MATCH(B517,Staff!$A$2:$A$101,0)),"Unknown employee",IF(H517="?","Unknown site",IF(G517&lt;=0,"Check times",IF(G517&gt;12,"Over 12h",IF(COUNTIFS($L$2:$L$2001,L517)&gt;1,"Duplicate?",IF(A517&gt;TODAY(),"Future date","OK"))))))))</f>
        <v/>
      </c>
      <c r="L517">
        <f>IF(A517="","",TEXT(A517,"yyyy-mm-dd")&amp;"|"&amp;B517&amp;"|"&amp;C517)</f>
        <v/>
      </c>
    </row>
    <row r="518">
      <c r="A518" s="4" t="n"/>
      <c r="D518" s="5" t="n"/>
      <c r="E518" s="5" t="n"/>
      <c r="G518" s="6">
        <f>IF(OR(A518="",D518="",E518=""),"",ROUND(MOD(E518-D518,1)*24-N(F518)/60,2))</f>
        <v/>
      </c>
      <c r="H518" s="7">
        <f>IF(C518="","",IFERROR(INDEX(Sites!$B$2:$B$501,MATCH(C518,Sites!$A$2:$A$501,0)),"?"))</f>
        <v/>
      </c>
      <c r="I518" s="8">
        <f>IF(A518="","",A518-WEEKDAY(A518,3))</f>
        <v/>
      </c>
      <c r="K518" s="7">
        <f>IF(A518="","",IF(OR(B518="",C518="",D518="",E518=""),"Missing info",IF(ISNA(MATCH(B518,Staff!$A$2:$A$101,0)),"Unknown employee",IF(H518="?","Unknown site",IF(G518&lt;=0,"Check times",IF(G518&gt;12,"Over 12h",IF(COUNTIFS($L$2:$L$2001,L518)&gt;1,"Duplicate?",IF(A518&gt;TODAY(),"Future date","OK"))))))))</f>
        <v/>
      </c>
      <c r="L518">
        <f>IF(A518="","",TEXT(A518,"yyyy-mm-dd")&amp;"|"&amp;B518&amp;"|"&amp;C518)</f>
        <v/>
      </c>
    </row>
    <row r="519">
      <c r="A519" s="4" t="n"/>
      <c r="D519" s="5" t="n"/>
      <c r="E519" s="5" t="n"/>
      <c r="G519" s="6">
        <f>IF(OR(A519="",D519="",E519=""),"",ROUND(MOD(E519-D519,1)*24-N(F519)/60,2))</f>
        <v/>
      </c>
      <c r="H519" s="7">
        <f>IF(C519="","",IFERROR(INDEX(Sites!$B$2:$B$501,MATCH(C519,Sites!$A$2:$A$501,0)),"?"))</f>
        <v/>
      </c>
      <c r="I519" s="8">
        <f>IF(A519="","",A519-WEEKDAY(A519,3))</f>
        <v/>
      </c>
      <c r="K519" s="7">
        <f>IF(A519="","",IF(OR(B519="",C519="",D519="",E519=""),"Missing info",IF(ISNA(MATCH(B519,Staff!$A$2:$A$101,0)),"Unknown employee",IF(H519="?","Unknown site",IF(G519&lt;=0,"Check times",IF(G519&gt;12,"Over 12h",IF(COUNTIFS($L$2:$L$2001,L519)&gt;1,"Duplicate?",IF(A519&gt;TODAY(),"Future date","OK"))))))))</f>
        <v/>
      </c>
      <c r="L519">
        <f>IF(A519="","",TEXT(A519,"yyyy-mm-dd")&amp;"|"&amp;B519&amp;"|"&amp;C519)</f>
        <v/>
      </c>
    </row>
    <row r="520">
      <c r="A520" s="4" t="n"/>
      <c r="D520" s="5" t="n"/>
      <c r="E520" s="5" t="n"/>
      <c r="G520" s="6">
        <f>IF(OR(A520="",D520="",E520=""),"",ROUND(MOD(E520-D520,1)*24-N(F520)/60,2))</f>
        <v/>
      </c>
      <c r="H520" s="7">
        <f>IF(C520="","",IFERROR(INDEX(Sites!$B$2:$B$501,MATCH(C520,Sites!$A$2:$A$501,0)),"?"))</f>
        <v/>
      </c>
      <c r="I520" s="8">
        <f>IF(A520="","",A520-WEEKDAY(A520,3))</f>
        <v/>
      </c>
      <c r="K520" s="7">
        <f>IF(A520="","",IF(OR(B520="",C520="",D520="",E520=""),"Missing info",IF(ISNA(MATCH(B520,Staff!$A$2:$A$101,0)),"Unknown employee",IF(H520="?","Unknown site",IF(G520&lt;=0,"Check times",IF(G520&gt;12,"Over 12h",IF(COUNTIFS($L$2:$L$2001,L520)&gt;1,"Duplicate?",IF(A520&gt;TODAY(),"Future date","OK"))))))))</f>
        <v/>
      </c>
      <c r="L520">
        <f>IF(A520="","",TEXT(A520,"yyyy-mm-dd")&amp;"|"&amp;B520&amp;"|"&amp;C520)</f>
        <v/>
      </c>
    </row>
    <row r="521">
      <c r="A521" s="4" t="n"/>
      <c r="D521" s="5" t="n"/>
      <c r="E521" s="5" t="n"/>
      <c r="G521" s="6">
        <f>IF(OR(A521="",D521="",E521=""),"",ROUND(MOD(E521-D521,1)*24-N(F521)/60,2))</f>
        <v/>
      </c>
      <c r="H521" s="7">
        <f>IF(C521="","",IFERROR(INDEX(Sites!$B$2:$B$501,MATCH(C521,Sites!$A$2:$A$501,0)),"?"))</f>
        <v/>
      </c>
      <c r="I521" s="8">
        <f>IF(A521="","",A521-WEEKDAY(A521,3))</f>
        <v/>
      </c>
      <c r="K521" s="7">
        <f>IF(A521="","",IF(OR(B521="",C521="",D521="",E521=""),"Missing info",IF(ISNA(MATCH(B521,Staff!$A$2:$A$101,0)),"Unknown employee",IF(H521="?","Unknown site",IF(G521&lt;=0,"Check times",IF(G521&gt;12,"Over 12h",IF(COUNTIFS($L$2:$L$2001,L521)&gt;1,"Duplicate?",IF(A521&gt;TODAY(),"Future date","OK"))))))))</f>
        <v/>
      </c>
      <c r="L521">
        <f>IF(A521="","",TEXT(A521,"yyyy-mm-dd")&amp;"|"&amp;B521&amp;"|"&amp;C521)</f>
        <v/>
      </c>
    </row>
    <row r="522">
      <c r="A522" s="4" t="n"/>
      <c r="D522" s="5" t="n"/>
      <c r="E522" s="5" t="n"/>
      <c r="G522" s="6">
        <f>IF(OR(A522="",D522="",E522=""),"",ROUND(MOD(E522-D522,1)*24-N(F522)/60,2))</f>
        <v/>
      </c>
      <c r="H522" s="7">
        <f>IF(C522="","",IFERROR(INDEX(Sites!$B$2:$B$501,MATCH(C522,Sites!$A$2:$A$501,0)),"?"))</f>
        <v/>
      </c>
      <c r="I522" s="8">
        <f>IF(A522="","",A522-WEEKDAY(A522,3))</f>
        <v/>
      </c>
      <c r="K522" s="7">
        <f>IF(A522="","",IF(OR(B522="",C522="",D522="",E522=""),"Missing info",IF(ISNA(MATCH(B522,Staff!$A$2:$A$101,0)),"Unknown employee",IF(H522="?","Unknown site",IF(G522&lt;=0,"Check times",IF(G522&gt;12,"Over 12h",IF(COUNTIFS($L$2:$L$2001,L522)&gt;1,"Duplicate?",IF(A522&gt;TODAY(),"Future date","OK"))))))))</f>
        <v/>
      </c>
      <c r="L522">
        <f>IF(A522="","",TEXT(A522,"yyyy-mm-dd")&amp;"|"&amp;B522&amp;"|"&amp;C522)</f>
        <v/>
      </c>
    </row>
    <row r="523">
      <c r="A523" s="4" t="n"/>
      <c r="D523" s="5" t="n"/>
      <c r="E523" s="5" t="n"/>
      <c r="G523" s="6">
        <f>IF(OR(A523="",D523="",E523=""),"",ROUND(MOD(E523-D523,1)*24-N(F523)/60,2))</f>
        <v/>
      </c>
      <c r="H523" s="7">
        <f>IF(C523="","",IFERROR(INDEX(Sites!$B$2:$B$501,MATCH(C523,Sites!$A$2:$A$501,0)),"?"))</f>
        <v/>
      </c>
      <c r="I523" s="8">
        <f>IF(A523="","",A523-WEEKDAY(A523,3))</f>
        <v/>
      </c>
      <c r="K523" s="7">
        <f>IF(A523="","",IF(OR(B523="",C523="",D523="",E523=""),"Missing info",IF(ISNA(MATCH(B523,Staff!$A$2:$A$101,0)),"Unknown employee",IF(H523="?","Unknown site",IF(G523&lt;=0,"Check times",IF(G523&gt;12,"Over 12h",IF(COUNTIFS($L$2:$L$2001,L523)&gt;1,"Duplicate?",IF(A523&gt;TODAY(),"Future date","OK"))))))))</f>
        <v/>
      </c>
      <c r="L523">
        <f>IF(A523="","",TEXT(A523,"yyyy-mm-dd")&amp;"|"&amp;B523&amp;"|"&amp;C523)</f>
        <v/>
      </c>
    </row>
    <row r="524">
      <c r="A524" s="4" t="n"/>
      <c r="D524" s="5" t="n"/>
      <c r="E524" s="5" t="n"/>
      <c r="G524" s="6">
        <f>IF(OR(A524="",D524="",E524=""),"",ROUND(MOD(E524-D524,1)*24-N(F524)/60,2))</f>
        <v/>
      </c>
      <c r="H524" s="7">
        <f>IF(C524="","",IFERROR(INDEX(Sites!$B$2:$B$501,MATCH(C524,Sites!$A$2:$A$501,0)),"?"))</f>
        <v/>
      </c>
      <c r="I524" s="8">
        <f>IF(A524="","",A524-WEEKDAY(A524,3))</f>
        <v/>
      </c>
      <c r="K524" s="7">
        <f>IF(A524="","",IF(OR(B524="",C524="",D524="",E524=""),"Missing info",IF(ISNA(MATCH(B524,Staff!$A$2:$A$101,0)),"Unknown employee",IF(H524="?","Unknown site",IF(G524&lt;=0,"Check times",IF(G524&gt;12,"Over 12h",IF(COUNTIFS($L$2:$L$2001,L524)&gt;1,"Duplicate?",IF(A524&gt;TODAY(),"Future date","OK"))))))))</f>
        <v/>
      </c>
      <c r="L524">
        <f>IF(A524="","",TEXT(A524,"yyyy-mm-dd")&amp;"|"&amp;B524&amp;"|"&amp;C524)</f>
        <v/>
      </c>
    </row>
    <row r="525">
      <c r="A525" s="4" t="n"/>
      <c r="D525" s="5" t="n"/>
      <c r="E525" s="5" t="n"/>
      <c r="G525" s="6">
        <f>IF(OR(A525="",D525="",E525=""),"",ROUND(MOD(E525-D525,1)*24-N(F525)/60,2))</f>
        <v/>
      </c>
      <c r="H525" s="7">
        <f>IF(C525="","",IFERROR(INDEX(Sites!$B$2:$B$501,MATCH(C525,Sites!$A$2:$A$501,0)),"?"))</f>
        <v/>
      </c>
      <c r="I525" s="8">
        <f>IF(A525="","",A525-WEEKDAY(A525,3))</f>
        <v/>
      </c>
      <c r="K525" s="7">
        <f>IF(A525="","",IF(OR(B525="",C525="",D525="",E525=""),"Missing info",IF(ISNA(MATCH(B525,Staff!$A$2:$A$101,0)),"Unknown employee",IF(H525="?","Unknown site",IF(G525&lt;=0,"Check times",IF(G525&gt;12,"Over 12h",IF(COUNTIFS($L$2:$L$2001,L525)&gt;1,"Duplicate?",IF(A525&gt;TODAY(),"Future date","OK"))))))))</f>
        <v/>
      </c>
      <c r="L525">
        <f>IF(A525="","",TEXT(A525,"yyyy-mm-dd")&amp;"|"&amp;B525&amp;"|"&amp;C525)</f>
        <v/>
      </c>
    </row>
    <row r="526">
      <c r="A526" s="4" t="n"/>
      <c r="D526" s="5" t="n"/>
      <c r="E526" s="5" t="n"/>
      <c r="G526" s="6">
        <f>IF(OR(A526="",D526="",E526=""),"",ROUND(MOD(E526-D526,1)*24-N(F526)/60,2))</f>
        <v/>
      </c>
      <c r="H526" s="7">
        <f>IF(C526="","",IFERROR(INDEX(Sites!$B$2:$B$501,MATCH(C526,Sites!$A$2:$A$501,0)),"?"))</f>
        <v/>
      </c>
      <c r="I526" s="8">
        <f>IF(A526="","",A526-WEEKDAY(A526,3))</f>
        <v/>
      </c>
      <c r="K526" s="7">
        <f>IF(A526="","",IF(OR(B526="",C526="",D526="",E526=""),"Missing info",IF(ISNA(MATCH(B526,Staff!$A$2:$A$101,0)),"Unknown employee",IF(H526="?","Unknown site",IF(G526&lt;=0,"Check times",IF(G526&gt;12,"Over 12h",IF(COUNTIFS($L$2:$L$2001,L526)&gt;1,"Duplicate?",IF(A526&gt;TODAY(),"Future date","OK"))))))))</f>
        <v/>
      </c>
      <c r="L526">
        <f>IF(A526="","",TEXT(A526,"yyyy-mm-dd")&amp;"|"&amp;B526&amp;"|"&amp;C526)</f>
        <v/>
      </c>
    </row>
    <row r="527">
      <c r="A527" s="4" t="n"/>
      <c r="D527" s="5" t="n"/>
      <c r="E527" s="5" t="n"/>
      <c r="G527" s="6">
        <f>IF(OR(A527="",D527="",E527=""),"",ROUND(MOD(E527-D527,1)*24-N(F527)/60,2))</f>
        <v/>
      </c>
      <c r="H527" s="7">
        <f>IF(C527="","",IFERROR(INDEX(Sites!$B$2:$B$501,MATCH(C527,Sites!$A$2:$A$501,0)),"?"))</f>
        <v/>
      </c>
      <c r="I527" s="8">
        <f>IF(A527="","",A527-WEEKDAY(A527,3))</f>
        <v/>
      </c>
      <c r="K527" s="7">
        <f>IF(A527="","",IF(OR(B527="",C527="",D527="",E527=""),"Missing info",IF(ISNA(MATCH(B527,Staff!$A$2:$A$101,0)),"Unknown employee",IF(H527="?","Unknown site",IF(G527&lt;=0,"Check times",IF(G527&gt;12,"Over 12h",IF(COUNTIFS($L$2:$L$2001,L527)&gt;1,"Duplicate?",IF(A527&gt;TODAY(),"Future date","OK"))))))))</f>
        <v/>
      </c>
      <c r="L527">
        <f>IF(A527="","",TEXT(A527,"yyyy-mm-dd")&amp;"|"&amp;B527&amp;"|"&amp;C527)</f>
        <v/>
      </c>
    </row>
    <row r="528">
      <c r="A528" s="4" t="n"/>
      <c r="D528" s="5" t="n"/>
      <c r="E528" s="5" t="n"/>
      <c r="G528" s="6">
        <f>IF(OR(A528="",D528="",E528=""),"",ROUND(MOD(E528-D528,1)*24-N(F528)/60,2))</f>
        <v/>
      </c>
      <c r="H528" s="7">
        <f>IF(C528="","",IFERROR(INDEX(Sites!$B$2:$B$501,MATCH(C528,Sites!$A$2:$A$501,0)),"?"))</f>
        <v/>
      </c>
      <c r="I528" s="8">
        <f>IF(A528="","",A528-WEEKDAY(A528,3))</f>
        <v/>
      </c>
      <c r="K528" s="7">
        <f>IF(A528="","",IF(OR(B528="",C528="",D528="",E528=""),"Missing info",IF(ISNA(MATCH(B528,Staff!$A$2:$A$101,0)),"Unknown employee",IF(H528="?","Unknown site",IF(G528&lt;=0,"Check times",IF(G528&gt;12,"Over 12h",IF(COUNTIFS($L$2:$L$2001,L528)&gt;1,"Duplicate?",IF(A528&gt;TODAY(),"Future date","OK"))))))))</f>
        <v/>
      </c>
      <c r="L528">
        <f>IF(A528="","",TEXT(A528,"yyyy-mm-dd")&amp;"|"&amp;B528&amp;"|"&amp;C528)</f>
        <v/>
      </c>
    </row>
    <row r="529">
      <c r="A529" s="4" t="n"/>
      <c r="D529" s="5" t="n"/>
      <c r="E529" s="5" t="n"/>
      <c r="G529" s="6">
        <f>IF(OR(A529="",D529="",E529=""),"",ROUND(MOD(E529-D529,1)*24-N(F529)/60,2))</f>
        <v/>
      </c>
      <c r="H529" s="7">
        <f>IF(C529="","",IFERROR(INDEX(Sites!$B$2:$B$501,MATCH(C529,Sites!$A$2:$A$501,0)),"?"))</f>
        <v/>
      </c>
      <c r="I529" s="8">
        <f>IF(A529="","",A529-WEEKDAY(A529,3))</f>
        <v/>
      </c>
      <c r="K529" s="7">
        <f>IF(A529="","",IF(OR(B529="",C529="",D529="",E529=""),"Missing info",IF(ISNA(MATCH(B529,Staff!$A$2:$A$101,0)),"Unknown employee",IF(H529="?","Unknown site",IF(G529&lt;=0,"Check times",IF(G529&gt;12,"Over 12h",IF(COUNTIFS($L$2:$L$2001,L529)&gt;1,"Duplicate?",IF(A529&gt;TODAY(),"Future date","OK"))))))))</f>
        <v/>
      </c>
      <c r="L529">
        <f>IF(A529="","",TEXT(A529,"yyyy-mm-dd")&amp;"|"&amp;B529&amp;"|"&amp;C529)</f>
        <v/>
      </c>
    </row>
    <row r="530">
      <c r="A530" s="4" t="n"/>
      <c r="D530" s="5" t="n"/>
      <c r="E530" s="5" t="n"/>
      <c r="G530" s="6">
        <f>IF(OR(A530="",D530="",E530=""),"",ROUND(MOD(E530-D530,1)*24-N(F530)/60,2))</f>
        <v/>
      </c>
      <c r="H530" s="7">
        <f>IF(C530="","",IFERROR(INDEX(Sites!$B$2:$B$501,MATCH(C530,Sites!$A$2:$A$501,0)),"?"))</f>
        <v/>
      </c>
      <c r="I530" s="8">
        <f>IF(A530="","",A530-WEEKDAY(A530,3))</f>
        <v/>
      </c>
      <c r="K530" s="7">
        <f>IF(A530="","",IF(OR(B530="",C530="",D530="",E530=""),"Missing info",IF(ISNA(MATCH(B530,Staff!$A$2:$A$101,0)),"Unknown employee",IF(H530="?","Unknown site",IF(G530&lt;=0,"Check times",IF(G530&gt;12,"Over 12h",IF(COUNTIFS($L$2:$L$2001,L530)&gt;1,"Duplicate?",IF(A530&gt;TODAY(),"Future date","OK"))))))))</f>
        <v/>
      </c>
      <c r="L530">
        <f>IF(A530="","",TEXT(A530,"yyyy-mm-dd")&amp;"|"&amp;B530&amp;"|"&amp;C530)</f>
        <v/>
      </c>
    </row>
    <row r="531">
      <c r="A531" s="4" t="n"/>
      <c r="D531" s="5" t="n"/>
      <c r="E531" s="5" t="n"/>
      <c r="G531" s="6">
        <f>IF(OR(A531="",D531="",E531=""),"",ROUND(MOD(E531-D531,1)*24-N(F531)/60,2))</f>
        <v/>
      </c>
      <c r="H531" s="7">
        <f>IF(C531="","",IFERROR(INDEX(Sites!$B$2:$B$501,MATCH(C531,Sites!$A$2:$A$501,0)),"?"))</f>
        <v/>
      </c>
      <c r="I531" s="8">
        <f>IF(A531="","",A531-WEEKDAY(A531,3))</f>
        <v/>
      </c>
      <c r="K531" s="7">
        <f>IF(A531="","",IF(OR(B531="",C531="",D531="",E531=""),"Missing info",IF(ISNA(MATCH(B531,Staff!$A$2:$A$101,0)),"Unknown employee",IF(H531="?","Unknown site",IF(G531&lt;=0,"Check times",IF(G531&gt;12,"Over 12h",IF(COUNTIFS($L$2:$L$2001,L531)&gt;1,"Duplicate?",IF(A531&gt;TODAY(),"Future date","OK"))))))))</f>
        <v/>
      </c>
      <c r="L531">
        <f>IF(A531="","",TEXT(A531,"yyyy-mm-dd")&amp;"|"&amp;B531&amp;"|"&amp;C531)</f>
        <v/>
      </c>
    </row>
    <row r="532">
      <c r="A532" s="4" t="n"/>
      <c r="D532" s="5" t="n"/>
      <c r="E532" s="5" t="n"/>
      <c r="G532" s="6">
        <f>IF(OR(A532="",D532="",E532=""),"",ROUND(MOD(E532-D532,1)*24-N(F532)/60,2))</f>
        <v/>
      </c>
      <c r="H532" s="7">
        <f>IF(C532="","",IFERROR(INDEX(Sites!$B$2:$B$501,MATCH(C532,Sites!$A$2:$A$501,0)),"?"))</f>
        <v/>
      </c>
      <c r="I532" s="8">
        <f>IF(A532="","",A532-WEEKDAY(A532,3))</f>
        <v/>
      </c>
      <c r="K532" s="7">
        <f>IF(A532="","",IF(OR(B532="",C532="",D532="",E532=""),"Missing info",IF(ISNA(MATCH(B532,Staff!$A$2:$A$101,0)),"Unknown employee",IF(H532="?","Unknown site",IF(G532&lt;=0,"Check times",IF(G532&gt;12,"Over 12h",IF(COUNTIFS($L$2:$L$2001,L532)&gt;1,"Duplicate?",IF(A532&gt;TODAY(),"Future date","OK"))))))))</f>
        <v/>
      </c>
      <c r="L532">
        <f>IF(A532="","",TEXT(A532,"yyyy-mm-dd")&amp;"|"&amp;B532&amp;"|"&amp;C532)</f>
        <v/>
      </c>
    </row>
    <row r="533">
      <c r="A533" s="4" t="n"/>
      <c r="D533" s="5" t="n"/>
      <c r="E533" s="5" t="n"/>
      <c r="G533" s="6">
        <f>IF(OR(A533="",D533="",E533=""),"",ROUND(MOD(E533-D533,1)*24-N(F533)/60,2))</f>
        <v/>
      </c>
      <c r="H533" s="7">
        <f>IF(C533="","",IFERROR(INDEX(Sites!$B$2:$B$501,MATCH(C533,Sites!$A$2:$A$501,0)),"?"))</f>
        <v/>
      </c>
      <c r="I533" s="8">
        <f>IF(A533="","",A533-WEEKDAY(A533,3))</f>
        <v/>
      </c>
      <c r="K533" s="7">
        <f>IF(A533="","",IF(OR(B533="",C533="",D533="",E533=""),"Missing info",IF(ISNA(MATCH(B533,Staff!$A$2:$A$101,0)),"Unknown employee",IF(H533="?","Unknown site",IF(G533&lt;=0,"Check times",IF(G533&gt;12,"Over 12h",IF(COUNTIFS($L$2:$L$2001,L533)&gt;1,"Duplicate?",IF(A533&gt;TODAY(),"Future date","OK"))))))))</f>
        <v/>
      </c>
      <c r="L533">
        <f>IF(A533="","",TEXT(A533,"yyyy-mm-dd")&amp;"|"&amp;B533&amp;"|"&amp;C533)</f>
        <v/>
      </c>
    </row>
    <row r="534">
      <c r="A534" s="4" t="n"/>
      <c r="D534" s="5" t="n"/>
      <c r="E534" s="5" t="n"/>
      <c r="G534" s="6">
        <f>IF(OR(A534="",D534="",E534=""),"",ROUND(MOD(E534-D534,1)*24-N(F534)/60,2))</f>
        <v/>
      </c>
      <c r="H534" s="7">
        <f>IF(C534="","",IFERROR(INDEX(Sites!$B$2:$B$501,MATCH(C534,Sites!$A$2:$A$501,0)),"?"))</f>
        <v/>
      </c>
      <c r="I534" s="8">
        <f>IF(A534="","",A534-WEEKDAY(A534,3))</f>
        <v/>
      </c>
      <c r="K534" s="7">
        <f>IF(A534="","",IF(OR(B534="",C534="",D534="",E534=""),"Missing info",IF(ISNA(MATCH(B534,Staff!$A$2:$A$101,0)),"Unknown employee",IF(H534="?","Unknown site",IF(G534&lt;=0,"Check times",IF(G534&gt;12,"Over 12h",IF(COUNTIFS($L$2:$L$2001,L534)&gt;1,"Duplicate?",IF(A534&gt;TODAY(),"Future date","OK"))))))))</f>
        <v/>
      </c>
      <c r="L534">
        <f>IF(A534="","",TEXT(A534,"yyyy-mm-dd")&amp;"|"&amp;B534&amp;"|"&amp;C534)</f>
        <v/>
      </c>
    </row>
    <row r="535">
      <c r="A535" s="4" t="n"/>
      <c r="D535" s="5" t="n"/>
      <c r="E535" s="5" t="n"/>
      <c r="G535" s="6">
        <f>IF(OR(A535="",D535="",E535=""),"",ROUND(MOD(E535-D535,1)*24-N(F535)/60,2))</f>
        <v/>
      </c>
      <c r="H535" s="7">
        <f>IF(C535="","",IFERROR(INDEX(Sites!$B$2:$B$501,MATCH(C535,Sites!$A$2:$A$501,0)),"?"))</f>
        <v/>
      </c>
      <c r="I535" s="8">
        <f>IF(A535="","",A535-WEEKDAY(A535,3))</f>
        <v/>
      </c>
      <c r="K535" s="7">
        <f>IF(A535="","",IF(OR(B535="",C535="",D535="",E535=""),"Missing info",IF(ISNA(MATCH(B535,Staff!$A$2:$A$101,0)),"Unknown employee",IF(H535="?","Unknown site",IF(G535&lt;=0,"Check times",IF(G535&gt;12,"Over 12h",IF(COUNTIFS($L$2:$L$2001,L535)&gt;1,"Duplicate?",IF(A535&gt;TODAY(),"Future date","OK"))))))))</f>
        <v/>
      </c>
      <c r="L535">
        <f>IF(A535="","",TEXT(A535,"yyyy-mm-dd")&amp;"|"&amp;B535&amp;"|"&amp;C535)</f>
        <v/>
      </c>
    </row>
    <row r="536">
      <c r="A536" s="4" t="n"/>
      <c r="D536" s="5" t="n"/>
      <c r="E536" s="5" t="n"/>
      <c r="G536" s="6">
        <f>IF(OR(A536="",D536="",E536=""),"",ROUND(MOD(E536-D536,1)*24-N(F536)/60,2))</f>
        <v/>
      </c>
      <c r="H536" s="7">
        <f>IF(C536="","",IFERROR(INDEX(Sites!$B$2:$B$501,MATCH(C536,Sites!$A$2:$A$501,0)),"?"))</f>
        <v/>
      </c>
      <c r="I536" s="8">
        <f>IF(A536="","",A536-WEEKDAY(A536,3))</f>
        <v/>
      </c>
      <c r="K536" s="7">
        <f>IF(A536="","",IF(OR(B536="",C536="",D536="",E536=""),"Missing info",IF(ISNA(MATCH(B536,Staff!$A$2:$A$101,0)),"Unknown employee",IF(H536="?","Unknown site",IF(G536&lt;=0,"Check times",IF(G536&gt;12,"Over 12h",IF(COUNTIFS($L$2:$L$2001,L536)&gt;1,"Duplicate?",IF(A536&gt;TODAY(),"Future date","OK"))))))))</f>
        <v/>
      </c>
      <c r="L536">
        <f>IF(A536="","",TEXT(A536,"yyyy-mm-dd")&amp;"|"&amp;B536&amp;"|"&amp;C536)</f>
        <v/>
      </c>
    </row>
    <row r="537">
      <c r="A537" s="4" t="n"/>
      <c r="D537" s="5" t="n"/>
      <c r="E537" s="5" t="n"/>
      <c r="G537" s="6">
        <f>IF(OR(A537="",D537="",E537=""),"",ROUND(MOD(E537-D537,1)*24-N(F537)/60,2))</f>
        <v/>
      </c>
      <c r="H537" s="7">
        <f>IF(C537="","",IFERROR(INDEX(Sites!$B$2:$B$501,MATCH(C537,Sites!$A$2:$A$501,0)),"?"))</f>
        <v/>
      </c>
      <c r="I537" s="8">
        <f>IF(A537="","",A537-WEEKDAY(A537,3))</f>
        <v/>
      </c>
      <c r="K537" s="7">
        <f>IF(A537="","",IF(OR(B537="",C537="",D537="",E537=""),"Missing info",IF(ISNA(MATCH(B537,Staff!$A$2:$A$101,0)),"Unknown employee",IF(H537="?","Unknown site",IF(G537&lt;=0,"Check times",IF(G537&gt;12,"Over 12h",IF(COUNTIFS($L$2:$L$2001,L537)&gt;1,"Duplicate?",IF(A537&gt;TODAY(),"Future date","OK"))))))))</f>
        <v/>
      </c>
      <c r="L537">
        <f>IF(A537="","",TEXT(A537,"yyyy-mm-dd")&amp;"|"&amp;B537&amp;"|"&amp;C537)</f>
        <v/>
      </c>
    </row>
    <row r="538">
      <c r="A538" s="4" t="n"/>
      <c r="D538" s="5" t="n"/>
      <c r="E538" s="5" t="n"/>
      <c r="G538" s="6">
        <f>IF(OR(A538="",D538="",E538=""),"",ROUND(MOD(E538-D538,1)*24-N(F538)/60,2))</f>
        <v/>
      </c>
      <c r="H538" s="7">
        <f>IF(C538="","",IFERROR(INDEX(Sites!$B$2:$B$501,MATCH(C538,Sites!$A$2:$A$501,0)),"?"))</f>
        <v/>
      </c>
      <c r="I538" s="8">
        <f>IF(A538="","",A538-WEEKDAY(A538,3))</f>
        <v/>
      </c>
      <c r="K538" s="7">
        <f>IF(A538="","",IF(OR(B538="",C538="",D538="",E538=""),"Missing info",IF(ISNA(MATCH(B538,Staff!$A$2:$A$101,0)),"Unknown employee",IF(H538="?","Unknown site",IF(G538&lt;=0,"Check times",IF(G538&gt;12,"Over 12h",IF(COUNTIFS($L$2:$L$2001,L538)&gt;1,"Duplicate?",IF(A538&gt;TODAY(),"Future date","OK"))))))))</f>
        <v/>
      </c>
      <c r="L538">
        <f>IF(A538="","",TEXT(A538,"yyyy-mm-dd")&amp;"|"&amp;B538&amp;"|"&amp;C538)</f>
        <v/>
      </c>
    </row>
    <row r="539">
      <c r="A539" s="4" t="n"/>
      <c r="D539" s="5" t="n"/>
      <c r="E539" s="5" t="n"/>
      <c r="G539" s="6">
        <f>IF(OR(A539="",D539="",E539=""),"",ROUND(MOD(E539-D539,1)*24-N(F539)/60,2))</f>
        <v/>
      </c>
      <c r="H539" s="7">
        <f>IF(C539="","",IFERROR(INDEX(Sites!$B$2:$B$501,MATCH(C539,Sites!$A$2:$A$501,0)),"?"))</f>
        <v/>
      </c>
      <c r="I539" s="8">
        <f>IF(A539="","",A539-WEEKDAY(A539,3))</f>
        <v/>
      </c>
      <c r="K539" s="7">
        <f>IF(A539="","",IF(OR(B539="",C539="",D539="",E539=""),"Missing info",IF(ISNA(MATCH(B539,Staff!$A$2:$A$101,0)),"Unknown employee",IF(H539="?","Unknown site",IF(G539&lt;=0,"Check times",IF(G539&gt;12,"Over 12h",IF(COUNTIFS($L$2:$L$2001,L539)&gt;1,"Duplicate?",IF(A539&gt;TODAY(),"Future date","OK"))))))))</f>
        <v/>
      </c>
      <c r="L539">
        <f>IF(A539="","",TEXT(A539,"yyyy-mm-dd")&amp;"|"&amp;B539&amp;"|"&amp;C539)</f>
        <v/>
      </c>
    </row>
    <row r="540">
      <c r="A540" s="4" t="n"/>
      <c r="D540" s="5" t="n"/>
      <c r="E540" s="5" t="n"/>
      <c r="G540" s="6">
        <f>IF(OR(A540="",D540="",E540=""),"",ROUND(MOD(E540-D540,1)*24-N(F540)/60,2))</f>
        <v/>
      </c>
      <c r="H540" s="7">
        <f>IF(C540="","",IFERROR(INDEX(Sites!$B$2:$B$501,MATCH(C540,Sites!$A$2:$A$501,0)),"?"))</f>
        <v/>
      </c>
      <c r="I540" s="8">
        <f>IF(A540="","",A540-WEEKDAY(A540,3))</f>
        <v/>
      </c>
      <c r="K540" s="7">
        <f>IF(A540="","",IF(OR(B540="",C540="",D540="",E540=""),"Missing info",IF(ISNA(MATCH(B540,Staff!$A$2:$A$101,0)),"Unknown employee",IF(H540="?","Unknown site",IF(G540&lt;=0,"Check times",IF(G540&gt;12,"Over 12h",IF(COUNTIFS($L$2:$L$2001,L540)&gt;1,"Duplicate?",IF(A540&gt;TODAY(),"Future date","OK"))))))))</f>
        <v/>
      </c>
      <c r="L540">
        <f>IF(A540="","",TEXT(A540,"yyyy-mm-dd")&amp;"|"&amp;B540&amp;"|"&amp;C540)</f>
        <v/>
      </c>
    </row>
    <row r="541">
      <c r="A541" s="4" t="n"/>
      <c r="D541" s="5" t="n"/>
      <c r="E541" s="5" t="n"/>
      <c r="G541" s="6">
        <f>IF(OR(A541="",D541="",E541=""),"",ROUND(MOD(E541-D541,1)*24-N(F541)/60,2))</f>
        <v/>
      </c>
      <c r="H541" s="7">
        <f>IF(C541="","",IFERROR(INDEX(Sites!$B$2:$B$501,MATCH(C541,Sites!$A$2:$A$501,0)),"?"))</f>
        <v/>
      </c>
      <c r="I541" s="8">
        <f>IF(A541="","",A541-WEEKDAY(A541,3))</f>
        <v/>
      </c>
      <c r="K541" s="7">
        <f>IF(A541="","",IF(OR(B541="",C541="",D541="",E541=""),"Missing info",IF(ISNA(MATCH(B541,Staff!$A$2:$A$101,0)),"Unknown employee",IF(H541="?","Unknown site",IF(G541&lt;=0,"Check times",IF(G541&gt;12,"Over 12h",IF(COUNTIFS($L$2:$L$2001,L541)&gt;1,"Duplicate?",IF(A541&gt;TODAY(),"Future date","OK"))))))))</f>
        <v/>
      </c>
      <c r="L541">
        <f>IF(A541="","",TEXT(A541,"yyyy-mm-dd")&amp;"|"&amp;B541&amp;"|"&amp;C541)</f>
        <v/>
      </c>
    </row>
    <row r="542">
      <c r="A542" s="4" t="n"/>
      <c r="D542" s="5" t="n"/>
      <c r="E542" s="5" t="n"/>
      <c r="G542" s="6">
        <f>IF(OR(A542="",D542="",E542=""),"",ROUND(MOD(E542-D542,1)*24-N(F542)/60,2))</f>
        <v/>
      </c>
      <c r="H542" s="7">
        <f>IF(C542="","",IFERROR(INDEX(Sites!$B$2:$B$501,MATCH(C542,Sites!$A$2:$A$501,0)),"?"))</f>
        <v/>
      </c>
      <c r="I542" s="8">
        <f>IF(A542="","",A542-WEEKDAY(A542,3))</f>
        <v/>
      </c>
      <c r="K542" s="7">
        <f>IF(A542="","",IF(OR(B542="",C542="",D542="",E542=""),"Missing info",IF(ISNA(MATCH(B542,Staff!$A$2:$A$101,0)),"Unknown employee",IF(H542="?","Unknown site",IF(G542&lt;=0,"Check times",IF(G542&gt;12,"Over 12h",IF(COUNTIFS($L$2:$L$2001,L542)&gt;1,"Duplicate?",IF(A542&gt;TODAY(),"Future date","OK"))))))))</f>
        <v/>
      </c>
      <c r="L542">
        <f>IF(A542="","",TEXT(A542,"yyyy-mm-dd")&amp;"|"&amp;B542&amp;"|"&amp;C542)</f>
        <v/>
      </c>
    </row>
    <row r="543">
      <c r="A543" s="4" t="n"/>
      <c r="D543" s="5" t="n"/>
      <c r="E543" s="5" t="n"/>
      <c r="G543" s="6">
        <f>IF(OR(A543="",D543="",E543=""),"",ROUND(MOD(E543-D543,1)*24-N(F543)/60,2))</f>
        <v/>
      </c>
      <c r="H543" s="7">
        <f>IF(C543="","",IFERROR(INDEX(Sites!$B$2:$B$501,MATCH(C543,Sites!$A$2:$A$501,0)),"?"))</f>
        <v/>
      </c>
      <c r="I543" s="8">
        <f>IF(A543="","",A543-WEEKDAY(A543,3))</f>
        <v/>
      </c>
      <c r="K543" s="7">
        <f>IF(A543="","",IF(OR(B543="",C543="",D543="",E543=""),"Missing info",IF(ISNA(MATCH(B543,Staff!$A$2:$A$101,0)),"Unknown employee",IF(H543="?","Unknown site",IF(G543&lt;=0,"Check times",IF(G543&gt;12,"Over 12h",IF(COUNTIFS($L$2:$L$2001,L543)&gt;1,"Duplicate?",IF(A543&gt;TODAY(),"Future date","OK"))))))))</f>
        <v/>
      </c>
      <c r="L543">
        <f>IF(A543="","",TEXT(A543,"yyyy-mm-dd")&amp;"|"&amp;B543&amp;"|"&amp;C543)</f>
        <v/>
      </c>
    </row>
    <row r="544">
      <c r="A544" s="4" t="n"/>
      <c r="D544" s="5" t="n"/>
      <c r="E544" s="5" t="n"/>
      <c r="G544" s="6">
        <f>IF(OR(A544="",D544="",E544=""),"",ROUND(MOD(E544-D544,1)*24-N(F544)/60,2))</f>
        <v/>
      </c>
      <c r="H544" s="7">
        <f>IF(C544="","",IFERROR(INDEX(Sites!$B$2:$B$501,MATCH(C544,Sites!$A$2:$A$501,0)),"?"))</f>
        <v/>
      </c>
      <c r="I544" s="8">
        <f>IF(A544="","",A544-WEEKDAY(A544,3))</f>
        <v/>
      </c>
      <c r="K544" s="7">
        <f>IF(A544="","",IF(OR(B544="",C544="",D544="",E544=""),"Missing info",IF(ISNA(MATCH(B544,Staff!$A$2:$A$101,0)),"Unknown employee",IF(H544="?","Unknown site",IF(G544&lt;=0,"Check times",IF(G544&gt;12,"Over 12h",IF(COUNTIFS($L$2:$L$2001,L544)&gt;1,"Duplicate?",IF(A544&gt;TODAY(),"Future date","OK"))))))))</f>
        <v/>
      </c>
      <c r="L544">
        <f>IF(A544="","",TEXT(A544,"yyyy-mm-dd")&amp;"|"&amp;B544&amp;"|"&amp;C544)</f>
        <v/>
      </c>
    </row>
    <row r="545">
      <c r="A545" s="4" t="n"/>
      <c r="D545" s="5" t="n"/>
      <c r="E545" s="5" t="n"/>
      <c r="G545" s="6">
        <f>IF(OR(A545="",D545="",E545=""),"",ROUND(MOD(E545-D545,1)*24-N(F545)/60,2))</f>
        <v/>
      </c>
      <c r="H545" s="7">
        <f>IF(C545="","",IFERROR(INDEX(Sites!$B$2:$B$501,MATCH(C545,Sites!$A$2:$A$501,0)),"?"))</f>
        <v/>
      </c>
      <c r="I545" s="8">
        <f>IF(A545="","",A545-WEEKDAY(A545,3))</f>
        <v/>
      </c>
      <c r="K545" s="7">
        <f>IF(A545="","",IF(OR(B545="",C545="",D545="",E545=""),"Missing info",IF(ISNA(MATCH(B545,Staff!$A$2:$A$101,0)),"Unknown employee",IF(H545="?","Unknown site",IF(G545&lt;=0,"Check times",IF(G545&gt;12,"Over 12h",IF(COUNTIFS($L$2:$L$2001,L545)&gt;1,"Duplicate?",IF(A545&gt;TODAY(),"Future date","OK"))))))))</f>
        <v/>
      </c>
      <c r="L545">
        <f>IF(A545="","",TEXT(A545,"yyyy-mm-dd")&amp;"|"&amp;B545&amp;"|"&amp;C545)</f>
        <v/>
      </c>
    </row>
    <row r="546">
      <c r="A546" s="4" t="n"/>
      <c r="D546" s="5" t="n"/>
      <c r="E546" s="5" t="n"/>
      <c r="G546" s="6">
        <f>IF(OR(A546="",D546="",E546=""),"",ROUND(MOD(E546-D546,1)*24-N(F546)/60,2))</f>
        <v/>
      </c>
      <c r="H546" s="7">
        <f>IF(C546="","",IFERROR(INDEX(Sites!$B$2:$B$501,MATCH(C546,Sites!$A$2:$A$501,0)),"?"))</f>
        <v/>
      </c>
      <c r="I546" s="8">
        <f>IF(A546="","",A546-WEEKDAY(A546,3))</f>
        <v/>
      </c>
      <c r="K546" s="7">
        <f>IF(A546="","",IF(OR(B546="",C546="",D546="",E546=""),"Missing info",IF(ISNA(MATCH(B546,Staff!$A$2:$A$101,0)),"Unknown employee",IF(H546="?","Unknown site",IF(G546&lt;=0,"Check times",IF(G546&gt;12,"Over 12h",IF(COUNTIFS($L$2:$L$2001,L546)&gt;1,"Duplicate?",IF(A546&gt;TODAY(),"Future date","OK"))))))))</f>
        <v/>
      </c>
      <c r="L546">
        <f>IF(A546="","",TEXT(A546,"yyyy-mm-dd")&amp;"|"&amp;B546&amp;"|"&amp;C546)</f>
        <v/>
      </c>
    </row>
    <row r="547">
      <c r="A547" s="4" t="n"/>
      <c r="D547" s="5" t="n"/>
      <c r="E547" s="5" t="n"/>
      <c r="G547" s="6">
        <f>IF(OR(A547="",D547="",E547=""),"",ROUND(MOD(E547-D547,1)*24-N(F547)/60,2))</f>
        <v/>
      </c>
      <c r="H547" s="7">
        <f>IF(C547="","",IFERROR(INDEX(Sites!$B$2:$B$501,MATCH(C547,Sites!$A$2:$A$501,0)),"?"))</f>
        <v/>
      </c>
      <c r="I547" s="8">
        <f>IF(A547="","",A547-WEEKDAY(A547,3))</f>
        <v/>
      </c>
      <c r="K547" s="7">
        <f>IF(A547="","",IF(OR(B547="",C547="",D547="",E547=""),"Missing info",IF(ISNA(MATCH(B547,Staff!$A$2:$A$101,0)),"Unknown employee",IF(H547="?","Unknown site",IF(G547&lt;=0,"Check times",IF(G547&gt;12,"Over 12h",IF(COUNTIFS($L$2:$L$2001,L547)&gt;1,"Duplicate?",IF(A547&gt;TODAY(),"Future date","OK"))))))))</f>
        <v/>
      </c>
      <c r="L547">
        <f>IF(A547="","",TEXT(A547,"yyyy-mm-dd")&amp;"|"&amp;B547&amp;"|"&amp;C547)</f>
        <v/>
      </c>
    </row>
    <row r="548">
      <c r="A548" s="4" t="n"/>
      <c r="D548" s="5" t="n"/>
      <c r="E548" s="5" t="n"/>
      <c r="G548" s="6">
        <f>IF(OR(A548="",D548="",E548=""),"",ROUND(MOD(E548-D548,1)*24-N(F548)/60,2))</f>
        <v/>
      </c>
      <c r="H548" s="7">
        <f>IF(C548="","",IFERROR(INDEX(Sites!$B$2:$B$501,MATCH(C548,Sites!$A$2:$A$501,0)),"?"))</f>
        <v/>
      </c>
      <c r="I548" s="8">
        <f>IF(A548="","",A548-WEEKDAY(A548,3))</f>
        <v/>
      </c>
      <c r="K548" s="7">
        <f>IF(A548="","",IF(OR(B548="",C548="",D548="",E548=""),"Missing info",IF(ISNA(MATCH(B548,Staff!$A$2:$A$101,0)),"Unknown employee",IF(H548="?","Unknown site",IF(G548&lt;=0,"Check times",IF(G548&gt;12,"Over 12h",IF(COUNTIFS($L$2:$L$2001,L548)&gt;1,"Duplicate?",IF(A548&gt;TODAY(),"Future date","OK"))))))))</f>
        <v/>
      </c>
      <c r="L548">
        <f>IF(A548="","",TEXT(A548,"yyyy-mm-dd")&amp;"|"&amp;B548&amp;"|"&amp;C548)</f>
        <v/>
      </c>
    </row>
    <row r="549">
      <c r="A549" s="4" t="n"/>
      <c r="D549" s="5" t="n"/>
      <c r="E549" s="5" t="n"/>
      <c r="G549" s="6">
        <f>IF(OR(A549="",D549="",E549=""),"",ROUND(MOD(E549-D549,1)*24-N(F549)/60,2))</f>
        <v/>
      </c>
      <c r="H549" s="7">
        <f>IF(C549="","",IFERROR(INDEX(Sites!$B$2:$B$501,MATCH(C549,Sites!$A$2:$A$501,0)),"?"))</f>
        <v/>
      </c>
      <c r="I549" s="8">
        <f>IF(A549="","",A549-WEEKDAY(A549,3))</f>
        <v/>
      </c>
      <c r="K549" s="7">
        <f>IF(A549="","",IF(OR(B549="",C549="",D549="",E549=""),"Missing info",IF(ISNA(MATCH(B549,Staff!$A$2:$A$101,0)),"Unknown employee",IF(H549="?","Unknown site",IF(G549&lt;=0,"Check times",IF(G549&gt;12,"Over 12h",IF(COUNTIFS($L$2:$L$2001,L549)&gt;1,"Duplicate?",IF(A549&gt;TODAY(),"Future date","OK"))))))))</f>
        <v/>
      </c>
      <c r="L549">
        <f>IF(A549="","",TEXT(A549,"yyyy-mm-dd")&amp;"|"&amp;B549&amp;"|"&amp;C549)</f>
        <v/>
      </c>
    </row>
    <row r="550">
      <c r="A550" s="4" t="n"/>
      <c r="D550" s="5" t="n"/>
      <c r="E550" s="5" t="n"/>
      <c r="G550" s="6">
        <f>IF(OR(A550="",D550="",E550=""),"",ROUND(MOD(E550-D550,1)*24-N(F550)/60,2))</f>
        <v/>
      </c>
      <c r="H550" s="7">
        <f>IF(C550="","",IFERROR(INDEX(Sites!$B$2:$B$501,MATCH(C550,Sites!$A$2:$A$501,0)),"?"))</f>
        <v/>
      </c>
      <c r="I550" s="8">
        <f>IF(A550="","",A550-WEEKDAY(A550,3))</f>
        <v/>
      </c>
      <c r="K550" s="7">
        <f>IF(A550="","",IF(OR(B550="",C550="",D550="",E550=""),"Missing info",IF(ISNA(MATCH(B550,Staff!$A$2:$A$101,0)),"Unknown employee",IF(H550="?","Unknown site",IF(G550&lt;=0,"Check times",IF(G550&gt;12,"Over 12h",IF(COUNTIFS($L$2:$L$2001,L550)&gt;1,"Duplicate?",IF(A550&gt;TODAY(),"Future date","OK"))))))))</f>
        <v/>
      </c>
      <c r="L550">
        <f>IF(A550="","",TEXT(A550,"yyyy-mm-dd")&amp;"|"&amp;B550&amp;"|"&amp;C550)</f>
        <v/>
      </c>
    </row>
    <row r="551">
      <c r="A551" s="4" t="n"/>
      <c r="D551" s="5" t="n"/>
      <c r="E551" s="5" t="n"/>
      <c r="G551" s="6">
        <f>IF(OR(A551="",D551="",E551=""),"",ROUND(MOD(E551-D551,1)*24-N(F551)/60,2))</f>
        <v/>
      </c>
      <c r="H551" s="7">
        <f>IF(C551="","",IFERROR(INDEX(Sites!$B$2:$B$501,MATCH(C551,Sites!$A$2:$A$501,0)),"?"))</f>
        <v/>
      </c>
      <c r="I551" s="8">
        <f>IF(A551="","",A551-WEEKDAY(A551,3))</f>
        <v/>
      </c>
      <c r="K551" s="7">
        <f>IF(A551="","",IF(OR(B551="",C551="",D551="",E551=""),"Missing info",IF(ISNA(MATCH(B551,Staff!$A$2:$A$101,0)),"Unknown employee",IF(H551="?","Unknown site",IF(G551&lt;=0,"Check times",IF(G551&gt;12,"Over 12h",IF(COUNTIFS($L$2:$L$2001,L551)&gt;1,"Duplicate?",IF(A551&gt;TODAY(),"Future date","OK"))))))))</f>
        <v/>
      </c>
      <c r="L551">
        <f>IF(A551="","",TEXT(A551,"yyyy-mm-dd")&amp;"|"&amp;B551&amp;"|"&amp;C551)</f>
        <v/>
      </c>
    </row>
    <row r="552">
      <c r="A552" s="4" t="n"/>
      <c r="D552" s="5" t="n"/>
      <c r="E552" s="5" t="n"/>
      <c r="G552" s="6">
        <f>IF(OR(A552="",D552="",E552=""),"",ROUND(MOD(E552-D552,1)*24-N(F552)/60,2))</f>
        <v/>
      </c>
      <c r="H552" s="7">
        <f>IF(C552="","",IFERROR(INDEX(Sites!$B$2:$B$501,MATCH(C552,Sites!$A$2:$A$501,0)),"?"))</f>
        <v/>
      </c>
      <c r="I552" s="8">
        <f>IF(A552="","",A552-WEEKDAY(A552,3))</f>
        <v/>
      </c>
      <c r="K552" s="7">
        <f>IF(A552="","",IF(OR(B552="",C552="",D552="",E552=""),"Missing info",IF(ISNA(MATCH(B552,Staff!$A$2:$A$101,0)),"Unknown employee",IF(H552="?","Unknown site",IF(G552&lt;=0,"Check times",IF(G552&gt;12,"Over 12h",IF(COUNTIFS($L$2:$L$2001,L552)&gt;1,"Duplicate?",IF(A552&gt;TODAY(),"Future date","OK"))))))))</f>
        <v/>
      </c>
      <c r="L552">
        <f>IF(A552="","",TEXT(A552,"yyyy-mm-dd")&amp;"|"&amp;B552&amp;"|"&amp;C552)</f>
        <v/>
      </c>
    </row>
    <row r="553">
      <c r="A553" s="4" t="n"/>
      <c r="D553" s="5" t="n"/>
      <c r="E553" s="5" t="n"/>
      <c r="G553" s="6">
        <f>IF(OR(A553="",D553="",E553=""),"",ROUND(MOD(E553-D553,1)*24-N(F553)/60,2))</f>
        <v/>
      </c>
      <c r="H553" s="7">
        <f>IF(C553="","",IFERROR(INDEX(Sites!$B$2:$B$501,MATCH(C553,Sites!$A$2:$A$501,0)),"?"))</f>
        <v/>
      </c>
      <c r="I553" s="8">
        <f>IF(A553="","",A553-WEEKDAY(A553,3))</f>
        <v/>
      </c>
      <c r="K553" s="7">
        <f>IF(A553="","",IF(OR(B553="",C553="",D553="",E553=""),"Missing info",IF(ISNA(MATCH(B553,Staff!$A$2:$A$101,0)),"Unknown employee",IF(H553="?","Unknown site",IF(G553&lt;=0,"Check times",IF(G553&gt;12,"Over 12h",IF(COUNTIFS($L$2:$L$2001,L553)&gt;1,"Duplicate?",IF(A553&gt;TODAY(),"Future date","OK"))))))))</f>
        <v/>
      </c>
      <c r="L553">
        <f>IF(A553="","",TEXT(A553,"yyyy-mm-dd")&amp;"|"&amp;B553&amp;"|"&amp;C553)</f>
        <v/>
      </c>
    </row>
    <row r="554">
      <c r="A554" s="4" t="n"/>
      <c r="D554" s="5" t="n"/>
      <c r="E554" s="5" t="n"/>
      <c r="G554" s="6">
        <f>IF(OR(A554="",D554="",E554=""),"",ROUND(MOD(E554-D554,1)*24-N(F554)/60,2))</f>
        <v/>
      </c>
      <c r="H554" s="7">
        <f>IF(C554="","",IFERROR(INDEX(Sites!$B$2:$B$501,MATCH(C554,Sites!$A$2:$A$501,0)),"?"))</f>
        <v/>
      </c>
      <c r="I554" s="8">
        <f>IF(A554="","",A554-WEEKDAY(A554,3))</f>
        <v/>
      </c>
      <c r="K554" s="7">
        <f>IF(A554="","",IF(OR(B554="",C554="",D554="",E554=""),"Missing info",IF(ISNA(MATCH(B554,Staff!$A$2:$A$101,0)),"Unknown employee",IF(H554="?","Unknown site",IF(G554&lt;=0,"Check times",IF(G554&gt;12,"Over 12h",IF(COUNTIFS($L$2:$L$2001,L554)&gt;1,"Duplicate?",IF(A554&gt;TODAY(),"Future date","OK"))))))))</f>
        <v/>
      </c>
      <c r="L554">
        <f>IF(A554="","",TEXT(A554,"yyyy-mm-dd")&amp;"|"&amp;B554&amp;"|"&amp;C554)</f>
        <v/>
      </c>
    </row>
    <row r="555">
      <c r="A555" s="4" t="n"/>
      <c r="D555" s="5" t="n"/>
      <c r="E555" s="5" t="n"/>
      <c r="G555" s="6">
        <f>IF(OR(A555="",D555="",E555=""),"",ROUND(MOD(E555-D555,1)*24-N(F555)/60,2))</f>
        <v/>
      </c>
      <c r="H555" s="7">
        <f>IF(C555="","",IFERROR(INDEX(Sites!$B$2:$B$501,MATCH(C555,Sites!$A$2:$A$501,0)),"?"))</f>
        <v/>
      </c>
      <c r="I555" s="8">
        <f>IF(A555="","",A555-WEEKDAY(A555,3))</f>
        <v/>
      </c>
      <c r="K555" s="7">
        <f>IF(A555="","",IF(OR(B555="",C555="",D555="",E555=""),"Missing info",IF(ISNA(MATCH(B555,Staff!$A$2:$A$101,0)),"Unknown employee",IF(H555="?","Unknown site",IF(G555&lt;=0,"Check times",IF(G555&gt;12,"Over 12h",IF(COUNTIFS($L$2:$L$2001,L555)&gt;1,"Duplicate?",IF(A555&gt;TODAY(),"Future date","OK"))))))))</f>
        <v/>
      </c>
      <c r="L555">
        <f>IF(A555="","",TEXT(A555,"yyyy-mm-dd")&amp;"|"&amp;B555&amp;"|"&amp;C555)</f>
        <v/>
      </c>
    </row>
    <row r="556">
      <c r="A556" s="4" t="n"/>
      <c r="D556" s="5" t="n"/>
      <c r="E556" s="5" t="n"/>
      <c r="G556" s="6">
        <f>IF(OR(A556="",D556="",E556=""),"",ROUND(MOD(E556-D556,1)*24-N(F556)/60,2))</f>
        <v/>
      </c>
      <c r="H556" s="7">
        <f>IF(C556="","",IFERROR(INDEX(Sites!$B$2:$B$501,MATCH(C556,Sites!$A$2:$A$501,0)),"?"))</f>
        <v/>
      </c>
      <c r="I556" s="8">
        <f>IF(A556="","",A556-WEEKDAY(A556,3))</f>
        <v/>
      </c>
      <c r="K556" s="7">
        <f>IF(A556="","",IF(OR(B556="",C556="",D556="",E556=""),"Missing info",IF(ISNA(MATCH(B556,Staff!$A$2:$A$101,0)),"Unknown employee",IF(H556="?","Unknown site",IF(G556&lt;=0,"Check times",IF(G556&gt;12,"Over 12h",IF(COUNTIFS($L$2:$L$2001,L556)&gt;1,"Duplicate?",IF(A556&gt;TODAY(),"Future date","OK"))))))))</f>
        <v/>
      </c>
      <c r="L556">
        <f>IF(A556="","",TEXT(A556,"yyyy-mm-dd")&amp;"|"&amp;B556&amp;"|"&amp;C556)</f>
        <v/>
      </c>
    </row>
    <row r="557">
      <c r="A557" s="4" t="n"/>
      <c r="D557" s="5" t="n"/>
      <c r="E557" s="5" t="n"/>
      <c r="G557" s="6">
        <f>IF(OR(A557="",D557="",E557=""),"",ROUND(MOD(E557-D557,1)*24-N(F557)/60,2))</f>
        <v/>
      </c>
      <c r="H557" s="7">
        <f>IF(C557="","",IFERROR(INDEX(Sites!$B$2:$B$501,MATCH(C557,Sites!$A$2:$A$501,0)),"?"))</f>
        <v/>
      </c>
      <c r="I557" s="8">
        <f>IF(A557="","",A557-WEEKDAY(A557,3))</f>
        <v/>
      </c>
      <c r="K557" s="7">
        <f>IF(A557="","",IF(OR(B557="",C557="",D557="",E557=""),"Missing info",IF(ISNA(MATCH(B557,Staff!$A$2:$A$101,0)),"Unknown employee",IF(H557="?","Unknown site",IF(G557&lt;=0,"Check times",IF(G557&gt;12,"Over 12h",IF(COUNTIFS($L$2:$L$2001,L557)&gt;1,"Duplicate?",IF(A557&gt;TODAY(),"Future date","OK"))))))))</f>
        <v/>
      </c>
      <c r="L557">
        <f>IF(A557="","",TEXT(A557,"yyyy-mm-dd")&amp;"|"&amp;B557&amp;"|"&amp;C557)</f>
        <v/>
      </c>
    </row>
    <row r="558">
      <c r="A558" s="4" t="n"/>
      <c r="D558" s="5" t="n"/>
      <c r="E558" s="5" t="n"/>
      <c r="G558" s="6">
        <f>IF(OR(A558="",D558="",E558=""),"",ROUND(MOD(E558-D558,1)*24-N(F558)/60,2))</f>
        <v/>
      </c>
      <c r="H558" s="7">
        <f>IF(C558="","",IFERROR(INDEX(Sites!$B$2:$B$501,MATCH(C558,Sites!$A$2:$A$501,0)),"?"))</f>
        <v/>
      </c>
      <c r="I558" s="8">
        <f>IF(A558="","",A558-WEEKDAY(A558,3))</f>
        <v/>
      </c>
      <c r="K558" s="7">
        <f>IF(A558="","",IF(OR(B558="",C558="",D558="",E558=""),"Missing info",IF(ISNA(MATCH(B558,Staff!$A$2:$A$101,0)),"Unknown employee",IF(H558="?","Unknown site",IF(G558&lt;=0,"Check times",IF(G558&gt;12,"Over 12h",IF(COUNTIFS($L$2:$L$2001,L558)&gt;1,"Duplicate?",IF(A558&gt;TODAY(),"Future date","OK"))))))))</f>
        <v/>
      </c>
      <c r="L558">
        <f>IF(A558="","",TEXT(A558,"yyyy-mm-dd")&amp;"|"&amp;B558&amp;"|"&amp;C558)</f>
        <v/>
      </c>
    </row>
    <row r="559">
      <c r="A559" s="4" t="n"/>
      <c r="D559" s="5" t="n"/>
      <c r="E559" s="5" t="n"/>
      <c r="G559" s="6">
        <f>IF(OR(A559="",D559="",E559=""),"",ROUND(MOD(E559-D559,1)*24-N(F559)/60,2))</f>
        <v/>
      </c>
      <c r="H559" s="7">
        <f>IF(C559="","",IFERROR(INDEX(Sites!$B$2:$B$501,MATCH(C559,Sites!$A$2:$A$501,0)),"?"))</f>
        <v/>
      </c>
      <c r="I559" s="8">
        <f>IF(A559="","",A559-WEEKDAY(A559,3))</f>
        <v/>
      </c>
      <c r="K559" s="7">
        <f>IF(A559="","",IF(OR(B559="",C559="",D559="",E559=""),"Missing info",IF(ISNA(MATCH(B559,Staff!$A$2:$A$101,0)),"Unknown employee",IF(H559="?","Unknown site",IF(G559&lt;=0,"Check times",IF(G559&gt;12,"Over 12h",IF(COUNTIFS($L$2:$L$2001,L559)&gt;1,"Duplicate?",IF(A559&gt;TODAY(),"Future date","OK"))))))))</f>
        <v/>
      </c>
      <c r="L559">
        <f>IF(A559="","",TEXT(A559,"yyyy-mm-dd")&amp;"|"&amp;B559&amp;"|"&amp;C559)</f>
        <v/>
      </c>
    </row>
    <row r="560">
      <c r="A560" s="4" t="n"/>
      <c r="D560" s="5" t="n"/>
      <c r="E560" s="5" t="n"/>
      <c r="G560" s="6">
        <f>IF(OR(A560="",D560="",E560=""),"",ROUND(MOD(E560-D560,1)*24-N(F560)/60,2))</f>
        <v/>
      </c>
      <c r="H560" s="7">
        <f>IF(C560="","",IFERROR(INDEX(Sites!$B$2:$B$501,MATCH(C560,Sites!$A$2:$A$501,0)),"?"))</f>
        <v/>
      </c>
      <c r="I560" s="8">
        <f>IF(A560="","",A560-WEEKDAY(A560,3))</f>
        <v/>
      </c>
      <c r="K560" s="7">
        <f>IF(A560="","",IF(OR(B560="",C560="",D560="",E560=""),"Missing info",IF(ISNA(MATCH(B560,Staff!$A$2:$A$101,0)),"Unknown employee",IF(H560="?","Unknown site",IF(G560&lt;=0,"Check times",IF(G560&gt;12,"Over 12h",IF(COUNTIFS($L$2:$L$2001,L560)&gt;1,"Duplicate?",IF(A560&gt;TODAY(),"Future date","OK"))))))))</f>
        <v/>
      </c>
      <c r="L560">
        <f>IF(A560="","",TEXT(A560,"yyyy-mm-dd")&amp;"|"&amp;B560&amp;"|"&amp;C560)</f>
        <v/>
      </c>
    </row>
    <row r="561">
      <c r="A561" s="4" t="n"/>
      <c r="D561" s="5" t="n"/>
      <c r="E561" s="5" t="n"/>
      <c r="G561" s="6">
        <f>IF(OR(A561="",D561="",E561=""),"",ROUND(MOD(E561-D561,1)*24-N(F561)/60,2))</f>
        <v/>
      </c>
      <c r="H561" s="7">
        <f>IF(C561="","",IFERROR(INDEX(Sites!$B$2:$B$501,MATCH(C561,Sites!$A$2:$A$501,0)),"?"))</f>
        <v/>
      </c>
      <c r="I561" s="8">
        <f>IF(A561="","",A561-WEEKDAY(A561,3))</f>
        <v/>
      </c>
      <c r="K561" s="7">
        <f>IF(A561="","",IF(OR(B561="",C561="",D561="",E561=""),"Missing info",IF(ISNA(MATCH(B561,Staff!$A$2:$A$101,0)),"Unknown employee",IF(H561="?","Unknown site",IF(G561&lt;=0,"Check times",IF(G561&gt;12,"Over 12h",IF(COUNTIFS($L$2:$L$2001,L561)&gt;1,"Duplicate?",IF(A561&gt;TODAY(),"Future date","OK"))))))))</f>
        <v/>
      </c>
      <c r="L561">
        <f>IF(A561="","",TEXT(A561,"yyyy-mm-dd")&amp;"|"&amp;B561&amp;"|"&amp;C561)</f>
        <v/>
      </c>
    </row>
    <row r="562">
      <c r="A562" s="4" t="n"/>
      <c r="D562" s="5" t="n"/>
      <c r="E562" s="5" t="n"/>
      <c r="G562" s="6">
        <f>IF(OR(A562="",D562="",E562=""),"",ROUND(MOD(E562-D562,1)*24-N(F562)/60,2))</f>
        <v/>
      </c>
      <c r="H562" s="7">
        <f>IF(C562="","",IFERROR(INDEX(Sites!$B$2:$B$501,MATCH(C562,Sites!$A$2:$A$501,0)),"?"))</f>
        <v/>
      </c>
      <c r="I562" s="8">
        <f>IF(A562="","",A562-WEEKDAY(A562,3))</f>
        <v/>
      </c>
      <c r="K562" s="7">
        <f>IF(A562="","",IF(OR(B562="",C562="",D562="",E562=""),"Missing info",IF(ISNA(MATCH(B562,Staff!$A$2:$A$101,0)),"Unknown employee",IF(H562="?","Unknown site",IF(G562&lt;=0,"Check times",IF(G562&gt;12,"Over 12h",IF(COUNTIFS($L$2:$L$2001,L562)&gt;1,"Duplicate?",IF(A562&gt;TODAY(),"Future date","OK"))))))))</f>
        <v/>
      </c>
      <c r="L562">
        <f>IF(A562="","",TEXT(A562,"yyyy-mm-dd")&amp;"|"&amp;B562&amp;"|"&amp;C562)</f>
        <v/>
      </c>
    </row>
    <row r="563">
      <c r="A563" s="4" t="n"/>
      <c r="D563" s="5" t="n"/>
      <c r="E563" s="5" t="n"/>
      <c r="G563" s="6">
        <f>IF(OR(A563="",D563="",E563=""),"",ROUND(MOD(E563-D563,1)*24-N(F563)/60,2))</f>
        <v/>
      </c>
      <c r="H563" s="7">
        <f>IF(C563="","",IFERROR(INDEX(Sites!$B$2:$B$501,MATCH(C563,Sites!$A$2:$A$501,0)),"?"))</f>
        <v/>
      </c>
      <c r="I563" s="8">
        <f>IF(A563="","",A563-WEEKDAY(A563,3))</f>
        <v/>
      </c>
      <c r="K563" s="7">
        <f>IF(A563="","",IF(OR(B563="",C563="",D563="",E563=""),"Missing info",IF(ISNA(MATCH(B563,Staff!$A$2:$A$101,0)),"Unknown employee",IF(H563="?","Unknown site",IF(G563&lt;=0,"Check times",IF(G563&gt;12,"Over 12h",IF(COUNTIFS($L$2:$L$2001,L563)&gt;1,"Duplicate?",IF(A563&gt;TODAY(),"Future date","OK"))))))))</f>
        <v/>
      </c>
      <c r="L563">
        <f>IF(A563="","",TEXT(A563,"yyyy-mm-dd")&amp;"|"&amp;B563&amp;"|"&amp;C563)</f>
        <v/>
      </c>
    </row>
    <row r="564">
      <c r="A564" s="4" t="n"/>
      <c r="D564" s="5" t="n"/>
      <c r="E564" s="5" t="n"/>
      <c r="G564" s="6">
        <f>IF(OR(A564="",D564="",E564=""),"",ROUND(MOD(E564-D564,1)*24-N(F564)/60,2))</f>
        <v/>
      </c>
      <c r="H564" s="7">
        <f>IF(C564="","",IFERROR(INDEX(Sites!$B$2:$B$501,MATCH(C564,Sites!$A$2:$A$501,0)),"?"))</f>
        <v/>
      </c>
      <c r="I564" s="8">
        <f>IF(A564="","",A564-WEEKDAY(A564,3))</f>
        <v/>
      </c>
      <c r="K564" s="7">
        <f>IF(A564="","",IF(OR(B564="",C564="",D564="",E564=""),"Missing info",IF(ISNA(MATCH(B564,Staff!$A$2:$A$101,0)),"Unknown employee",IF(H564="?","Unknown site",IF(G564&lt;=0,"Check times",IF(G564&gt;12,"Over 12h",IF(COUNTIFS($L$2:$L$2001,L564)&gt;1,"Duplicate?",IF(A564&gt;TODAY(),"Future date","OK"))))))))</f>
        <v/>
      </c>
      <c r="L564">
        <f>IF(A564="","",TEXT(A564,"yyyy-mm-dd")&amp;"|"&amp;B564&amp;"|"&amp;C564)</f>
        <v/>
      </c>
    </row>
    <row r="565">
      <c r="A565" s="4" t="n"/>
      <c r="D565" s="5" t="n"/>
      <c r="E565" s="5" t="n"/>
      <c r="G565" s="6">
        <f>IF(OR(A565="",D565="",E565=""),"",ROUND(MOD(E565-D565,1)*24-N(F565)/60,2))</f>
        <v/>
      </c>
      <c r="H565" s="7">
        <f>IF(C565="","",IFERROR(INDEX(Sites!$B$2:$B$501,MATCH(C565,Sites!$A$2:$A$501,0)),"?"))</f>
        <v/>
      </c>
      <c r="I565" s="8">
        <f>IF(A565="","",A565-WEEKDAY(A565,3))</f>
        <v/>
      </c>
      <c r="K565" s="7">
        <f>IF(A565="","",IF(OR(B565="",C565="",D565="",E565=""),"Missing info",IF(ISNA(MATCH(B565,Staff!$A$2:$A$101,0)),"Unknown employee",IF(H565="?","Unknown site",IF(G565&lt;=0,"Check times",IF(G565&gt;12,"Over 12h",IF(COUNTIFS($L$2:$L$2001,L565)&gt;1,"Duplicate?",IF(A565&gt;TODAY(),"Future date","OK"))))))))</f>
        <v/>
      </c>
      <c r="L565">
        <f>IF(A565="","",TEXT(A565,"yyyy-mm-dd")&amp;"|"&amp;B565&amp;"|"&amp;C565)</f>
        <v/>
      </c>
    </row>
    <row r="566">
      <c r="A566" s="4" t="n"/>
      <c r="D566" s="5" t="n"/>
      <c r="E566" s="5" t="n"/>
      <c r="G566" s="6">
        <f>IF(OR(A566="",D566="",E566=""),"",ROUND(MOD(E566-D566,1)*24-N(F566)/60,2))</f>
        <v/>
      </c>
      <c r="H566" s="7">
        <f>IF(C566="","",IFERROR(INDEX(Sites!$B$2:$B$501,MATCH(C566,Sites!$A$2:$A$501,0)),"?"))</f>
        <v/>
      </c>
      <c r="I566" s="8">
        <f>IF(A566="","",A566-WEEKDAY(A566,3))</f>
        <v/>
      </c>
      <c r="K566" s="7">
        <f>IF(A566="","",IF(OR(B566="",C566="",D566="",E566=""),"Missing info",IF(ISNA(MATCH(B566,Staff!$A$2:$A$101,0)),"Unknown employee",IF(H566="?","Unknown site",IF(G566&lt;=0,"Check times",IF(G566&gt;12,"Over 12h",IF(COUNTIFS($L$2:$L$2001,L566)&gt;1,"Duplicate?",IF(A566&gt;TODAY(),"Future date","OK"))))))))</f>
        <v/>
      </c>
      <c r="L566">
        <f>IF(A566="","",TEXT(A566,"yyyy-mm-dd")&amp;"|"&amp;B566&amp;"|"&amp;C566)</f>
        <v/>
      </c>
    </row>
    <row r="567">
      <c r="A567" s="4" t="n"/>
      <c r="D567" s="5" t="n"/>
      <c r="E567" s="5" t="n"/>
      <c r="G567" s="6">
        <f>IF(OR(A567="",D567="",E567=""),"",ROUND(MOD(E567-D567,1)*24-N(F567)/60,2))</f>
        <v/>
      </c>
      <c r="H567" s="7">
        <f>IF(C567="","",IFERROR(INDEX(Sites!$B$2:$B$501,MATCH(C567,Sites!$A$2:$A$501,0)),"?"))</f>
        <v/>
      </c>
      <c r="I567" s="8">
        <f>IF(A567="","",A567-WEEKDAY(A567,3))</f>
        <v/>
      </c>
      <c r="K567" s="7">
        <f>IF(A567="","",IF(OR(B567="",C567="",D567="",E567=""),"Missing info",IF(ISNA(MATCH(B567,Staff!$A$2:$A$101,0)),"Unknown employee",IF(H567="?","Unknown site",IF(G567&lt;=0,"Check times",IF(G567&gt;12,"Over 12h",IF(COUNTIFS($L$2:$L$2001,L567)&gt;1,"Duplicate?",IF(A567&gt;TODAY(),"Future date","OK"))))))))</f>
        <v/>
      </c>
      <c r="L567">
        <f>IF(A567="","",TEXT(A567,"yyyy-mm-dd")&amp;"|"&amp;B567&amp;"|"&amp;C567)</f>
        <v/>
      </c>
    </row>
    <row r="568">
      <c r="A568" s="4" t="n"/>
      <c r="D568" s="5" t="n"/>
      <c r="E568" s="5" t="n"/>
      <c r="G568" s="6">
        <f>IF(OR(A568="",D568="",E568=""),"",ROUND(MOD(E568-D568,1)*24-N(F568)/60,2))</f>
        <v/>
      </c>
      <c r="H568" s="7">
        <f>IF(C568="","",IFERROR(INDEX(Sites!$B$2:$B$501,MATCH(C568,Sites!$A$2:$A$501,0)),"?"))</f>
        <v/>
      </c>
      <c r="I568" s="8">
        <f>IF(A568="","",A568-WEEKDAY(A568,3))</f>
        <v/>
      </c>
      <c r="K568" s="7">
        <f>IF(A568="","",IF(OR(B568="",C568="",D568="",E568=""),"Missing info",IF(ISNA(MATCH(B568,Staff!$A$2:$A$101,0)),"Unknown employee",IF(H568="?","Unknown site",IF(G568&lt;=0,"Check times",IF(G568&gt;12,"Over 12h",IF(COUNTIFS($L$2:$L$2001,L568)&gt;1,"Duplicate?",IF(A568&gt;TODAY(),"Future date","OK"))))))))</f>
        <v/>
      </c>
      <c r="L568">
        <f>IF(A568="","",TEXT(A568,"yyyy-mm-dd")&amp;"|"&amp;B568&amp;"|"&amp;C568)</f>
        <v/>
      </c>
    </row>
    <row r="569">
      <c r="A569" s="4" t="n"/>
      <c r="D569" s="5" t="n"/>
      <c r="E569" s="5" t="n"/>
      <c r="G569" s="6">
        <f>IF(OR(A569="",D569="",E569=""),"",ROUND(MOD(E569-D569,1)*24-N(F569)/60,2))</f>
        <v/>
      </c>
      <c r="H569" s="7">
        <f>IF(C569="","",IFERROR(INDEX(Sites!$B$2:$B$501,MATCH(C569,Sites!$A$2:$A$501,0)),"?"))</f>
        <v/>
      </c>
      <c r="I569" s="8">
        <f>IF(A569="","",A569-WEEKDAY(A569,3))</f>
        <v/>
      </c>
      <c r="K569" s="7">
        <f>IF(A569="","",IF(OR(B569="",C569="",D569="",E569=""),"Missing info",IF(ISNA(MATCH(B569,Staff!$A$2:$A$101,0)),"Unknown employee",IF(H569="?","Unknown site",IF(G569&lt;=0,"Check times",IF(G569&gt;12,"Over 12h",IF(COUNTIFS($L$2:$L$2001,L569)&gt;1,"Duplicate?",IF(A569&gt;TODAY(),"Future date","OK"))))))))</f>
        <v/>
      </c>
      <c r="L569">
        <f>IF(A569="","",TEXT(A569,"yyyy-mm-dd")&amp;"|"&amp;B569&amp;"|"&amp;C569)</f>
        <v/>
      </c>
    </row>
    <row r="570">
      <c r="A570" s="4" t="n"/>
      <c r="D570" s="5" t="n"/>
      <c r="E570" s="5" t="n"/>
      <c r="G570" s="6">
        <f>IF(OR(A570="",D570="",E570=""),"",ROUND(MOD(E570-D570,1)*24-N(F570)/60,2))</f>
        <v/>
      </c>
      <c r="H570" s="7">
        <f>IF(C570="","",IFERROR(INDEX(Sites!$B$2:$B$501,MATCH(C570,Sites!$A$2:$A$501,0)),"?"))</f>
        <v/>
      </c>
      <c r="I570" s="8">
        <f>IF(A570="","",A570-WEEKDAY(A570,3))</f>
        <v/>
      </c>
      <c r="K570" s="7">
        <f>IF(A570="","",IF(OR(B570="",C570="",D570="",E570=""),"Missing info",IF(ISNA(MATCH(B570,Staff!$A$2:$A$101,0)),"Unknown employee",IF(H570="?","Unknown site",IF(G570&lt;=0,"Check times",IF(G570&gt;12,"Over 12h",IF(COUNTIFS($L$2:$L$2001,L570)&gt;1,"Duplicate?",IF(A570&gt;TODAY(),"Future date","OK"))))))))</f>
        <v/>
      </c>
      <c r="L570">
        <f>IF(A570="","",TEXT(A570,"yyyy-mm-dd")&amp;"|"&amp;B570&amp;"|"&amp;C570)</f>
        <v/>
      </c>
    </row>
    <row r="571">
      <c r="A571" s="4" t="n"/>
      <c r="D571" s="5" t="n"/>
      <c r="E571" s="5" t="n"/>
      <c r="G571" s="6">
        <f>IF(OR(A571="",D571="",E571=""),"",ROUND(MOD(E571-D571,1)*24-N(F571)/60,2))</f>
        <v/>
      </c>
      <c r="H571" s="7">
        <f>IF(C571="","",IFERROR(INDEX(Sites!$B$2:$B$501,MATCH(C571,Sites!$A$2:$A$501,0)),"?"))</f>
        <v/>
      </c>
      <c r="I571" s="8">
        <f>IF(A571="","",A571-WEEKDAY(A571,3))</f>
        <v/>
      </c>
      <c r="K571" s="7">
        <f>IF(A571="","",IF(OR(B571="",C571="",D571="",E571=""),"Missing info",IF(ISNA(MATCH(B571,Staff!$A$2:$A$101,0)),"Unknown employee",IF(H571="?","Unknown site",IF(G571&lt;=0,"Check times",IF(G571&gt;12,"Over 12h",IF(COUNTIFS($L$2:$L$2001,L571)&gt;1,"Duplicate?",IF(A571&gt;TODAY(),"Future date","OK"))))))))</f>
        <v/>
      </c>
      <c r="L571">
        <f>IF(A571="","",TEXT(A571,"yyyy-mm-dd")&amp;"|"&amp;B571&amp;"|"&amp;C571)</f>
        <v/>
      </c>
    </row>
    <row r="572">
      <c r="A572" s="4" t="n"/>
      <c r="D572" s="5" t="n"/>
      <c r="E572" s="5" t="n"/>
      <c r="G572" s="6">
        <f>IF(OR(A572="",D572="",E572=""),"",ROUND(MOD(E572-D572,1)*24-N(F572)/60,2))</f>
        <v/>
      </c>
      <c r="H572" s="7">
        <f>IF(C572="","",IFERROR(INDEX(Sites!$B$2:$B$501,MATCH(C572,Sites!$A$2:$A$501,0)),"?"))</f>
        <v/>
      </c>
      <c r="I572" s="8">
        <f>IF(A572="","",A572-WEEKDAY(A572,3))</f>
        <v/>
      </c>
      <c r="K572" s="7">
        <f>IF(A572="","",IF(OR(B572="",C572="",D572="",E572=""),"Missing info",IF(ISNA(MATCH(B572,Staff!$A$2:$A$101,0)),"Unknown employee",IF(H572="?","Unknown site",IF(G572&lt;=0,"Check times",IF(G572&gt;12,"Over 12h",IF(COUNTIFS($L$2:$L$2001,L572)&gt;1,"Duplicate?",IF(A572&gt;TODAY(),"Future date","OK"))))))))</f>
        <v/>
      </c>
      <c r="L572">
        <f>IF(A572="","",TEXT(A572,"yyyy-mm-dd")&amp;"|"&amp;B572&amp;"|"&amp;C572)</f>
        <v/>
      </c>
    </row>
    <row r="573">
      <c r="A573" s="4" t="n"/>
      <c r="D573" s="5" t="n"/>
      <c r="E573" s="5" t="n"/>
      <c r="G573" s="6">
        <f>IF(OR(A573="",D573="",E573=""),"",ROUND(MOD(E573-D573,1)*24-N(F573)/60,2))</f>
        <v/>
      </c>
      <c r="H573" s="7">
        <f>IF(C573="","",IFERROR(INDEX(Sites!$B$2:$B$501,MATCH(C573,Sites!$A$2:$A$501,0)),"?"))</f>
        <v/>
      </c>
      <c r="I573" s="8">
        <f>IF(A573="","",A573-WEEKDAY(A573,3))</f>
        <v/>
      </c>
      <c r="K573" s="7">
        <f>IF(A573="","",IF(OR(B573="",C573="",D573="",E573=""),"Missing info",IF(ISNA(MATCH(B573,Staff!$A$2:$A$101,0)),"Unknown employee",IF(H573="?","Unknown site",IF(G573&lt;=0,"Check times",IF(G573&gt;12,"Over 12h",IF(COUNTIFS($L$2:$L$2001,L573)&gt;1,"Duplicate?",IF(A573&gt;TODAY(),"Future date","OK"))))))))</f>
        <v/>
      </c>
      <c r="L573">
        <f>IF(A573="","",TEXT(A573,"yyyy-mm-dd")&amp;"|"&amp;B573&amp;"|"&amp;C573)</f>
        <v/>
      </c>
    </row>
    <row r="574">
      <c r="A574" s="4" t="n"/>
      <c r="D574" s="5" t="n"/>
      <c r="E574" s="5" t="n"/>
      <c r="G574" s="6">
        <f>IF(OR(A574="",D574="",E574=""),"",ROUND(MOD(E574-D574,1)*24-N(F574)/60,2))</f>
        <v/>
      </c>
      <c r="H574" s="7">
        <f>IF(C574="","",IFERROR(INDEX(Sites!$B$2:$B$501,MATCH(C574,Sites!$A$2:$A$501,0)),"?"))</f>
        <v/>
      </c>
      <c r="I574" s="8">
        <f>IF(A574="","",A574-WEEKDAY(A574,3))</f>
        <v/>
      </c>
      <c r="K574" s="7">
        <f>IF(A574="","",IF(OR(B574="",C574="",D574="",E574=""),"Missing info",IF(ISNA(MATCH(B574,Staff!$A$2:$A$101,0)),"Unknown employee",IF(H574="?","Unknown site",IF(G574&lt;=0,"Check times",IF(G574&gt;12,"Over 12h",IF(COUNTIFS($L$2:$L$2001,L574)&gt;1,"Duplicate?",IF(A574&gt;TODAY(),"Future date","OK"))))))))</f>
        <v/>
      </c>
      <c r="L574">
        <f>IF(A574="","",TEXT(A574,"yyyy-mm-dd")&amp;"|"&amp;B574&amp;"|"&amp;C574)</f>
        <v/>
      </c>
    </row>
    <row r="575">
      <c r="A575" s="4" t="n"/>
      <c r="D575" s="5" t="n"/>
      <c r="E575" s="5" t="n"/>
      <c r="G575" s="6">
        <f>IF(OR(A575="",D575="",E575=""),"",ROUND(MOD(E575-D575,1)*24-N(F575)/60,2))</f>
        <v/>
      </c>
      <c r="H575" s="7">
        <f>IF(C575="","",IFERROR(INDEX(Sites!$B$2:$B$501,MATCH(C575,Sites!$A$2:$A$501,0)),"?"))</f>
        <v/>
      </c>
      <c r="I575" s="8">
        <f>IF(A575="","",A575-WEEKDAY(A575,3))</f>
        <v/>
      </c>
      <c r="K575" s="7">
        <f>IF(A575="","",IF(OR(B575="",C575="",D575="",E575=""),"Missing info",IF(ISNA(MATCH(B575,Staff!$A$2:$A$101,0)),"Unknown employee",IF(H575="?","Unknown site",IF(G575&lt;=0,"Check times",IF(G575&gt;12,"Over 12h",IF(COUNTIFS($L$2:$L$2001,L575)&gt;1,"Duplicate?",IF(A575&gt;TODAY(),"Future date","OK"))))))))</f>
        <v/>
      </c>
      <c r="L575">
        <f>IF(A575="","",TEXT(A575,"yyyy-mm-dd")&amp;"|"&amp;B575&amp;"|"&amp;C575)</f>
        <v/>
      </c>
    </row>
    <row r="576">
      <c r="A576" s="4" t="n"/>
      <c r="D576" s="5" t="n"/>
      <c r="E576" s="5" t="n"/>
      <c r="G576" s="6">
        <f>IF(OR(A576="",D576="",E576=""),"",ROUND(MOD(E576-D576,1)*24-N(F576)/60,2))</f>
        <v/>
      </c>
      <c r="H576" s="7">
        <f>IF(C576="","",IFERROR(INDEX(Sites!$B$2:$B$501,MATCH(C576,Sites!$A$2:$A$501,0)),"?"))</f>
        <v/>
      </c>
      <c r="I576" s="8">
        <f>IF(A576="","",A576-WEEKDAY(A576,3))</f>
        <v/>
      </c>
      <c r="K576" s="7">
        <f>IF(A576="","",IF(OR(B576="",C576="",D576="",E576=""),"Missing info",IF(ISNA(MATCH(B576,Staff!$A$2:$A$101,0)),"Unknown employee",IF(H576="?","Unknown site",IF(G576&lt;=0,"Check times",IF(G576&gt;12,"Over 12h",IF(COUNTIFS($L$2:$L$2001,L576)&gt;1,"Duplicate?",IF(A576&gt;TODAY(),"Future date","OK"))))))))</f>
        <v/>
      </c>
      <c r="L576">
        <f>IF(A576="","",TEXT(A576,"yyyy-mm-dd")&amp;"|"&amp;B576&amp;"|"&amp;C576)</f>
        <v/>
      </c>
    </row>
    <row r="577">
      <c r="A577" s="4" t="n"/>
      <c r="D577" s="5" t="n"/>
      <c r="E577" s="5" t="n"/>
      <c r="G577" s="6">
        <f>IF(OR(A577="",D577="",E577=""),"",ROUND(MOD(E577-D577,1)*24-N(F577)/60,2))</f>
        <v/>
      </c>
      <c r="H577" s="7">
        <f>IF(C577="","",IFERROR(INDEX(Sites!$B$2:$B$501,MATCH(C577,Sites!$A$2:$A$501,0)),"?"))</f>
        <v/>
      </c>
      <c r="I577" s="8">
        <f>IF(A577="","",A577-WEEKDAY(A577,3))</f>
        <v/>
      </c>
      <c r="K577" s="7">
        <f>IF(A577="","",IF(OR(B577="",C577="",D577="",E577=""),"Missing info",IF(ISNA(MATCH(B577,Staff!$A$2:$A$101,0)),"Unknown employee",IF(H577="?","Unknown site",IF(G577&lt;=0,"Check times",IF(G577&gt;12,"Over 12h",IF(COUNTIFS($L$2:$L$2001,L577)&gt;1,"Duplicate?",IF(A577&gt;TODAY(),"Future date","OK"))))))))</f>
        <v/>
      </c>
      <c r="L577">
        <f>IF(A577="","",TEXT(A577,"yyyy-mm-dd")&amp;"|"&amp;B577&amp;"|"&amp;C577)</f>
        <v/>
      </c>
    </row>
    <row r="578">
      <c r="A578" s="4" t="n"/>
      <c r="D578" s="5" t="n"/>
      <c r="E578" s="5" t="n"/>
      <c r="G578" s="6">
        <f>IF(OR(A578="",D578="",E578=""),"",ROUND(MOD(E578-D578,1)*24-N(F578)/60,2))</f>
        <v/>
      </c>
      <c r="H578" s="7">
        <f>IF(C578="","",IFERROR(INDEX(Sites!$B$2:$B$501,MATCH(C578,Sites!$A$2:$A$501,0)),"?"))</f>
        <v/>
      </c>
      <c r="I578" s="8">
        <f>IF(A578="","",A578-WEEKDAY(A578,3))</f>
        <v/>
      </c>
      <c r="K578" s="7">
        <f>IF(A578="","",IF(OR(B578="",C578="",D578="",E578=""),"Missing info",IF(ISNA(MATCH(B578,Staff!$A$2:$A$101,0)),"Unknown employee",IF(H578="?","Unknown site",IF(G578&lt;=0,"Check times",IF(G578&gt;12,"Over 12h",IF(COUNTIFS($L$2:$L$2001,L578)&gt;1,"Duplicate?",IF(A578&gt;TODAY(),"Future date","OK"))))))))</f>
        <v/>
      </c>
      <c r="L578">
        <f>IF(A578="","",TEXT(A578,"yyyy-mm-dd")&amp;"|"&amp;B578&amp;"|"&amp;C578)</f>
        <v/>
      </c>
    </row>
    <row r="579">
      <c r="A579" s="4" t="n"/>
      <c r="D579" s="5" t="n"/>
      <c r="E579" s="5" t="n"/>
      <c r="G579" s="6">
        <f>IF(OR(A579="",D579="",E579=""),"",ROUND(MOD(E579-D579,1)*24-N(F579)/60,2))</f>
        <v/>
      </c>
      <c r="H579" s="7">
        <f>IF(C579="","",IFERROR(INDEX(Sites!$B$2:$B$501,MATCH(C579,Sites!$A$2:$A$501,0)),"?"))</f>
        <v/>
      </c>
      <c r="I579" s="8">
        <f>IF(A579="","",A579-WEEKDAY(A579,3))</f>
        <v/>
      </c>
      <c r="K579" s="7">
        <f>IF(A579="","",IF(OR(B579="",C579="",D579="",E579=""),"Missing info",IF(ISNA(MATCH(B579,Staff!$A$2:$A$101,0)),"Unknown employee",IF(H579="?","Unknown site",IF(G579&lt;=0,"Check times",IF(G579&gt;12,"Over 12h",IF(COUNTIFS($L$2:$L$2001,L579)&gt;1,"Duplicate?",IF(A579&gt;TODAY(),"Future date","OK"))))))))</f>
        <v/>
      </c>
      <c r="L579">
        <f>IF(A579="","",TEXT(A579,"yyyy-mm-dd")&amp;"|"&amp;B579&amp;"|"&amp;C579)</f>
        <v/>
      </c>
    </row>
    <row r="580">
      <c r="A580" s="4" t="n"/>
      <c r="D580" s="5" t="n"/>
      <c r="E580" s="5" t="n"/>
      <c r="G580" s="6">
        <f>IF(OR(A580="",D580="",E580=""),"",ROUND(MOD(E580-D580,1)*24-N(F580)/60,2))</f>
        <v/>
      </c>
      <c r="H580" s="7">
        <f>IF(C580="","",IFERROR(INDEX(Sites!$B$2:$B$501,MATCH(C580,Sites!$A$2:$A$501,0)),"?"))</f>
        <v/>
      </c>
      <c r="I580" s="8">
        <f>IF(A580="","",A580-WEEKDAY(A580,3))</f>
        <v/>
      </c>
      <c r="K580" s="7">
        <f>IF(A580="","",IF(OR(B580="",C580="",D580="",E580=""),"Missing info",IF(ISNA(MATCH(B580,Staff!$A$2:$A$101,0)),"Unknown employee",IF(H580="?","Unknown site",IF(G580&lt;=0,"Check times",IF(G580&gt;12,"Over 12h",IF(COUNTIFS($L$2:$L$2001,L580)&gt;1,"Duplicate?",IF(A580&gt;TODAY(),"Future date","OK"))))))))</f>
        <v/>
      </c>
      <c r="L580">
        <f>IF(A580="","",TEXT(A580,"yyyy-mm-dd")&amp;"|"&amp;B580&amp;"|"&amp;C580)</f>
        <v/>
      </c>
    </row>
    <row r="581">
      <c r="A581" s="4" t="n"/>
      <c r="D581" s="5" t="n"/>
      <c r="E581" s="5" t="n"/>
      <c r="G581" s="6">
        <f>IF(OR(A581="",D581="",E581=""),"",ROUND(MOD(E581-D581,1)*24-N(F581)/60,2))</f>
        <v/>
      </c>
      <c r="H581" s="7">
        <f>IF(C581="","",IFERROR(INDEX(Sites!$B$2:$B$501,MATCH(C581,Sites!$A$2:$A$501,0)),"?"))</f>
        <v/>
      </c>
      <c r="I581" s="8">
        <f>IF(A581="","",A581-WEEKDAY(A581,3))</f>
        <v/>
      </c>
      <c r="K581" s="7">
        <f>IF(A581="","",IF(OR(B581="",C581="",D581="",E581=""),"Missing info",IF(ISNA(MATCH(B581,Staff!$A$2:$A$101,0)),"Unknown employee",IF(H581="?","Unknown site",IF(G581&lt;=0,"Check times",IF(G581&gt;12,"Over 12h",IF(COUNTIFS($L$2:$L$2001,L581)&gt;1,"Duplicate?",IF(A581&gt;TODAY(),"Future date","OK"))))))))</f>
        <v/>
      </c>
      <c r="L581">
        <f>IF(A581="","",TEXT(A581,"yyyy-mm-dd")&amp;"|"&amp;B581&amp;"|"&amp;C581)</f>
        <v/>
      </c>
    </row>
    <row r="582">
      <c r="A582" s="4" t="n"/>
      <c r="D582" s="5" t="n"/>
      <c r="E582" s="5" t="n"/>
      <c r="G582" s="6">
        <f>IF(OR(A582="",D582="",E582=""),"",ROUND(MOD(E582-D582,1)*24-N(F582)/60,2))</f>
        <v/>
      </c>
      <c r="H582" s="7">
        <f>IF(C582="","",IFERROR(INDEX(Sites!$B$2:$B$501,MATCH(C582,Sites!$A$2:$A$501,0)),"?"))</f>
        <v/>
      </c>
      <c r="I582" s="8">
        <f>IF(A582="","",A582-WEEKDAY(A582,3))</f>
        <v/>
      </c>
      <c r="K582" s="7">
        <f>IF(A582="","",IF(OR(B582="",C582="",D582="",E582=""),"Missing info",IF(ISNA(MATCH(B582,Staff!$A$2:$A$101,0)),"Unknown employee",IF(H582="?","Unknown site",IF(G582&lt;=0,"Check times",IF(G582&gt;12,"Over 12h",IF(COUNTIFS($L$2:$L$2001,L582)&gt;1,"Duplicate?",IF(A582&gt;TODAY(),"Future date","OK"))))))))</f>
        <v/>
      </c>
      <c r="L582">
        <f>IF(A582="","",TEXT(A582,"yyyy-mm-dd")&amp;"|"&amp;B582&amp;"|"&amp;C582)</f>
        <v/>
      </c>
    </row>
    <row r="583">
      <c r="A583" s="4" t="n"/>
      <c r="D583" s="5" t="n"/>
      <c r="E583" s="5" t="n"/>
      <c r="G583" s="6">
        <f>IF(OR(A583="",D583="",E583=""),"",ROUND(MOD(E583-D583,1)*24-N(F583)/60,2))</f>
        <v/>
      </c>
      <c r="H583" s="7">
        <f>IF(C583="","",IFERROR(INDEX(Sites!$B$2:$B$501,MATCH(C583,Sites!$A$2:$A$501,0)),"?"))</f>
        <v/>
      </c>
      <c r="I583" s="8">
        <f>IF(A583="","",A583-WEEKDAY(A583,3))</f>
        <v/>
      </c>
      <c r="K583" s="7">
        <f>IF(A583="","",IF(OR(B583="",C583="",D583="",E583=""),"Missing info",IF(ISNA(MATCH(B583,Staff!$A$2:$A$101,0)),"Unknown employee",IF(H583="?","Unknown site",IF(G583&lt;=0,"Check times",IF(G583&gt;12,"Over 12h",IF(COUNTIFS($L$2:$L$2001,L583)&gt;1,"Duplicate?",IF(A583&gt;TODAY(),"Future date","OK"))))))))</f>
        <v/>
      </c>
      <c r="L583">
        <f>IF(A583="","",TEXT(A583,"yyyy-mm-dd")&amp;"|"&amp;B583&amp;"|"&amp;C583)</f>
        <v/>
      </c>
    </row>
    <row r="584">
      <c r="A584" s="4" t="n"/>
      <c r="D584" s="5" t="n"/>
      <c r="E584" s="5" t="n"/>
      <c r="G584" s="6">
        <f>IF(OR(A584="",D584="",E584=""),"",ROUND(MOD(E584-D584,1)*24-N(F584)/60,2))</f>
        <v/>
      </c>
      <c r="H584" s="7">
        <f>IF(C584="","",IFERROR(INDEX(Sites!$B$2:$B$501,MATCH(C584,Sites!$A$2:$A$501,0)),"?"))</f>
        <v/>
      </c>
      <c r="I584" s="8">
        <f>IF(A584="","",A584-WEEKDAY(A584,3))</f>
        <v/>
      </c>
      <c r="K584" s="7">
        <f>IF(A584="","",IF(OR(B584="",C584="",D584="",E584=""),"Missing info",IF(ISNA(MATCH(B584,Staff!$A$2:$A$101,0)),"Unknown employee",IF(H584="?","Unknown site",IF(G584&lt;=0,"Check times",IF(G584&gt;12,"Over 12h",IF(COUNTIFS($L$2:$L$2001,L584)&gt;1,"Duplicate?",IF(A584&gt;TODAY(),"Future date","OK"))))))))</f>
        <v/>
      </c>
      <c r="L584">
        <f>IF(A584="","",TEXT(A584,"yyyy-mm-dd")&amp;"|"&amp;B584&amp;"|"&amp;C584)</f>
        <v/>
      </c>
    </row>
    <row r="585">
      <c r="A585" s="4" t="n"/>
      <c r="D585" s="5" t="n"/>
      <c r="E585" s="5" t="n"/>
      <c r="G585" s="6">
        <f>IF(OR(A585="",D585="",E585=""),"",ROUND(MOD(E585-D585,1)*24-N(F585)/60,2))</f>
        <v/>
      </c>
      <c r="H585" s="7">
        <f>IF(C585="","",IFERROR(INDEX(Sites!$B$2:$B$501,MATCH(C585,Sites!$A$2:$A$501,0)),"?"))</f>
        <v/>
      </c>
      <c r="I585" s="8">
        <f>IF(A585="","",A585-WEEKDAY(A585,3))</f>
        <v/>
      </c>
      <c r="K585" s="7">
        <f>IF(A585="","",IF(OR(B585="",C585="",D585="",E585=""),"Missing info",IF(ISNA(MATCH(B585,Staff!$A$2:$A$101,0)),"Unknown employee",IF(H585="?","Unknown site",IF(G585&lt;=0,"Check times",IF(G585&gt;12,"Over 12h",IF(COUNTIFS($L$2:$L$2001,L585)&gt;1,"Duplicate?",IF(A585&gt;TODAY(),"Future date","OK"))))))))</f>
        <v/>
      </c>
      <c r="L585">
        <f>IF(A585="","",TEXT(A585,"yyyy-mm-dd")&amp;"|"&amp;B585&amp;"|"&amp;C585)</f>
        <v/>
      </c>
    </row>
    <row r="586">
      <c r="A586" s="4" t="n"/>
      <c r="D586" s="5" t="n"/>
      <c r="E586" s="5" t="n"/>
      <c r="G586" s="6">
        <f>IF(OR(A586="",D586="",E586=""),"",ROUND(MOD(E586-D586,1)*24-N(F586)/60,2))</f>
        <v/>
      </c>
      <c r="H586" s="7">
        <f>IF(C586="","",IFERROR(INDEX(Sites!$B$2:$B$501,MATCH(C586,Sites!$A$2:$A$501,0)),"?"))</f>
        <v/>
      </c>
      <c r="I586" s="8">
        <f>IF(A586="","",A586-WEEKDAY(A586,3))</f>
        <v/>
      </c>
      <c r="K586" s="7">
        <f>IF(A586="","",IF(OR(B586="",C586="",D586="",E586=""),"Missing info",IF(ISNA(MATCH(B586,Staff!$A$2:$A$101,0)),"Unknown employee",IF(H586="?","Unknown site",IF(G586&lt;=0,"Check times",IF(G586&gt;12,"Over 12h",IF(COUNTIFS($L$2:$L$2001,L586)&gt;1,"Duplicate?",IF(A586&gt;TODAY(),"Future date","OK"))))))))</f>
        <v/>
      </c>
      <c r="L586">
        <f>IF(A586="","",TEXT(A586,"yyyy-mm-dd")&amp;"|"&amp;B586&amp;"|"&amp;C586)</f>
        <v/>
      </c>
    </row>
    <row r="587">
      <c r="A587" s="4" t="n"/>
      <c r="D587" s="5" t="n"/>
      <c r="E587" s="5" t="n"/>
      <c r="G587" s="6">
        <f>IF(OR(A587="",D587="",E587=""),"",ROUND(MOD(E587-D587,1)*24-N(F587)/60,2))</f>
        <v/>
      </c>
      <c r="H587" s="7">
        <f>IF(C587="","",IFERROR(INDEX(Sites!$B$2:$B$501,MATCH(C587,Sites!$A$2:$A$501,0)),"?"))</f>
        <v/>
      </c>
      <c r="I587" s="8">
        <f>IF(A587="","",A587-WEEKDAY(A587,3))</f>
        <v/>
      </c>
      <c r="K587" s="7">
        <f>IF(A587="","",IF(OR(B587="",C587="",D587="",E587=""),"Missing info",IF(ISNA(MATCH(B587,Staff!$A$2:$A$101,0)),"Unknown employee",IF(H587="?","Unknown site",IF(G587&lt;=0,"Check times",IF(G587&gt;12,"Over 12h",IF(COUNTIFS($L$2:$L$2001,L587)&gt;1,"Duplicate?",IF(A587&gt;TODAY(),"Future date","OK"))))))))</f>
        <v/>
      </c>
      <c r="L587">
        <f>IF(A587="","",TEXT(A587,"yyyy-mm-dd")&amp;"|"&amp;B587&amp;"|"&amp;C587)</f>
        <v/>
      </c>
    </row>
    <row r="588">
      <c r="A588" s="4" t="n"/>
      <c r="D588" s="5" t="n"/>
      <c r="E588" s="5" t="n"/>
      <c r="G588" s="6">
        <f>IF(OR(A588="",D588="",E588=""),"",ROUND(MOD(E588-D588,1)*24-N(F588)/60,2))</f>
        <v/>
      </c>
      <c r="H588" s="7">
        <f>IF(C588="","",IFERROR(INDEX(Sites!$B$2:$B$501,MATCH(C588,Sites!$A$2:$A$501,0)),"?"))</f>
        <v/>
      </c>
      <c r="I588" s="8">
        <f>IF(A588="","",A588-WEEKDAY(A588,3))</f>
        <v/>
      </c>
      <c r="K588" s="7">
        <f>IF(A588="","",IF(OR(B588="",C588="",D588="",E588=""),"Missing info",IF(ISNA(MATCH(B588,Staff!$A$2:$A$101,0)),"Unknown employee",IF(H588="?","Unknown site",IF(G588&lt;=0,"Check times",IF(G588&gt;12,"Over 12h",IF(COUNTIFS($L$2:$L$2001,L588)&gt;1,"Duplicate?",IF(A588&gt;TODAY(),"Future date","OK"))))))))</f>
        <v/>
      </c>
      <c r="L588">
        <f>IF(A588="","",TEXT(A588,"yyyy-mm-dd")&amp;"|"&amp;B588&amp;"|"&amp;C588)</f>
        <v/>
      </c>
    </row>
    <row r="589">
      <c r="A589" s="4" t="n"/>
      <c r="D589" s="5" t="n"/>
      <c r="E589" s="5" t="n"/>
      <c r="G589" s="6">
        <f>IF(OR(A589="",D589="",E589=""),"",ROUND(MOD(E589-D589,1)*24-N(F589)/60,2))</f>
        <v/>
      </c>
      <c r="H589" s="7">
        <f>IF(C589="","",IFERROR(INDEX(Sites!$B$2:$B$501,MATCH(C589,Sites!$A$2:$A$501,0)),"?"))</f>
        <v/>
      </c>
      <c r="I589" s="8">
        <f>IF(A589="","",A589-WEEKDAY(A589,3))</f>
        <v/>
      </c>
      <c r="K589" s="7">
        <f>IF(A589="","",IF(OR(B589="",C589="",D589="",E589=""),"Missing info",IF(ISNA(MATCH(B589,Staff!$A$2:$A$101,0)),"Unknown employee",IF(H589="?","Unknown site",IF(G589&lt;=0,"Check times",IF(G589&gt;12,"Over 12h",IF(COUNTIFS($L$2:$L$2001,L589)&gt;1,"Duplicate?",IF(A589&gt;TODAY(),"Future date","OK"))))))))</f>
        <v/>
      </c>
      <c r="L589">
        <f>IF(A589="","",TEXT(A589,"yyyy-mm-dd")&amp;"|"&amp;B589&amp;"|"&amp;C589)</f>
        <v/>
      </c>
    </row>
    <row r="590">
      <c r="A590" s="4" t="n"/>
      <c r="D590" s="5" t="n"/>
      <c r="E590" s="5" t="n"/>
      <c r="G590" s="6">
        <f>IF(OR(A590="",D590="",E590=""),"",ROUND(MOD(E590-D590,1)*24-N(F590)/60,2))</f>
        <v/>
      </c>
      <c r="H590" s="7">
        <f>IF(C590="","",IFERROR(INDEX(Sites!$B$2:$B$501,MATCH(C590,Sites!$A$2:$A$501,0)),"?"))</f>
        <v/>
      </c>
      <c r="I590" s="8">
        <f>IF(A590="","",A590-WEEKDAY(A590,3))</f>
        <v/>
      </c>
      <c r="K590" s="7">
        <f>IF(A590="","",IF(OR(B590="",C590="",D590="",E590=""),"Missing info",IF(ISNA(MATCH(B590,Staff!$A$2:$A$101,0)),"Unknown employee",IF(H590="?","Unknown site",IF(G590&lt;=0,"Check times",IF(G590&gt;12,"Over 12h",IF(COUNTIFS($L$2:$L$2001,L590)&gt;1,"Duplicate?",IF(A590&gt;TODAY(),"Future date","OK"))))))))</f>
        <v/>
      </c>
      <c r="L590">
        <f>IF(A590="","",TEXT(A590,"yyyy-mm-dd")&amp;"|"&amp;B590&amp;"|"&amp;C590)</f>
        <v/>
      </c>
    </row>
    <row r="591">
      <c r="A591" s="4" t="n"/>
      <c r="D591" s="5" t="n"/>
      <c r="E591" s="5" t="n"/>
      <c r="G591" s="6">
        <f>IF(OR(A591="",D591="",E591=""),"",ROUND(MOD(E591-D591,1)*24-N(F591)/60,2))</f>
        <v/>
      </c>
      <c r="H591" s="7">
        <f>IF(C591="","",IFERROR(INDEX(Sites!$B$2:$B$501,MATCH(C591,Sites!$A$2:$A$501,0)),"?"))</f>
        <v/>
      </c>
      <c r="I591" s="8">
        <f>IF(A591="","",A591-WEEKDAY(A591,3))</f>
        <v/>
      </c>
      <c r="K591" s="7">
        <f>IF(A591="","",IF(OR(B591="",C591="",D591="",E591=""),"Missing info",IF(ISNA(MATCH(B591,Staff!$A$2:$A$101,0)),"Unknown employee",IF(H591="?","Unknown site",IF(G591&lt;=0,"Check times",IF(G591&gt;12,"Over 12h",IF(COUNTIFS($L$2:$L$2001,L591)&gt;1,"Duplicate?",IF(A591&gt;TODAY(),"Future date","OK"))))))))</f>
        <v/>
      </c>
      <c r="L591">
        <f>IF(A591="","",TEXT(A591,"yyyy-mm-dd")&amp;"|"&amp;B591&amp;"|"&amp;C591)</f>
        <v/>
      </c>
    </row>
    <row r="592">
      <c r="A592" s="4" t="n"/>
      <c r="D592" s="5" t="n"/>
      <c r="E592" s="5" t="n"/>
      <c r="G592" s="6">
        <f>IF(OR(A592="",D592="",E592=""),"",ROUND(MOD(E592-D592,1)*24-N(F592)/60,2))</f>
        <v/>
      </c>
      <c r="H592" s="7">
        <f>IF(C592="","",IFERROR(INDEX(Sites!$B$2:$B$501,MATCH(C592,Sites!$A$2:$A$501,0)),"?"))</f>
        <v/>
      </c>
      <c r="I592" s="8">
        <f>IF(A592="","",A592-WEEKDAY(A592,3))</f>
        <v/>
      </c>
      <c r="K592" s="7">
        <f>IF(A592="","",IF(OR(B592="",C592="",D592="",E592=""),"Missing info",IF(ISNA(MATCH(B592,Staff!$A$2:$A$101,0)),"Unknown employee",IF(H592="?","Unknown site",IF(G592&lt;=0,"Check times",IF(G592&gt;12,"Over 12h",IF(COUNTIFS($L$2:$L$2001,L592)&gt;1,"Duplicate?",IF(A592&gt;TODAY(),"Future date","OK"))))))))</f>
        <v/>
      </c>
      <c r="L592">
        <f>IF(A592="","",TEXT(A592,"yyyy-mm-dd")&amp;"|"&amp;B592&amp;"|"&amp;C592)</f>
        <v/>
      </c>
    </row>
    <row r="593">
      <c r="A593" s="4" t="n"/>
      <c r="D593" s="5" t="n"/>
      <c r="E593" s="5" t="n"/>
      <c r="G593" s="6">
        <f>IF(OR(A593="",D593="",E593=""),"",ROUND(MOD(E593-D593,1)*24-N(F593)/60,2))</f>
        <v/>
      </c>
      <c r="H593" s="7">
        <f>IF(C593="","",IFERROR(INDEX(Sites!$B$2:$B$501,MATCH(C593,Sites!$A$2:$A$501,0)),"?"))</f>
        <v/>
      </c>
      <c r="I593" s="8">
        <f>IF(A593="","",A593-WEEKDAY(A593,3))</f>
        <v/>
      </c>
      <c r="K593" s="7">
        <f>IF(A593="","",IF(OR(B593="",C593="",D593="",E593=""),"Missing info",IF(ISNA(MATCH(B593,Staff!$A$2:$A$101,0)),"Unknown employee",IF(H593="?","Unknown site",IF(G593&lt;=0,"Check times",IF(G593&gt;12,"Over 12h",IF(COUNTIFS($L$2:$L$2001,L593)&gt;1,"Duplicate?",IF(A593&gt;TODAY(),"Future date","OK"))))))))</f>
        <v/>
      </c>
      <c r="L593">
        <f>IF(A593="","",TEXT(A593,"yyyy-mm-dd")&amp;"|"&amp;B593&amp;"|"&amp;C593)</f>
        <v/>
      </c>
    </row>
    <row r="594">
      <c r="A594" s="4" t="n"/>
      <c r="D594" s="5" t="n"/>
      <c r="E594" s="5" t="n"/>
      <c r="G594" s="6">
        <f>IF(OR(A594="",D594="",E594=""),"",ROUND(MOD(E594-D594,1)*24-N(F594)/60,2))</f>
        <v/>
      </c>
      <c r="H594" s="7">
        <f>IF(C594="","",IFERROR(INDEX(Sites!$B$2:$B$501,MATCH(C594,Sites!$A$2:$A$501,0)),"?"))</f>
        <v/>
      </c>
      <c r="I594" s="8">
        <f>IF(A594="","",A594-WEEKDAY(A594,3))</f>
        <v/>
      </c>
      <c r="K594" s="7">
        <f>IF(A594="","",IF(OR(B594="",C594="",D594="",E594=""),"Missing info",IF(ISNA(MATCH(B594,Staff!$A$2:$A$101,0)),"Unknown employee",IF(H594="?","Unknown site",IF(G594&lt;=0,"Check times",IF(G594&gt;12,"Over 12h",IF(COUNTIFS($L$2:$L$2001,L594)&gt;1,"Duplicate?",IF(A594&gt;TODAY(),"Future date","OK"))))))))</f>
        <v/>
      </c>
      <c r="L594">
        <f>IF(A594="","",TEXT(A594,"yyyy-mm-dd")&amp;"|"&amp;B594&amp;"|"&amp;C594)</f>
        <v/>
      </c>
    </row>
    <row r="595">
      <c r="A595" s="4" t="n"/>
      <c r="D595" s="5" t="n"/>
      <c r="E595" s="5" t="n"/>
      <c r="G595" s="6">
        <f>IF(OR(A595="",D595="",E595=""),"",ROUND(MOD(E595-D595,1)*24-N(F595)/60,2))</f>
        <v/>
      </c>
      <c r="H595" s="7">
        <f>IF(C595="","",IFERROR(INDEX(Sites!$B$2:$B$501,MATCH(C595,Sites!$A$2:$A$501,0)),"?"))</f>
        <v/>
      </c>
      <c r="I595" s="8">
        <f>IF(A595="","",A595-WEEKDAY(A595,3))</f>
        <v/>
      </c>
      <c r="K595" s="7">
        <f>IF(A595="","",IF(OR(B595="",C595="",D595="",E595=""),"Missing info",IF(ISNA(MATCH(B595,Staff!$A$2:$A$101,0)),"Unknown employee",IF(H595="?","Unknown site",IF(G595&lt;=0,"Check times",IF(G595&gt;12,"Over 12h",IF(COUNTIFS($L$2:$L$2001,L595)&gt;1,"Duplicate?",IF(A595&gt;TODAY(),"Future date","OK"))))))))</f>
        <v/>
      </c>
      <c r="L595">
        <f>IF(A595="","",TEXT(A595,"yyyy-mm-dd")&amp;"|"&amp;B595&amp;"|"&amp;C595)</f>
        <v/>
      </c>
    </row>
    <row r="596">
      <c r="A596" s="4" t="n"/>
      <c r="D596" s="5" t="n"/>
      <c r="E596" s="5" t="n"/>
      <c r="G596" s="6">
        <f>IF(OR(A596="",D596="",E596=""),"",ROUND(MOD(E596-D596,1)*24-N(F596)/60,2))</f>
        <v/>
      </c>
      <c r="H596" s="7">
        <f>IF(C596="","",IFERROR(INDEX(Sites!$B$2:$B$501,MATCH(C596,Sites!$A$2:$A$501,0)),"?"))</f>
        <v/>
      </c>
      <c r="I596" s="8">
        <f>IF(A596="","",A596-WEEKDAY(A596,3))</f>
        <v/>
      </c>
      <c r="K596" s="7">
        <f>IF(A596="","",IF(OR(B596="",C596="",D596="",E596=""),"Missing info",IF(ISNA(MATCH(B596,Staff!$A$2:$A$101,0)),"Unknown employee",IF(H596="?","Unknown site",IF(G596&lt;=0,"Check times",IF(G596&gt;12,"Over 12h",IF(COUNTIFS($L$2:$L$2001,L596)&gt;1,"Duplicate?",IF(A596&gt;TODAY(),"Future date","OK"))))))))</f>
        <v/>
      </c>
      <c r="L596">
        <f>IF(A596="","",TEXT(A596,"yyyy-mm-dd")&amp;"|"&amp;B596&amp;"|"&amp;C596)</f>
        <v/>
      </c>
    </row>
    <row r="597">
      <c r="A597" s="4" t="n"/>
      <c r="D597" s="5" t="n"/>
      <c r="E597" s="5" t="n"/>
      <c r="G597" s="6">
        <f>IF(OR(A597="",D597="",E597=""),"",ROUND(MOD(E597-D597,1)*24-N(F597)/60,2))</f>
        <v/>
      </c>
      <c r="H597" s="7">
        <f>IF(C597="","",IFERROR(INDEX(Sites!$B$2:$B$501,MATCH(C597,Sites!$A$2:$A$501,0)),"?"))</f>
        <v/>
      </c>
      <c r="I597" s="8">
        <f>IF(A597="","",A597-WEEKDAY(A597,3))</f>
        <v/>
      </c>
      <c r="K597" s="7">
        <f>IF(A597="","",IF(OR(B597="",C597="",D597="",E597=""),"Missing info",IF(ISNA(MATCH(B597,Staff!$A$2:$A$101,0)),"Unknown employee",IF(H597="?","Unknown site",IF(G597&lt;=0,"Check times",IF(G597&gt;12,"Over 12h",IF(COUNTIFS($L$2:$L$2001,L597)&gt;1,"Duplicate?",IF(A597&gt;TODAY(),"Future date","OK"))))))))</f>
        <v/>
      </c>
      <c r="L597">
        <f>IF(A597="","",TEXT(A597,"yyyy-mm-dd")&amp;"|"&amp;B597&amp;"|"&amp;C597)</f>
        <v/>
      </c>
    </row>
    <row r="598">
      <c r="A598" s="4" t="n"/>
      <c r="D598" s="5" t="n"/>
      <c r="E598" s="5" t="n"/>
      <c r="G598" s="6">
        <f>IF(OR(A598="",D598="",E598=""),"",ROUND(MOD(E598-D598,1)*24-N(F598)/60,2))</f>
        <v/>
      </c>
      <c r="H598" s="7">
        <f>IF(C598="","",IFERROR(INDEX(Sites!$B$2:$B$501,MATCH(C598,Sites!$A$2:$A$501,0)),"?"))</f>
        <v/>
      </c>
      <c r="I598" s="8">
        <f>IF(A598="","",A598-WEEKDAY(A598,3))</f>
        <v/>
      </c>
      <c r="K598" s="7">
        <f>IF(A598="","",IF(OR(B598="",C598="",D598="",E598=""),"Missing info",IF(ISNA(MATCH(B598,Staff!$A$2:$A$101,0)),"Unknown employee",IF(H598="?","Unknown site",IF(G598&lt;=0,"Check times",IF(G598&gt;12,"Over 12h",IF(COUNTIFS($L$2:$L$2001,L598)&gt;1,"Duplicate?",IF(A598&gt;TODAY(),"Future date","OK"))))))))</f>
        <v/>
      </c>
      <c r="L598">
        <f>IF(A598="","",TEXT(A598,"yyyy-mm-dd")&amp;"|"&amp;B598&amp;"|"&amp;C598)</f>
        <v/>
      </c>
    </row>
    <row r="599">
      <c r="A599" s="4" t="n"/>
      <c r="D599" s="5" t="n"/>
      <c r="E599" s="5" t="n"/>
      <c r="G599" s="6">
        <f>IF(OR(A599="",D599="",E599=""),"",ROUND(MOD(E599-D599,1)*24-N(F599)/60,2))</f>
        <v/>
      </c>
      <c r="H599" s="7">
        <f>IF(C599="","",IFERROR(INDEX(Sites!$B$2:$B$501,MATCH(C599,Sites!$A$2:$A$501,0)),"?"))</f>
        <v/>
      </c>
      <c r="I599" s="8">
        <f>IF(A599="","",A599-WEEKDAY(A599,3))</f>
        <v/>
      </c>
      <c r="K599" s="7">
        <f>IF(A599="","",IF(OR(B599="",C599="",D599="",E599=""),"Missing info",IF(ISNA(MATCH(B599,Staff!$A$2:$A$101,0)),"Unknown employee",IF(H599="?","Unknown site",IF(G599&lt;=0,"Check times",IF(G599&gt;12,"Over 12h",IF(COUNTIFS($L$2:$L$2001,L599)&gt;1,"Duplicate?",IF(A599&gt;TODAY(),"Future date","OK"))))))))</f>
        <v/>
      </c>
      <c r="L599">
        <f>IF(A599="","",TEXT(A599,"yyyy-mm-dd")&amp;"|"&amp;B599&amp;"|"&amp;C599)</f>
        <v/>
      </c>
    </row>
    <row r="600">
      <c r="A600" s="4" t="n"/>
      <c r="D600" s="5" t="n"/>
      <c r="E600" s="5" t="n"/>
      <c r="G600" s="6">
        <f>IF(OR(A600="",D600="",E600=""),"",ROUND(MOD(E600-D600,1)*24-N(F600)/60,2))</f>
        <v/>
      </c>
      <c r="H600" s="7">
        <f>IF(C600="","",IFERROR(INDEX(Sites!$B$2:$B$501,MATCH(C600,Sites!$A$2:$A$501,0)),"?"))</f>
        <v/>
      </c>
      <c r="I600" s="8">
        <f>IF(A600="","",A600-WEEKDAY(A600,3))</f>
        <v/>
      </c>
      <c r="K600" s="7">
        <f>IF(A600="","",IF(OR(B600="",C600="",D600="",E600=""),"Missing info",IF(ISNA(MATCH(B600,Staff!$A$2:$A$101,0)),"Unknown employee",IF(H600="?","Unknown site",IF(G600&lt;=0,"Check times",IF(G600&gt;12,"Over 12h",IF(COUNTIFS($L$2:$L$2001,L600)&gt;1,"Duplicate?",IF(A600&gt;TODAY(),"Future date","OK"))))))))</f>
        <v/>
      </c>
      <c r="L600">
        <f>IF(A600="","",TEXT(A600,"yyyy-mm-dd")&amp;"|"&amp;B600&amp;"|"&amp;C600)</f>
        <v/>
      </c>
    </row>
    <row r="601">
      <c r="A601" s="4" t="n"/>
      <c r="D601" s="5" t="n"/>
      <c r="E601" s="5" t="n"/>
      <c r="G601" s="6">
        <f>IF(OR(A601="",D601="",E601=""),"",ROUND(MOD(E601-D601,1)*24-N(F601)/60,2))</f>
        <v/>
      </c>
      <c r="H601" s="7">
        <f>IF(C601="","",IFERROR(INDEX(Sites!$B$2:$B$501,MATCH(C601,Sites!$A$2:$A$501,0)),"?"))</f>
        <v/>
      </c>
      <c r="I601" s="8">
        <f>IF(A601="","",A601-WEEKDAY(A601,3))</f>
        <v/>
      </c>
      <c r="K601" s="7">
        <f>IF(A601="","",IF(OR(B601="",C601="",D601="",E601=""),"Missing info",IF(ISNA(MATCH(B601,Staff!$A$2:$A$101,0)),"Unknown employee",IF(H601="?","Unknown site",IF(G601&lt;=0,"Check times",IF(G601&gt;12,"Over 12h",IF(COUNTIFS($L$2:$L$2001,L601)&gt;1,"Duplicate?",IF(A601&gt;TODAY(),"Future date","OK"))))))))</f>
        <v/>
      </c>
      <c r="L601">
        <f>IF(A601="","",TEXT(A601,"yyyy-mm-dd")&amp;"|"&amp;B601&amp;"|"&amp;C601)</f>
        <v/>
      </c>
    </row>
    <row r="602">
      <c r="A602" s="4" t="n"/>
      <c r="D602" s="5" t="n"/>
      <c r="E602" s="5" t="n"/>
      <c r="G602" s="6">
        <f>IF(OR(A602="",D602="",E602=""),"",ROUND(MOD(E602-D602,1)*24-N(F602)/60,2))</f>
        <v/>
      </c>
      <c r="H602" s="7">
        <f>IF(C602="","",IFERROR(INDEX(Sites!$B$2:$B$501,MATCH(C602,Sites!$A$2:$A$501,0)),"?"))</f>
        <v/>
      </c>
      <c r="I602" s="8">
        <f>IF(A602="","",A602-WEEKDAY(A602,3))</f>
        <v/>
      </c>
      <c r="K602" s="7">
        <f>IF(A602="","",IF(OR(B602="",C602="",D602="",E602=""),"Missing info",IF(ISNA(MATCH(B602,Staff!$A$2:$A$101,0)),"Unknown employee",IF(H602="?","Unknown site",IF(G602&lt;=0,"Check times",IF(G602&gt;12,"Over 12h",IF(COUNTIFS($L$2:$L$2001,L602)&gt;1,"Duplicate?",IF(A602&gt;TODAY(),"Future date","OK"))))))))</f>
        <v/>
      </c>
      <c r="L602">
        <f>IF(A602="","",TEXT(A602,"yyyy-mm-dd")&amp;"|"&amp;B602&amp;"|"&amp;C602)</f>
        <v/>
      </c>
    </row>
    <row r="603">
      <c r="A603" s="4" t="n"/>
      <c r="D603" s="5" t="n"/>
      <c r="E603" s="5" t="n"/>
      <c r="G603" s="6">
        <f>IF(OR(A603="",D603="",E603=""),"",ROUND(MOD(E603-D603,1)*24-N(F603)/60,2))</f>
        <v/>
      </c>
      <c r="H603" s="7">
        <f>IF(C603="","",IFERROR(INDEX(Sites!$B$2:$B$501,MATCH(C603,Sites!$A$2:$A$501,0)),"?"))</f>
        <v/>
      </c>
      <c r="I603" s="8">
        <f>IF(A603="","",A603-WEEKDAY(A603,3))</f>
        <v/>
      </c>
      <c r="K603" s="7">
        <f>IF(A603="","",IF(OR(B603="",C603="",D603="",E603=""),"Missing info",IF(ISNA(MATCH(B603,Staff!$A$2:$A$101,0)),"Unknown employee",IF(H603="?","Unknown site",IF(G603&lt;=0,"Check times",IF(G603&gt;12,"Over 12h",IF(COUNTIFS($L$2:$L$2001,L603)&gt;1,"Duplicate?",IF(A603&gt;TODAY(),"Future date","OK"))))))))</f>
        <v/>
      </c>
      <c r="L603">
        <f>IF(A603="","",TEXT(A603,"yyyy-mm-dd")&amp;"|"&amp;B603&amp;"|"&amp;C603)</f>
        <v/>
      </c>
    </row>
    <row r="604">
      <c r="A604" s="4" t="n"/>
      <c r="D604" s="5" t="n"/>
      <c r="E604" s="5" t="n"/>
      <c r="G604" s="6">
        <f>IF(OR(A604="",D604="",E604=""),"",ROUND(MOD(E604-D604,1)*24-N(F604)/60,2))</f>
        <v/>
      </c>
      <c r="H604" s="7">
        <f>IF(C604="","",IFERROR(INDEX(Sites!$B$2:$B$501,MATCH(C604,Sites!$A$2:$A$501,0)),"?"))</f>
        <v/>
      </c>
      <c r="I604" s="8">
        <f>IF(A604="","",A604-WEEKDAY(A604,3))</f>
        <v/>
      </c>
      <c r="K604" s="7">
        <f>IF(A604="","",IF(OR(B604="",C604="",D604="",E604=""),"Missing info",IF(ISNA(MATCH(B604,Staff!$A$2:$A$101,0)),"Unknown employee",IF(H604="?","Unknown site",IF(G604&lt;=0,"Check times",IF(G604&gt;12,"Over 12h",IF(COUNTIFS($L$2:$L$2001,L604)&gt;1,"Duplicate?",IF(A604&gt;TODAY(),"Future date","OK"))))))))</f>
        <v/>
      </c>
      <c r="L604">
        <f>IF(A604="","",TEXT(A604,"yyyy-mm-dd")&amp;"|"&amp;B604&amp;"|"&amp;C604)</f>
        <v/>
      </c>
    </row>
    <row r="605">
      <c r="A605" s="4" t="n"/>
      <c r="D605" s="5" t="n"/>
      <c r="E605" s="5" t="n"/>
      <c r="G605" s="6">
        <f>IF(OR(A605="",D605="",E605=""),"",ROUND(MOD(E605-D605,1)*24-N(F605)/60,2))</f>
        <v/>
      </c>
      <c r="H605" s="7">
        <f>IF(C605="","",IFERROR(INDEX(Sites!$B$2:$B$501,MATCH(C605,Sites!$A$2:$A$501,0)),"?"))</f>
        <v/>
      </c>
      <c r="I605" s="8">
        <f>IF(A605="","",A605-WEEKDAY(A605,3))</f>
        <v/>
      </c>
      <c r="K605" s="7">
        <f>IF(A605="","",IF(OR(B605="",C605="",D605="",E605=""),"Missing info",IF(ISNA(MATCH(B605,Staff!$A$2:$A$101,0)),"Unknown employee",IF(H605="?","Unknown site",IF(G605&lt;=0,"Check times",IF(G605&gt;12,"Over 12h",IF(COUNTIFS($L$2:$L$2001,L605)&gt;1,"Duplicate?",IF(A605&gt;TODAY(),"Future date","OK"))))))))</f>
        <v/>
      </c>
      <c r="L605">
        <f>IF(A605="","",TEXT(A605,"yyyy-mm-dd")&amp;"|"&amp;B605&amp;"|"&amp;C605)</f>
        <v/>
      </c>
    </row>
    <row r="606">
      <c r="A606" s="4" t="n"/>
      <c r="D606" s="5" t="n"/>
      <c r="E606" s="5" t="n"/>
      <c r="G606" s="6">
        <f>IF(OR(A606="",D606="",E606=""),"",ROUND(MOD(E606-D606,1)*24-N(F606)/60,2))</f>
        <v/>
      </c>
      <c r="H606" s="7">
        <f>IF(C606="","",IFERROR(INDEX(Sites!$B$2:$B$501,MATCH(C606,Sites!$A$2:$A$501,0)),"?"))</f>
        <v/>
      </c>
      <c r="I606" s="8">
        <f>IF(A606="","",A606-WEEKDAY(A606,3))</f>
        <v/>
      </c>
      <c r="K606" s="7">
        <f>IF(A606="","",IF(OR(B606="",C606="",D606="",E606=""),"Missing info",IF(ISNA(MATCH(B606,Staff!$A$2:$A$101,0)),"Unknown employee",IF(H606="?","Unknown site",IF(G606&lt;=0,"Check times",IF(G606&gt;12,"Over 12h",IF(COUNTIFS($L$2:$L$2001,L606)&gt;1,"Duplicate?",IF(A606&gt;TODAY(),"Future date","OK"))))))))</f>
        <v/>
      </c>
      <c r="L606">
        <f>IF(A606="","",TEXT(A606,"yyyy-mm-dd")&amp;"|"&amp;B606&amp;"|"&amp;C606)</f>
        <v/>
      </c>
    </row>
    <row r="607">
      <c r="A607" s="4" t="n"/>
      <c r="D607" s="5" t="n"/>
      <c r="E607" s="5" t="n"/>
      <c r="G607" s="6">
        <f>IF(OR(A607="",D607="",E607=""),"",ROUND(MOD(E607-D607,1)*24-N(F607)/60,2))</f>
        <v/>
      </c>
      <c r="H607" s="7">
        <f>IF(C607="","",IFERROR(INDEX(Sites!$B$2:$B$501,MATCH(C607,Sites!$A$2:$A$501,0)),"?"))</f>
        <v/>
      </c>
      <c r="I607" s="8">
        <f>IF(A607="","",A607-WEEKDAY(A607,3))</f>
        <v/>
      </c>
      <c r="K607" s="7">
        <f>IF(A607="","",IF(OR(B607="",C607="",D607="",E607=""),"Missing info",IF(ISNA(MATCH(B607,Staff!$A$2:$A$101,0)),"Unknown employee",IF(H607="?","Unknown site",IF(G607&lt;=0,"Check times",IF(G607&gt;12,"Over 12h",IF(COUNTIFS($L$2:$L$2001,L607)&gt;1,"Duplicate?",IF(A607&gt;TODAY(),"Future date","OK"))))))))</f>
        <v/>
      </c>
      <c r="L607">
        <f>IF(A607="","",TEXT(A607,"yyyy-mm-dd")&amp;"|"&amp;B607&amp;"|"&amp;C607)</f>
        <v/>
      </c>
    </row>
    <row r="608">
      <c r="A608" s="4" t="n"/>
      <c r="D608" s="5" t="n"/>
      <c r="E608" s="5" t="n"/>
      <c r="G608" s="6">
        <f>IF(OR(A608="",D608="",E608=""),"",ROUND(MOD(E608-D608,1)*24-N(F608)/60,2))</f>
        <v/>
      </c>
      <c r="H608" s="7">
        <f>IF(C608="","",IFERROR(INDEX(Sites!$B$2:$B$501,MATCH(C608,Sites!$A$2:$A$501,0)),"?"))</f>
        <v/>
      </c>
      <c r="I608" s="8">
        <f>IF(A608="","",A608-WEEKDAY(A608,3))</f>
        <v/>
      </c>
      <c r="K608" s="7">
        <f>IF(A608="","",IF(OR(B608="",C608="",D608="",E608=""),"Missing info",IF(ISNA(MATCH(B608,Staff!$A$2:$A$101,0)),"Unknown employee",IF(H608="?","Unknown site",IF(G608&lt;=0,"Check times",IF(G608&gt;12,"Over 12h",IF(COUNTIFS($L$2:$L$2001,L608)&gt;1,"Duplicate?",IF(A608&gt;TODAY(),"Future date","OK"))))))))</f>
        <v/>
      </c>
      <c r="L608">
        <f>IF(A608="","",TEXT(A608,"yyyy-mm-dd")&amp;"|"&amp;B608&amp;"|"&amp;C608)</f>
        <v/>
      </c>
    </row>
    <row r="609">
      <c r="A609" s="4" t="n"/>
      <c r="D609" s="5" t="n"/>
      <c r="E609" s="5" t="n"/>
      <c r="G609" s="6">
        <f>IF(OR(A609="",D609="",E609=""),"",ROUND(MOD(E609-D609,1)*24-N(F609)/60,2))</f>
        <v/>
      </c>
      <c r="H609" s="7">
        <f>IF(C609="","",IFERROR(INDEX(Sites!$B$2:$B$501,MATCH(C609,Sites!$A$2:$A$501,0)),"?"))</f>
        <v/>
      </c>
      <c r="I609" s="8">
        <f>IF(A609="","",A609-WEEKDAY(A609,3))</f>
        <v/>
      </c>
      <c r="K609" s="7">
        <f>IF(A609="","",IF(OR(B609="",C609="",D609="",E609=""),"Missing info",IF(ISNA(MATCH(B609,Staff!$A$2:$A$101,0)),"Unknown employee",IF(H609="?","Unknown site",IF(G609&lt;=0,"Check times",IF(G609&gt;12,"Over 12h",IF(COUNTIFS($L$2:$L$2001,L609)&gt;1,"Duplicate?",IF(A609&gt;TODAY(),"Future date","OK"))))))))</f>
        <v/>
      </c>
      <c r="L609">
        <f>IF(A609="","",TEXT(A609,"yyyy-mm-dd")&amp;"|"&amp;B609&amp;"|"&amp;C609)</f>
        <v/>
      </c>
    </row>
    <row r="610">
      <c r="A610" s="4" t="n"/>
      <c r="D610" s="5" t="n"/>
      <c r="E610" s="5" t="n"/>
      <c r="G610" s="6">
        <f>IF(OR(A610="",D610="",E610=""),"",ROUND(MOD(E610-D610,1)*24-N(F610)/60,2))</f>
        <v/>
      </c>
      <c r="H610" s="7">
        <f>IF(C610="","",IFERROR(INDEX(Sites!$B$2:$B$501,MATCH(C610,Sites!$A$2:$A$501,0)),"?"))</f>
        <v/>
      </c>
      <c r="I610" s="8">
        <f>IF(A610="","",A610-WEEKDAY(A610,3))</f>
        <v/>
      </c>
      <c r="K610" s="7">
        <f>IF(A610="","",IF(OR(B610="",C610="",D610="",E610=""),"Missing info",IF(ISNA(MATCH(B610,Staff!$A$2:$A$101,0)),"Unknown employee",IF(H610="?","Unknown site",IF(G610&lt;=0,"Check times",IF(G610&gt;12,"Over 12h",IF(COUNTIFS($L$2:$L$2001,L610)&gt;1,"Duplicate?",IF(A610&gt;TODAY(),"Future date","OK"))))))))</f>
        <v/>
      </c>
      <c r="L610">
        <f>IF(A610="","",TEXT(A610,"yyyy-mm-dd")&amp;"|"&amp;B610&amp;"|"&amp;C610)</f>
        <v/>
      </c>
    </row>
    <row r="611">
      <c r="A611" s="4" t="n"/>
      <c r="D611" s="5" t="n"/>
      <c r="E611" s="5" t="n"/>
      <c r="G611" s="6">
        <f>IF(OR(A611="",D611="",E611=""),"",ROUND(MOD(E611-D611,1)*24-N(F611)/60,2))</f>
        <v/>
      </c>
      <c r="H611" s="7">
        <f>IF(C611="","",IFERROR(INDEX(Sites!$B$2:$B$501,MATCH(C611,Sites!$A$2:$A$501,0)),"?"))</f>
        <v/>
      </c>
      <c r="I611" s="8">
        <f>IF(A611="","",A611-WEEKDAY(A611,3))</f>
        <v/>
      </c>
      <c r="K611" s="7">
        <f>IF(A611="","",IF(OR(B611="",C611="",D611="",E611=""),"Missing info",IF(ISNA(MATCH(B611,Staff!$A$2:$A$101,0)),"Unknown employee",IF(H611="?","Unknown site",IF(G611&lt;=0,"Check times",IF(G611&gt;12,"Over 12h",IF(COUNTIFS($L$2:$L$2001,L611)&gt;1,"Duplicate?",IF(A611&gt;TODAY(),"Future date","OK"))))))))</f>
        <v/>
      </c>
      <c r="L611">
        <f>IF(A611="","",TEXT(A611,"yyyy-mm-dd")&amp;"|"&amp;B611&amp;"|"&amp;C611)</f>
        <v/>
      </c>
    </row>
    <row r="612">
      <c r="A612" s="4" t="n"/>
      <c r="D612" s="5" t="n"/>
      <c r="E612" s="5" t="n"/>
      <c r="G612" s="6">
        <f>IF(OR(A612="",D612="",E612=""),"",ROUND(MOD(E612-D612,1)*24-N(F612)/60,2))</f>
        <v/>
      </c>
      <c r="H612" s="7">
        <f>IF(C612="","",IFERROR(INDEX(Sites!$B$2:$B$501,MATCH(C612,Sites!$A$2:$A$501,0)),"?"))</f>
        <v/>
      </c>
      <c r="I612" s="8">
        <f>IF(A612="","",A612-WEEKDAY(A612,3))</f>
        <v/>
      </c>
      <c r="K612" s="7">
        <f>IF(A612="","",IF(OR(B612="",C612="",D612="",E612=""),"Missing info",IF(ISNA(MATCH(B612,Staff!$A$2:$A$101,0)),"Unknown employee",IF(H612="?","Unknown site",IF(G612&lt;=0,"Check times",IF(G612&gt;12,"Over 12h",IF(COUNTIFS($L$2:$L$2001,L612)&gt;1,"Duplicate?",IF(A612&gt;TODAY(),"Future date","OK"))))))))</f>
        <v/>
      </c>
      <c r="L612">
        <f>IF(A612="","",TEXT(A612,"yyyy-mm-dd")&amp;"|"&amp;B612&amp;"|"&amp;C612)</f>
        <v/>
      </c>
    </row>
    <row r="613">
      <c r="A613" s="4" t="n"/>
      <c r="D613" s="5" t="n"/>
      <c r="E613" s="5" t="n"/>
      <c r="G613" s="6">
        <f>IF(OR(A613="",D613="",E613=""),"",ROUND(MOD(E613-D613,1)*24-N(F613)/60,2))</f>
        <v/>
      </c>
      <c r="H613" s="7">
        <f>IF(C613="","",IFERROR(INDEX(Sites!$B$2:$B$501,MATCH(C613,Sites!$A$2:$A$501,0)),"?"))</f>
        <v/>
      </c>
      <c r="I613" s="8">
        <f>IF(A613="","",A613-WEEKDAY(A613,3))</f>
        <v/>
      </c>
      <c r="K613" s="7">
        <f>IF(A613="","",IF(OR(B613="",C613="",D613="",E613=""),"Missing info",IF(ISNA(MATCH(B613,Staff!$A$2:$A$101,0)),"Unknown employee",IF(H613="?","Unknown site",IF(G613&lt;=0,"Check times",IF(G613&gt;12,"Over 12h",IF(COUNTIFS($L$2:$L$2001,L613)&gt;1,"Duplicate?",IF(A613&gt;TODAY(),"Future date","OK"))))))))</f>
        <v/>
      </c>
      <c r="L613">
        <f>IF(A613="","",TEXT(A613,"yyyy-mm-dd")&amp;"|"&amp;B613&amp;"|"&amp;C613)</f>
        <v/>
      </c>
    </row>
    <row r="614">
      <c r="A614" s="4" t="n"/>
      <c r="D614" s="5" t="n"/>
      <c r="E614" s="5" t="n"/>
      <c r="G614" s="6">
        <f>IF(OR(A614="",D614="",E614=""),"",ROUND(MOD(E614-D614,1)*24-N(F614)/60,2))</f>
        <v/>
      </c>
      <c r="H614" s="7">
        <f>IF(C614="","",IFERROR(INDEX(Sites!$B$2:$B$501,MATCH(C614,Sites!$A$2:$A$501,0)),"?"))</f>
        <v/>
      </c>
      <c r="I614" s="8">
        <f>IF(A614="","",A614-WEEKDAY(A614,3))</f>
        <v/>
      </c>
      <c r="K614" s="7">
        <f>IF(A614="","",IF(OR(B614="",C614="",D614="",E614=""),"Missing info",IF(ISNA(MATCH(B614,Staff!$A$2:$A$101,0)),"Unknown employee",IF(H614="?","Unknown site",IF(G614&lt;=0,"Check times",IF(G614&gt;12,"Over 12h",IF(COUNTIFS($L$2:$L$2001,L614)&gt;1,"Duplicate?",IF(A614&gt;TODAY(),"Future date","OK"))))))))</f>
        <v/>
      </c>
      <c r="L614">
        <f>IF(A614="","",TEXT(A614,"yyyy-mm-dd")&amp;"|"&amp;B614&amp;"|"&amp;C614)</f>
        <v/>
      </c>
    </row>
    <row r="615">
      <c r="A615" s="4" t="n"/>
      <c r="D615" s="5" t="n"/>
      <c r="E615" s="5" t="n"/>
      <c r="G615" s="6">
        <f>IF(OR(A615="",D615="",E615=""),"",ROUND(MOD(E615-D615,1)*24-N(F615)/60,2))</f>
        <v/>
      </c>
      <c r="H615" s="7">
        <f>IF(C615="","",IFERROR(INDEX(Sites!$B$2:$B$501,MATCH(C615,Sites!$A$2:$A$501,0)),"?"))</f>
        <v/>
      </c>
      <c r="I615" s="8">
        <f>IF(A615="","",A615-WEEKDAY(A615,3))</f>
        <v/>
      </c>
      <c r="K615" s="7">
        <f>IF(A615="","",IF(OR(B615="",C615="",D615="",E615=""),"Missing info",IF(ISNA(MATCH(B615,Staff!$A$2:$A$101,0)),"Unknown employee",IF(H615="?","Unknown site",IF(G615&lt;=0,"Check times",IF(G615&gt;12,"Over 12h",IF(COUNTIFS($L$2:$L$2001,L615)&gt;1,"Duplicate?",IF(A615&gt;TODAY(),"Future date","OK"))))))))</f>
        <v/>
      </c>
      <c r="L615">
        <f>IF(A615="","",TEXT(A615,"yyyy-mm-dd")&amp;"|"&amp;B615&amp;"|"&amp;C615)</f>
        <v/>
      </c>
    </row>
    <row r="616">
      <c r="A616" s="4" t="n"/>
      <c r="D616" s="5" t="n"/>
      <c r="E616" s="5" t="n"/>
      <c r="G616" s="6">
        <f>IF(OR(A616="",D616="",E616=""),"",ROUND(MOD(E616-D616,1)*24-N(F616)/60,2))</f>
        <v/>
      </c>
      <c r="H616" s="7">
        <f>IF(C616="","",IFERROR(INDEX(Sites!$B$2:$B$501,MATCH(C616,Sites!$A$2:$A$501,0)),"?"))</f>
        <v/>
      </c>
      <c r="I616" s="8">
        <f>IF(A616="","",A616-WEEKDAY(A616,3))</f>
        <v/>
      </c>
      <c r="K616" s="7">
        <f>IF(A616="","",IF(OR(B616="",C616="",D616="",E616=""),"Missing info",IF(ISNA(MATCH(B616,Staff!$A$2:$A$101,0)),"Unknown employee",IF(H616="?","Unknown site",IF(G616&lt;=0,"Check times",IF(G616&gt;12,"Over 12h",IF(COUNTIFS($L$2:$L$2001,L616)&gt;1,"Duplicate?",IF(A616&gt;TODAY(),"Future date","OK"))))))))</f>
        <v/>
      </c>
      <c r="L616">
        <f>IF(A616="","",TEXT(A616,"yyyy-mm-dd")&amp;"|"&amp;B616&amp;"|"&amp;C616)</f>
        <v/>
      </c>
    </row>
    <row r="617">
      <c r="A617" s="4" t="n"/>
      <c r="D617" s="5" t="n"/>
      <c r="E617" s="5" t="n"/>
      <c r="G617" s="6">
        <f>IF(OR(A617="",D617="",E617=""),"",ROUND(MOD(E617-D617,1)*24-N(F617)/60,2))</f>
        <v/>
      </c>
      <c r="H617" s="7">
        <f>IF(C617="","",IFERROR(INDEX(Sites!$B$2:$B$501,MATCH(C617,Sites!$A$2:$A$501,0)),"?"))</f>
        <v/>
      </c>
      <c r="I617" s="8">
        <f>IF(A617="","",A617-WEEKDAY(A617,3))</f>
        <v/>
      </c>
      <c r="K617" s="7">
        <f>IF(A617="","",IF(OR(B617="",C617="",D617="",E617=""),"Missing info",IF(ISNA(MATCH(B617,Staff!$A$2:$A$101,0)),"Unknown employee",IF(H617="?","Unknown site",IF(G617&lt;=0,"Check times",IF(G617&gt;12,"Over 12h",IF(COUNTIFS($L$2:$L$2001,L617)&gt;1,"Duplicate?",IF(A617&gt;TODAY(),"Future date","OK"))))))))</f>
        <v/>
      </c>
      <c r="L617">
        <f>IF(A617="","",TEXT(A617,"yyyy-mm-dd")&amp;"|"&amp;B617&amp;"|"&amp;C617)</f>
        <v/>
      </c>
    </row>
    <row r="618">
      <c r="A618" s="4" t="n"/>
      <c r="D618" s="5" t="n"/>
      <c r="E618" s="5" t="n"/>
      <c r="G618" s="6">
        <f>IF(OR(A618="",D618="",E618=""),"",ROUND(MOD(E618-D618,1)*24-N(F618)/60,2))</f>
        <v/>
      </c>
      <c r="H618" s="7">
        <f>IF(C618="","",IFERROR(INDEX(Sites!$B$2:$B$501,MATCH(C618,Sites!$A$2:$A$501,0)),"?"))</f>
        <v/>
      </c>
      <c r="I618" s="8">
        <f>IF(A618="","",A618-WEEKDAY(A618,3))</f>
        <v/>
      </c>
      <c r="K618" s="7">
        <f>IF(A618="","",IF(OR(B618="",C618="",D618="",E618=""),"Missing info",IF(ISNA(MATCH(B618,Staff!$A$2:$A$101,0)),"Unknown employee",IF(H618="?","Unknown site",IF(G618&lt;=0,"Check times",IF(G618&gt;12,"Over 12h",IF(COUNTIFS($L$2:$L$2001,L618)&gt;1,"Duplicate?",IF(A618&gt;TODAY(),"Future date","OK"))))))))</f>
        <v/>
      </c>
      <c r="L618">
        <f>IF(A618="","",TEXT(A618,"yyyy-mm-dd")&amp;"|"&amp;B618&amp;"|"&amp;C618)</f>
        <v/>
      </c>
    </row>
    <row r="619">
      <c r="A619" s="4" t="n"/>
      <c r="D619" s="5" t="n"/>
      <c r="E619" s="5" t="n"/>
      <c r="G619" s="6">
        <f>IF(OR(A619="",D619="",E619=""),"",ROUND(MOD(E619-D619,1)*24-N(F619)/60,2))</f>
        <v/>
      </c>
      <c r="H619" s="7">
        <f>IF(C619="","",IFERROR(INDEX(Sites!$B$2:$B$501,MATCH(C619,Sites!$A$2:$A$501,0)),"?"))</f>
        <v/>
      </c>
      <c r="I619" s="8">
        <f>IF(A619="","",A619-WEEKDAY(A619,3))</f>
        <v/>
      </c>
      <c r="K619" s="7">
        <f>IF(A619="","",IF(OR(B619="",C619="",D619="",E619=""),"Missing info",IF(ISNA(MATCH(B619,Staff!$A$2:$A$101,0)),"Unknown employee",IF(H619="?","Unknown site",IF(G619&lt;=0,"Check times",IF(G619&gt;12,"Over 12h",IF(COUNTIFS($L$2:$L$2001,L619)&gt;1,"Duplicate?",IF(A619&gt;TODAY(),"Future date","OK"))))))))</f>
        <v/>
      </c>
      <c r="L619">
        <f>IF(A619="","",TEXT(A619,"yyyy-mm-dd")&amp;"|"&amp;B619&amp;"|"&amp;C619)</f>
        <v/>
      </c>
    </row>
    <row r="620">
      <c r="A620" s="4" t="n"/>
      <c r="D620" s="5" t="n"/>
      <c r="E620" s="5" t="n"/>
      <c r="G620" s="6">
        <f>IF(OR(A620="",D620="",E620=""),"",ROUND(MOD(E620-D620,1)*24-N(F620)/60,2))</f>
        <v/>
      </c>
      <c r="H620" s="7">
        <f>IF(C620="","",IFERROR(INDEX(Sites!$B$2:$B$501,MATCH(C620,Sites!$A$2:$A$501,0)),"?"))</f>
        <v/>
      </c>
      <c r="I620" s="8">
        <f>IF(A620="","",A620-WEEKDAY(A620,3))</f>
        <v/>
      </c>
      <c r="K620" s="7">
        <f>IF(A620="","",IF(OR(B620="",C620="",D620="",E620=""),"Missing info",IF(ISNA(MATCH(B620,Staff!$A$2:$A$101,0)),"Unknown employee",IF(H620="?","Unknown site",IF(G620&lt;=0,"Check times",IF(G620&gt;12,"Over 12h",IF(COUNTIFS($L$2:$L$2001,L620)&gt;1,"Duplicate?",IF(A620&gt;TODAY(),"Future date","OK"))))))))</f>
        <v/>
      </c>
      <c r="L620">
        <f>IF(A620="","",TEXT(A620,"yyyy-mm-dd")&amp;"|"&amp;B620&amp;"|"&amp;C620)</f>
        <v/>
      </c>
    </row>
    <row r="621">
      <c r="A621" s="4" t="n"/>
      <c r="D621" s="5" t="n"/>
      <c r="E621" s="5" t="n"/>
      <c r="G621" s="6">
        <f>IF(OR(A621="",D621="",E621=""),"",ROUND(MOD(E621-D621,1)*24-N(F621)/60,2))</f>
        <v/>
      </c>
      <c r="H621" s="7">
        <f>IF(C621="","",IFERROR(INDEX(Sites!$B$2:$B$501,MATCH(C621,Sites!$A$2:$A$501,0)),"?"))</f>
        <v/>
      </c>
      <c r="I621" s="8">
        <f>IF(A621="","",A621-WEEKDAY(A621,3))</f>
        <v/>
      </c>
      <c r="K621" s="7">
        <f>IF(A621="","",IF(OR(B621="",C621="",D621="",E621=""),"Missing info",IF(ISNA(MATCH(B621,Staff!$A$2:$A$101,0)),"Unknown employee",IF(H621="?","Unknown site",IF(G621&lt;=0,"Check times",IF(G621&gt;12,"Over 12h",IF(COUNTIFS($L$2:$L$2001,L621)&gt;1,"Duplicate?",IF(A621&gt;TODAY(),"Future date","OK"))))))))</f>
        <v/>
      </c>
      <c r="L621">
        <f>IF(A621="","",TEXT(A621,"yyyy-mm-dd")&amp;"|"&amp;B621&amp;"|"&amp;C621)</f>
        <v/>
      </c>
    </row>
    <row r="622">
      <c r="A622" s="4" t="n"/>
      <c r="D622" s="5" t="n"/>
      <c r="E622" s="5" t="n"/>
      <c r="G622" s="6">
        <f>IF(OR(A622="",D622="",E622=""),"",ROUND(MOD(E622-D622,1)*24-N(F622)/60,2))</f>
        <v/>
      </c>
      <c r="H622" s="7">
        <f>IF(C622="","",IFERROR(INDEX(Sites!$B$2:$B$501,MATCH(C622,Sites!$A$2:$A$501,0)),"?"))</f>
        <v/>
      </c>
      <c r="I622" s="8">
        <f>IF(A622="","",A622-WEEKDAY(A622,3))</f>
        <v/>
      </c>
      <c r="K622" s="7">
        <f>IF(A622="","",IF(OR(B622="",C622="",D622="",E622=""),"Missing info",IF(ISNA(MATCH(B622,Staff!$A$2:$A$101,0)),"Unknown employee",IF(H622="?","Unknown site",IF(G622&lt;=0,"Check times",IF(G622&gt;12,"Over 12h",IF(COUNTIFS($L$2:$L$2001,L622)&gt;1,"Duplicate?",IF(A622&gt;TODAY(),"Future date","OK"))))))))</f>
        <v/>
      </c>
      <c r="L622">
        <f>IF(A622="","",TEXT(A622,"yyyy-mm-dd")&amp;"|"&amp;B622&amp;"|"&amp;C622)</f>
        <v/>
      </c>
    </row>
    <row r="623">
      <c r="A623" s="4" t="n"/>
      <c r="D623" s="5" t="n"/>
      <c r="E623" s="5" t="n"/>
      <c r="G623" s="6">
        <f>IF(OR(A623="",D623="",E623=""),"",ROUND(MOD(E623-D623,1)*24-N(F623)/60,2))</f>
        <v/>
      </c>
      <c r="H623" s="7">
        <f>IF(C623="","",IFERROR(INDEX(Sites!$B$2:$B$501,MATCH(C623,Sites!$A$2:$A$501,0)),"?"))</f>
        <v/>
      </c>
      <c r="I623" s="8">
        <f>IF(A623="","",A623-WEEKDAY(A623,3))</f>
        <v/>
      </c>
      <c r="K623" s="7">
        <f>IF(A623="","",IF(OR(B623="",C623="",D623="",E623=""),"Missing info",IF(ISNA(MATCH(B623,Staff!$A$2:$A$101,0)),"Unknown employee",IF(H623="?","Unknown site",IF(G623&lt;=0,"Check times",IF(G623&gt;12,"Over 12h",IF(COUNTIFS($L$2:$L$2001,L623)&gt;1,"Duplicate?",IF(A623&gt;TODAY(),"Future date","OK"))))))))</f>
        <v/>
      </c>
      <c r="L623">
        <f>IF(A623="","",TEXT(A623,"yyyy-mm-dd")&amp;"|"&amp;B623&amp;"|"&amp;C623)</f>
        <v/>
      </c>
    </row>
    <row r="624">
      <c r="A624" s="4" t="n"/>
      <c r="D624" s="5" t="n"/>
      <c r="E624" s="5" t="n"/>
      <c r="G624" s="6">
        <f>IF(OR(A624="",D624="",E624=""),"",ROUND(MOD(E624-D624,1)*24-N(F624)/60,2))</f>
        <v/>
      </c>
      <c r="H624" s="7">
        <f>IF(C624="","",IFERROR(INDEX(Sites!$B$2:$B$501,MATCH(C624,Sites!$A$2:$A$501,0)),"?"))</f>
        <v/>
      </c>
      <c r="I624" s="8">
        <f>IF(A624="","",A624-WEEKDAY(A624,3))</f>
        <v/>
      </c>
      <c r="K624" s="7">
        <f>IF(A624="","",IF(OR(B624="",C624="",D624="",E624=""),"Missing info",IF(ISNA(MATCH(B624,Staff!$A$2:$A$101,0)),"Unknown employee",IF(H624="?","Unknown site",IF(G624&lt;=0,"Check times",IF(G624&gt;12,"Over 12h",IF(COUNTIFS($L$2:$L$2001,L624)&gt;1,"Duplicate?",IF(A624&gt;TODAY(),"Future date","OK"))))))))</f>
        <v/>
      </c>
      <c r="L624">
        <f>IF(A624="","",TEXT(A624,"yyyy-mm-dd")&amp;"|"&amp;B624&amp;"|"&amp;C624)</f>
        <v/>
      </c>
    </row>
    <row r="625">
      <c r="A625" s="4" t="n"/>
      <c r="D625" s="5" t="n"/>
      <c r="E625" s="5" t="n"/>
      <c r="G625" s="6">
        <f>IF(OR(A625="",D625="",E625=""),"",ROUND(MOD(E625-D625,1)*24-N(F625)/60,2))</f>
        <v/>
      </c>
      <c r="H625" s="7">
        <f>IF(C625="","",IFERROR(INDEX(Sites!$B$2:$B$501,MATCH(C625,Sites!$A$2:$A$501,0)),"?"))</f>
        <v/>
      </c>
      <c r="I625" s="8">
        <f>IF(A625="","",A625-WEEKDAY(A625,3))</f>
        <v/>
      </c>
      <c r="K625" s="7">
        <f>IF(A625="","",IF(OR(B625="",C625="",D625="",E625=""),"Missing info",IF(ISNA(MATCH(B625,Staff!$A$2:$A$101,0)),"Unknown employee",IF(H625="?","Unknown site",IF(G625&lt;=0,"Check times",IF(G625&gt;12,"Over 12h",IF(COUNTIFS($L$2:$L$2001,L625)&gt;1,"Duplicate?",IF(A625&gt;TODAY(),"Future date","OK"))))))))</f>
        <v/>
      </c>
      <c r="L625">
        <f>IF(A625="","",TEXT(A625,"yyyy-mm-dd")&amp;"|"&amp;B625&amp;"|"&amp;C625)</f>
        <v/>
      </c>
    </row>
    <row r="626">
      <c r="A626" s="4" t="n"/>
      <c r="D626" s="5" t="n"/>
      <c r="E626" s="5" t="n"/>
      <c r="G626" s="6">
        <f>IF(OR(A626="",D626="",E626=""),"",ROUND(MOD(E626-D626,1)*24-N(F626)/60,2))</f>
        <v/>
      </c>
      <c r="H626" s="7">
        <f>IF(C626="","",IFERROR(INDEX(Sites!$B$2:$B$501,MATCH(C626,Sites!$A$2:$A$501,0)),"?"))</f>
        <v/>
      </c>
      <c r="I626" s="8">
        <f>IF(A626="","",A626-WEEKDAY(A626,3))</f>
        <v/>
      </c>
      <c r="K626" s="7">
        <f>IF(A626="","",IF(OR(B626="",C626="",D626="",E626=""),"Missing info",IF(ISNA(MATCH(B626,Staff!$A$2:$A$101,0)),"Unknown employee",IF(H626="?","Unknown site",IF(G626&lt;=0,"Check times",IF(G626&gt;12,"Over 12h",IF(COUNTIFS($L$2:$L$2001,L626)&gt;1,"Duplicate?",IF(A626&gt;TODAY(),"Future date","OK"))))))))</f>
        <v/>
      </c>
      <c r="L626">
        <f>IF(A626="","",TEXT(A626,"yyyy-mm-dd")&amp;"|"&amp;B626&amp;"|"&amp;C626)</f>
        <v/>
      </c>
    </row>
    <row r="627">
      <c r="A627" s="4" t="n"/>
      <c r="D627" s="5" t="n"/>
      <c r="E627" s="5" t="n"/>
      <c r="G627" s="6">
        <f>IF(OR(A627="",D627="",E627=""),"",ROUND(MOD(E627-D627,1)*24-N(F627)/60,2))</f>
        <v/>
      </c>
      <c r="H627" s="7">
        <f>IF(C627="","",IFERROR(INDEX(Sites!$B$2:$B$501,MATCH(C627,Sites!$A$2:$A$501,0)),"?"))</f>
        <v/>
      </c>
      <c r="I627" s="8">
        <f>IF(A627="","",A627-WEEKDAY(A627,3))</f>
        <v/>
      </c>
      <c r="K627" s="7">
        <f>IF(A627="","",IF(OR(B627="",C627="",D627="",E627=""),"Missing info",IF(ISNA(MATCH(B627,Staff!$A$2:$A$101,0)),"Unknown employee",IF(H627="?","Unknown site",IF(G627&lt;=0,"Check times",IF(G627&gt;12,"Over 12h",IF(COUNTIFS($L$2:$L$2001,L627)&gt;1,"Duplicate?",IF(A627&gt;TODAY(),"Future date","OK"))))))))</f>
        <v/>
      </c>
      <c r="L627">
        <f>IF(A627="","",TEXT(A627,"yyyy-mm-dd")&amp;"|"&amp;B627&amp;"|"&amp;C627)</f>
        <v/>
      </c>
    </row>
    <row r="628">
      <c r="A628" s="4" t="n"/>
      <c r="D628" s="5" t="n"/>
      <c r="E628" s="5" t="n"/>
      <c r="G628" s="6">
        <f>IF(OR(A628="",D628="",E628=""),"",ROUND(MOD(E628-D628,1)*24-N(F628)/60,2))</f>
        <v/>
      </c>
      <c r="H628" s="7">
        <f>IF(C628="","",IFERROR(INDEX(Sites!$B$2:$B$501,MATCH(C628,Sites!$A$2:$A$501,0)),"?"))</f>
        <v/>
      </c>
      <c r="I628" s="8">
        <f>IF(A628="","",A628-WEEKDAY(A628,3))</f>
        <v/>
      </c>
      <c r="K628" s="7">
        <f>IF(A628="","",IF(OR(B628="",C628="",D628="",E628=""),"Missing info",IF(ISNA(MATCH(B628,Staff!$A$2:$A$101,0)),"Unknown employee",IF(H628="?","Unknown site",IF(G628&lt;=0,"Check times",IF(G628&gt;12,"Over 12h",IF(COUNTIFS($L$2:$L$2001,L628)&gt;1,"Duplicate?",IF(A628&gt;TODAY(),"Future date","OK"))))))))</f>
        <v/>
      </c>
      <c r="L628">
        <f>IF(A628="","",TEXT(A628,"yyyy-mm-dd")&amp;"|"&amp;B628&amp;"|"&amp;C628)</f>
        <v/>
      </c>
    </row>
    <row r="629">
      <c r="A629" s="4" t="n"/>
      <c r="D629" s="5" t="n"/>
      <c r="E629" s="5" t="n"/>
      <c r="G629" s="6">
        <f>IF(OR(A629="",D629="",E629=""),"",ROUND(MOD(E629-D629,1)*24-N(F629)/60,2))</f>
        <v/>
      </c>
      <c r="H629" s="7">
        <f>IF(C629="","",IFERROR(INDEX(Sites!$B$2:$B$501,MATCH(C629,Sites!$A$2:$A$501,0)),"?"))</f>
        <v/>
      </c>
      <c r="I629" s="8">
        <f>IF(A629="","",A629-WEEKDAY(A629,3))</f>
        <v/>
      </c>
      <c r="K629" s="7">
        <f>IF(A629="","",IF(OR(B629="",C629="",D629="",E629=""),"Missing info",IF(ISNA(MATCH(B629,Staff!$A$2:$A$101,0)),"Unknown employee",IF(H629="?","Unknown site",IF(G629&lt;=0,"Check times",IF(G629&gt;12,"Over 12h",IF(COUNTIFS($L$2:$L$2001,L629)&gt;1,"Duplicate?",IF(A629&gt;TODAY(),"Future date","OK"))))))))</f>
        <v/>
      </c>
      <c r="L629">
        <f>IF(A629="","",TEXT(A629,"yyyy-mm-dd")&amp;"|"&amp;B629&amp;"|"&amp;C629)</f>
        <v/>
      </c>
    </row>
    <row r="630">
      <c r="A630" s="4" t="n"/>
      <c r="D630" s="5" t="n"/>
      <c r="E630" s="5" t="n"/>
      <c r="G630" s="6">
        <f>IF(OR(A630="",D630="",E630=""),"",ROUND(MOD(E630-D630,1)*24-N(F630)/60,2))</f>
        <v/>
      </c>
      <c r="H630" s="7">
        <f>IF(C630="","",IFERROR(INDEX(Sites!$B$2:$B$501,MATCH(C630,Sites!$A$2:$A$501,0)),"?"))</f>
        <v/>
      </c>
      <c r="I630" s="8">
        <f>IF(A630="","",A630-WEEKDAY(A630,3))</f>
        <v/>
      </c>
      <c r="K630" s="7">
        <f>IF(A630="","",IF(OR(B630="",C630="",D630="",E630=""),"Missing info",IF(ISNA(MATCH(B630,Staff!$A$2:$A$101,0)),"Unknown employee",IF(H630="?","Unknown site",IF(G630&lt;=0,"Check times",IF(G630&gt;12,"Over 12h",IF(COUNTIFS($L$2:$L$2001,L630)&gt;1,"Duplicate?",IF(A630&gt;TODAY(),"Future date","OK"))))))))</f>
        <v/>
      </c>
      <c r="L630">
        <f>IF(A630="","",TEXT(A630,"yyyy-mm-dd")&amp;"|"&amp;B630&amp;"|"&amp;C630)</f>
        <v/>
      </c>
    </row>
    <row r="631">
      <c r="A631" s="4" t="n"/>
      <c r="D631" s="5" t="n"/>
      <c r="E631" s="5" t="n"/>
      <c r="G631" s="6">
        <f>IF(OR(A631="",D631="",E631=""),"",ROUND(MOD(E631-D631,1)*24-N(F631)/60,2))</f>
        <v/>
      </c>
      <c r="H631" s="7">
        <f>IF(C631="","",IFERROR(INDEX(Sites!$B$2:$B$501,MATCH(C631,Sites!$A$2:$A$501,0)),"?"))</f>
        <v/>
      </c>
      <c r="I631" s="8">
        <f>IF(A631="","",A631-WEEKDAY(A631,3))</f>
        <v/>
      </c>
      <c r="K631" s="7">
        <f>IF(A631="","",IF(OR(B631="",C631="",D631="",E631=""),"Missing info",IF(ISNA(MATCH(B631,Staff!$A$2:$A$101,0)),"Unknown employee",IF(H631="?","Unknown site",IF(G631&lt;=0,"Check times",IF(G631&gt;12,"Over 12h",IF(COUNTIFS($L$2:$L$2001,L631)&gt;1,"Duplicate?",IF(A631&gt;TODAY(),"Future date","OK"))))))))</f>
        <v/>
      </c>
      <c r="L631">
        <f>IF(A631="","",TEXT(A631,"yyyy-mm-dd")&amp;"|"&amp;B631&amp;"|"&amp;C631)</f>
        <v/>
      </c>
    </row>
    <row r="632">
      <c r="A632" s="4" t="n"/>
      <c r="D632" s="5" t="n"/>
      <c r="E632" s="5" t="n"/>
      <c r="G632" s="6">
        <f>IF(OR(A632="",D632="",E632=""),"",ROUND(MOD(E632-D632,1)*24-N(F632)/60,2))</f>
        <v/>
      </c>
      <c r="H632" s="7">
        <f>IF(C632="","",IFERROR(INDEX(Sites!$B$2:$B$501,MATCH(C632,Sites!$A$2:$A$501,0)),"?"))</f>
        <v/>
      </c>
      <c r="I632" s="8">
        <f>IF(A632="","",A632-WEEKDAY(A632,3))</f>
        <v/>
      </c>
      <c r="K632" s="7">
        <f>IF(A632="","",IF(OR(B632="",C632="",D632="",E632=""),"Missing info",IF(ISNA(MATCH(B632,Staff!$A$2:$A$101,0)),"Unknown employee",IF(H632="?","Unknown site",IF(G632&lt;=0,"Check times",IF(G632&gt;12,"Over 12h",IF(COUNTIFS($L$2:$L$2001,L632)&gt;1,"Duplicate?",IF(A632&gt;TODAY(),"Future date","OK"))))))))</f>
        <v/>
      </c>
      <c r="L632">
        <f>IF(A632="","",TEXT(A632,"yyyy-mm-dd")&amp;"|"&amp;B632&amp;"|"&amp;C632)</f>
        <v/>
      </c>
    </row>
    <row r="633">
      <c r="A633" s="4" t="n"/>
      <c r="D633" s="5" t="n"/>
      <c r="E633" s="5" t="n"/>
      <c r="G633" s="6">
        <f>IF(OR(A633="",D633="",E633=""),"",ROUND(MOD(E633-D633,1)*24-N(F633)/60,2))</f>
        <v/>
      </c>
      <c r="H633" s="7">
        <f>IF(C633="","",IFERROR(INDEX(Sites!$B$2:$B$501,MATCH(C633,Sites!$A$2:$A$501,0)),"?"))</f>
        <v/>
      </c>
      <c r="I633" s="8">
        <f>IF(A633="","",A633-WEEKDAY(A633,3))</f>
        <v/>
      </c>
      <c r="K633" s="7">
        <f>IF(A633="","",IF(OR(B633="",C633="",D633="",E633=""),"Missing info",IF(ISNA(MATCH(B633,Staff!$A$2:$A$101,0)),"Unknown employee",IF(H633="?","Unknown site",IF(G633&lt;=0,"Check times",IF(G633&gt;12,"Over 12h",IF(COUNTIFS($L$2:$L$2001,L633)&gt;1,"Duplicate?",IF(A633&gt;TODAY(),"Future date","OK"))))))))</f>
        <v/>
      </c>
      <c r="L633">
        <f>IF(A633="","",TEXT(A633,"yyyy-mm-dd")&amp;"|"&amp;B633&amp;"|"&amp;C633)</f>
        <v/>
      </c>
    </row>
    <row r="634">
      <c r="A634" s="4" t="n"/>
      <c r="D634" s="5" t="n"/>
      <c r="E634" s="5" t="n"/>
      <c r="G634" s="6">
        <f>IF(OR(A634="",D634="",E634=""),"",ROUND(MOD(E634-D634,1)*24-N(F634)/60,2))</f>
        <v/>
      </c>
      <c r="H634" s="7">
        <f>IF(C634="","",IFERROR(INDEX(Sites!$B$2:$B$501,MATCH(C634,Sites!$A$2:$A$501,0)),"?"))</f>
        <v/>
      </c>
      <c r="I634" s="8">
        <f>IF(A634="","",A634-WEEKDAY(A634,3))</f>
        <v/>
      </c>
      <c r="K634" s="7">
        <f>IF(A634="","",IF(OR(B634="",C634="",D634="",E634=""),"Missing info",IF(ISNA(MATCH(B634,Staff!$A$2:$A$101,0)),"Unknown employee",IF(H634="?","Unknown site",IF(G634&lt;=0,"Check times",IF(G634&gt;12,"Over 12h",IF(COUNTIFS($L$2:$L$2001,L634)&gt;1,"Duplicate?",IF(A634&gt;TODAY(),"Future date","OK"))))))))</f>
        <v/>
      </c>
      <c r="L634">
        <f>IF(A634="","",TEXT(A634,"yyyy-mm-dd")&amp;"|"&amp;B634&amp;"|"&amp;C634)</f>
        <v/>
      </c>
    </row>
    <row r="635">
      <c r="A635" s="4" t="n"/>
      <c r="D635" s="5" t="n"/>
      <c r="E635" s="5" t="n"/>
      <c r="G635" s="6">
        <f>IF(OR(A635="",D635="",E635=""),"",ROUND(MOD(E635-D635,1)*24-N(F635)/60,2))</f>
        <v/>
      </c>
      <c r="H635" s="7">
        <f>IF(C635="","",IFERROR(INDEX(Sites!$B$2:$B$501,MATCH(C635,Sites!$A$2:$A$501,0)),"?"))</f>
        <v/>
      </c>
      <c r="I635" s="8">
        <f>IF(A635="","",A635-WEEKDAY(A635,3))</f>
        <v/>
      </c>
      <c r="K635" s="7">
        <f>IF(A635="","",IF(OR(B635="",C635="",D635="",E635=""),"Missing info",IF(ISNA(MATCH(B635,Staff!$A$2:$A$101,0)),"Unknown employee",IF(H635="?","Unknown site",IF(G635&lt;=0,"Check times",IF(G635&gt;12,"Over 12h",IF(COUNTIFS($L$2:$L$2001,L635)&gt;1,"Duplicate?",IF(A635&gt;TODAY(),"Future date","OK"))))))))</f>
        <v/>
      </c>
      <c r="L635">
        <f>IF(A635="","",TEXT(A635,"yyyy-mm-dd")&amp;"|"&amp;B635&amp;"|"&amp;C635)</f>
        <v/>
      </c>
    </row>
    <row r="636">
      <c r="A636" s="4" t="n"/>
      <c r="D636" s="5" t="n"/>
      <c r="E636" s="5" t="n"/>
      <c r="G636" s="6">
        <f>IF(OR(A636="",D636="",E636=""),"",ROUND(MOD(E636-D636,1)*24-N(F636)/60,2))</f>
        <v/>
      </c>
      <c r="H636" s="7">
        <f>IF(C636="","",IFERROR(INDEX(Sites!$B$2:$B$501,MATCH(C636,Sites!$A$2:$A$501,0)),"?"))</f>
        <v/>
      </c>
      <c r="I636" s="8">
        <f>IF(A636="","",A636-WEEKDAY(A636,3))</f>
        <v/>
      </c>
      <c r="K636" s="7">
        <f>IF(A636="","",IF(OR(B636="",C636="",D636="",E636=""),"Missing info",IF(ISNA(MATCH(B636,Staff!$A$2:$A$101,0)),"Unknown employee",IF(H636="?","Unknown site",IF(G636&lt;=0,"Check times",IF(G636&gt;12,"Over 12h",IF(COUNTIFS($L$2:$L$2001,L636)&gt;1,"Duplicate?",IF(A636&gt;TODAY(),"Future date","OK"))))))))</f>
        <v/>
      </c>
      <c r="L636">
        <f>IF(A636="","",TEXT(A636,"yyyy-mm-dd")&amp;"|"&amp;B636&amp;"|"&amp;C636)</f>
        <v/>
      </c>
    </row>
    <row r="637">
      <c r="A637" s="4" t="n"/>
      <c r="D637" s="5" t="n"/>
      <c r="E637" s="5" t="n"/>
      <c r="G637" s="6">
        <f>IF(OR(A637="",D637="",E637=""),"",ROUND(MOD(E637-D637,1)*24-N(F637)/60,2))</f>
        <v/>
      </c>
      <c r="H637" s="7">
        <f>IF(C637="","",IFERROR(INDEX(Sites!$B$2:$B$501,MATCH(C637,Sites!$A$2:$A$501,0)),"?"))</f>
        <v/>
      </c>
      <c r="I637" s="8">
        <f>IF(A637="","",A637-WEEKDAY(A637,3))</f>
        <v/>
      </c>
      <c r="K637" s="7">
        <f>IF(A637="","",IF(OR(B637="",C637="",D637="",E637=""),"Missing info",IF(ISNA(MATCH(B637,Staff!$A$2:$A$101,0)),"Unknown employee",IF(H637="?","Unknown site",IF(G637&lt;=0,"Check times",IF(G637&gt;12,"Over 12h",IF(COUNTIFS($L$2:$L$2001,L637)&gt;1,"Duplicate?",IF(A637&gt;TODAY(),"Future date","OK"))))))))</f>
        <v/>
      </c>
      <c r="L637">
        <f>IF(A637="","",TEXT(A637,"yyyy-mm-dd")&amp;"|"&amp;B637&amp;"|"&amp;C637)</f>
        <v/>
      </c>
    </row>
    <row r="638">
      <c r="A638" s="4" t="n"/>
      <c r="D638" s="5" t="n"/>
      <c r="E638" s="5" t="n"/>
      <c r="G638" s="6">
        <f>IF(OR(A638="",D638="",E638=""),"",ROUND(MOD(E638-D638,1)*24-N(F638)/60,2))</f>
        <v/>
      </c>
      <c r="H638" s="7">
        <f>IF(C638="","",IFERROR(INDEX(Sites!$B$2:$B$501,MATCH(C638,Sites!$A$2:$A$501,0)),"?"))</f>
        <v/>
      </c>
      <c r="I638" s="8">
        <f>IF(A638="","",A638-WEEKDAY(A638,3))</f>
        <v/>
      </c>
      <c r="K638" s="7">
        <f>IF(A638="","",IF(OR(B638="",C638="",D638="",E638=""),"Missing info",IF(ISNA(MATCH(B638,Staff!$A$2:$A$101,0)),"Unknown employee",IF(H638="?","Unknown site",IF(G638&lt;=0,"Check times",IF(G638&gt;12,"Over 12h",IF(COUNTIFS($L$2:$L$2001,L638)&gt;1,"Duplicate?",IF(A638&gt;TODAY(),"Future date","OK"))))))))</f>
        <v/>
      </c>
      <c r="L638">
        <f>IF(A638="","",TEXT(A638,"yyyy-mm-dd")&amp;"|"&amp;B638&amp;"|"&amp;C638)</f>
        <v/>
      </c>
    </row>
    <row r="639">
      <c r="A639" s="4" t="n"/>
      <c r="D639" s="5" t="n"/>
      <c r="E639" s="5" t="n"/>
      <c r="G639" s="6">
        <f>IF(OR(A639="",D639="",E639=""),"",ROUND(MOD(E639-D639,1)*24-N(F639)/60,2))</f>
        <v/>
      </c>
      <c r="H639" s="7">
        <f>IF(C639="","",IFERROR(INDEX(Sites!$B$2:$B$501,MATCH(C639,Sites!$A$2:$A$501,0)),"?"))</f>
        <v/>
      </c>
      <c r="I639" s="8">
        <f>IF(A639="","",A639-WEEKDAY(A639,3))</f>
        <v/>
      </c>
      <c r="K639" s="7">
        <f>IF(A639="","",IF(OR(B639="",C639="",D639="",E639=""),"Missing info",IF(ISNA(MATCH(B639,Staff!$A$2:$A$101,0)),"Unknown employee",IF(H639="?","Unknown site",IF(G639&lt;=0,"Check times",IF(G639&gt;12,"Over 12h",IF(COUNTIFS($L$2:$L$2001,L639)&gt;1,"Duplicate?",IF(A639&gt;TODAY(),"Future date","OK"))))))))</f>
        <v/>
      </c>
      <c r="L639">
        <f>IF(A639="","",TEXT(A639,"yyyy-mm-dd")&amp;"|"&amp;B639&amp;"|"&amp;C639)</f>
        <v/>
      </c>
    </row>
    <row r="640">
      <c r="A640" s="4" t="n"/>
      <c r="D640" s="5" t="n"/>
      <c r="E640" s="5" t="n"/>
      <c r="G640" s="6">
        <f>IF(OR(A640="",D640="",E640=""),"",ROUND(MOD(E640-D640,1)*24-N(F640)/60,2))</f>
        <v/>
      </c>
      <c r="H640" s="7">
        <f>IF(C640="","",IFERROR(INDEX(Sites!$B$2:$B$501,MATCH(C640,Sites!$A$2:$A$501,0)),"?"))</f>
        <v/>
      </c>
      <c r="I640" s="8">
        <f>IF(A640="","",A640-WEEKDAY(A640,3))</f>
        <v/>
      </c>
      <c r="K640" s="7">
        <f>IF(A640="","",IF(OR(B640="",C640="",D640="",E640=""),"Missing info",IF(ISNA(MATCH(B640,Staff!$A$2:$A$101,0)),"Unknown employee",IF(H640="?","Unknown site",IF(G640&lt;=0,"Check times",IF(G640&gt;12,"Over 12h",IF(COUNTIFS($L$2:$L$2001,L640)&gt;1,"Duplicate?",IF(A640&gt;TODAY(),"Future date","OK"))))))))</f>
        <v/>
      </c>
      <c r="L640">
        <f>IF(A640="","",TEXT(A640,"yyyy-mm-dd")&amp;"|"&amp;B640&amp;"|"&amp;C640)</f>
        <v/>
      </c>
    </row>
    <row r="641">
      <c r="A641" s="4" t="n"/>
      <c r="D641" s="5" t="n"/>
      <c r="E641" s="5" t="n"/>
      <c r="G641" s="6">
        <f>IF(OR(A641="",D641="",E641=""),"",ROUND(MOD(E641-D641,1)*24-N(F641)/60,2))</f>
        <v/>
      </c>
      <c r="H641" s="7">
        <f>IF(C641="","",IFERROR(INDEX(Sites!$B$2:$B$501,MATCH(C641,Sites!$A$2:$A$501,0)),"?"))</f>
        <v/>
      </c>
      <c r="I641" s="8">
        <f>IF(A641="","",A641-WEEKDAY(A641,3))</f>
        <v/>
      </c>
      <c r="K641" s="7">
        <f>IF(A641="","",IF(OR(B641="",C641="",D641="",E641=""),"Missing info",IF(ISNA(MATCH(B641,Staff!$A$2:$A$101,0)),"Unknown employee",IF(H641="?","Unknown site",IF(G641&lt;=0,"Check times",IF(G641&gt;12,"Over 12h",IF(COUNTIFS($L$2:$L$2001,L641)&gt;1,"Duplicate?",IF(A641&gt;TODAY(),"Future date","OK"))))))))</f>
        <v/>
      </c>
      <c r="L641">
        <f>IF(A641="","",TEXT(A641,"yyyy-mm-dd")&amp;"|"&amp;B641&amp;"|"&amp;C641)</f>
        <v/>
      </c>
    </row>
    <row r="642">
      <c r="A642" s="4" t="n"/>
      <c r="D642" s="5" t="n"/>
      <c r="E642" s="5" t="n"/>
      <c r="G642" s="6">
        <f>IF(OR(A642="",D642="",E642=""),"",ROUND(MOD(E642-D642,1)*24-N(F642)/60,2))</f>
        <v/>
      </c>
      <c r="H642" s="7">
        <f>IF(C642="","",IFERROR(INDEX(Sites!$B$2:$B$501,MATCH(C642,Sites!$A$2:$A$501,0)),"?"))</f>
        <v/>
      </c>
      <c r="I642" s="8">
        <f>IF(A642="","",A642-WEEKDAY(A642,3))</f>
        <v/>
      </c>
      <c r="K642" s="7">
        <f>IF(A642="","",IF(OR(B642="",C642="",D642="",E642=""),"Missing info",IF(ISNA(MATCH(B642,Staff!$A$2:$A$101,0)),"Unknown employee",IF(H642="?","Unknown site",IF(G642&lt;=0,"Check times",IF(G642&gt;12,"Over 12h",IF(COUNTIFS($L$2:$L$2001,L642)&gt;1,"Duplicate?",IF(A642&gt;TODAY(),"Future date","OK"))))))))</f>
        <v/>
      </c>
      <c r="L642">
        <f>IF(A642="","",TEXT(A642,"yyyy-mm-dd")&amp;"|"&amp;B642&amp;"|"&amp;C642)</f>
        <v/>
      </c>
    </row>
    <row r="643">
      <c r="A643" s="4" t="n"/>
      <c r="D643" s="5" t="n"/>
      <c r="E643" s="5" t="n"/>
      <c r="G643" s="6">
        <f>IF(OR(A643="",D643="",E643=""),"",ROUND(MOD(E643-D643,1)*24-N(F643)/60,2))</f>
        <v/>
      </c>
      <c r="H643" s="7">
        <f>IF(C643="","",IFERROR(INDEX(Sites!$B$2:$B$501,MATCH(C643,Sites!$A$2:$A$501,0)),"?"))</f>
        <v/>
      </c>
      <c r="I643" s="8">
        <f>IF(A643="","",A643-WEEKDAY(A643,3))</f>
        <v/>
      </c>
      <c r="K643" s="7">
        <f>IF(A643="","",IF(OR(B643="",C643="",D643="",E643=""),"Missing info",IF(ISNA(MATCH(B643,Staff!$A$2:$A$101,0)),"Unknown employee",IF(H643="?","Unknown site",IF(G643&lt;=0,"Check times",IF(G643&gt;12,"Over 12h",IF(COUNTIFS($L$2:$L$2001,L643)&gt;1,"Duplicate?",IF(A643&gt;TODAY(),"Future date","OK"))))))))</f>
        <v/>
      </c>
      <c r="L643">
        <f>IF(A643="","",TEXT(A643,"yyyy-mm-dd")&amp;"|"&amp;B643&amp;"|"&amp;C643)</f>
        <v/>
      </c>
    </row>
    <row r="644">
      <c r="A644" s="4" t="n"/>
      <c r="D644" s="5" t="n"/>
      <c r="E644" s="5" t="n"/>
      <c r="G644" s="6">
        <f>IF(OR(A644="",D644="",E644=""),"",ROUND(MOD(E644-D644,1)*24-N(F644)/60,2))</f>
        <v/>
      </c>
      <c r="H644" s="7">
        <f>IF(C644="","",IFERROR(INDEX(Sites!$B$2:$B$501,MATCH(C644,Sites!$A$2:$A$501,0)),"?"))</f>
        <v/>
      </c>
      <c r="I644" s="8">
        <f>IF(A644="","",A644-WEEKDAY(A644,3))</f>
        <v/>
      </c>
      <c r="K644" s="7">
        <f>IF(A644="","",IF(OR(B644="",C644="",D644="",E644=""),"Missing info",IF(ISNA(MATCH(B644,Staff!$A$2:$A$101,0)),"Unknown employee",IF(H644="?","Unknown site",IF(G644&lt;=0,"Check times",IF(G644&gt;12,"Over 12h",IF(COUNTIFS($L$2:$L$2001,L644)&gt;1,"Duplicate?",IF(A644&gt;TODAY(),"Future date","OK"))))))))</f>
        <v/>
      </c>
      <c r="L644">
        <f>IF(A644="","",TEXT(A644,"yyyy-mm-dd")&amp;"|"&amp;B644&amp;"|"&amp;C644)</f>
        <v/>
      </c>
    </row>
    <row r="645">
      <c r="A645" s="4" t="n"/>
      <c r="D645" s="5" t="n"/>
      <c r="E645" s="5" t="n"/>
      <c r="G645" s="6">
        <f>IF(OR(A645="",D645="",E645=""),"",ROUND(MOD(E645-D645,1)*24-N(F645)/60,2))</f>
        <v/>
      </c>
      <c r="H645" s="7">
        <f>IF(C645="","",IFERROR(INDEX(Sites!$B$2:$B$501,MATCH(C645,Sites!$A$2:$A$501,0)),"?"))</f>
        <v/>
      </c>
      <c r="I645" s="8">
        <f>IF(A645="","",A645-WEEKDAY(A645,3))</f>
        <v/>
      </c>
      <c r="K645" s="7">
        <f>IF(A645="","",IF(OR(B645="",C645="",D645="",E645=""),"Missing info",IF(ISNA(MATCH(B645,Staff!$A$2:$A$101,0)),"Unknown employee",IF(H645="?","Unknown site",IF(G645&lt;=0,"Check times",IF(G645&gt;12,"Over 12h",IF(COUNTIFS($L$2:$L$2001,L645)&gt;1,"Duplicate?",IF(A645&gt;TODAY(),"Future date","OK"))))))))</f>
        <v/>
      </c>
      <c r="L645">
        <f>IF(A645="","",TEXT(A645,"yyyy-mm-dd")&amp;"|"&amp;B645&amp;"|"&amp;C645)</f>
        <v/>
      </c>
    </row>
    <row r="646">
      <c r="A646" s="4" t="n"/>
      <c r="D646" s="5" t="n"/>
      <c r="E646" s="5" t="n"/>
      <c r="G646" s="6">
        <f>IF(OR(A646="",D646="",E646=""),"",ROUND(MOD(E646-D646,1)*24-N(F646)/60,2))</f>
        <v/>
      </c>
      <c r="H646" s="7">
        <f>IF(C646="","",IFERROR(INDEX(Sites!$B$2:$B$501,MATCH(C646,Sites!$A$2:$A$501,0)),"?"))</f>
        <v/>
      </c>
      <c r="I646" s="8">
        <f>IF(A646="","",A646-WEEKDAY(A646,3))</f>
        <v/>
      </c>
      <c r="K646" s="7">
        <f>IF(A646="","",IF(OR(B646="",C646="",D646="",E646=""),"Missing info",IF(ISNA(MATCH(B646,Staff!$A$2:$A$101,0)),"Unknown employee",IF(H646="?","Unknown site",IF(G646&lt;=0,"Check times",IF(G646&gt;12,"Over 12h",IF(COUNTIFS($L$2:$L$2001,L646)&gt;1,"Duplicate?",IF(A646&gt;TODAY(),"Future date","OK"))))))))</f>
        <v/>
      </c>
      <c r="L646">
        <f>IF(A646="","",TEXT(A646,"yyyy-mm-dd")&amp;"|"&amp;B646&amp;"|"&amp;C646)</f>
        <v/>
      </c>
    </row>
    <row r="647">
      <c r="A647" s="4" t="n"/>
      <c r="D647" s="5" t="n"/>
      <c r="E647" s="5" t="n"/>
      <c r="G647" s="6">
        <f>IF(OR(A647="",D647="",E647=""),"",ROUND(MOD(E647-D647,1)*24-N(F647)/60,2))</f>
        <v/>
      </c>
      <c r="H647" s="7">
        <f>IF(C647="","",IFERROR(INDEX(Sites!$B$2:$B$501,MATCH(C647,Sites!$A$2:$A$501,0)),"?"))</f>
        <v/>
      </c>
      <c r="I647" s="8">
        <f>IF(A647="","",A647-WEEKDAY(A647,3))</f>
        <v/>
      </c>
      <c r="K647" s="7">
        <f>IF(A647="","",IF(OR(B647="",C647="",D647="",E647=""),"Missing info",IF(ISNA(MATCH(B647,Staff!$A$2:$A$101,0)),"Unknown employee",IF(H647="?","Unknown site",IF(G647&lt;=0,"Check times",IF(G647&gt;12,"Over 12h",IF(COUNTIFS($L$2:$L$2001,L647)&gt;1,"Duplicate?",IF(A647&gt;TODAY(),"Future date","OK"))))))))</f>
        <v/>
      </c>
      <c r="L647">
        <f>IF(A647="","",TEXT(A647,"yyyy-mm-dd")&amp;"|"&amp;B647&amp;"|"&amp;C647)</f>
        <v/>
      </c>
    </row>
    <row r="648">
      <c r="A648" s="4" t="n"/>
      <c r="D648" s="5" t="n"/>
      <c r="E648" s="5" t="n"/>
      <c r="G648" s="6">
        <f>IF(OR(A648="",D648="",E648=""),"",ROUND(MOD(E648-D648,1)*24-N(F648)/60,2))</f>
        <v/>
      </c>
      <c r="H648" s="7">
        <f>IF(C648="","",IFERROR(INDEX(Sites!$B$2:$B$501,MATCH(C648,Sites!$A$2:$A$501,0)),"?"))</f>
        <v/>
      </c>
      <c r="I648" s="8">
        <f>IF(A648="","",A648-WEEKDAY(A648,3))</f>
        <v/>
      </c>
      <c r="K648" s="7">
        <f>IF(A648="","",IF(OR(B648="",C648="",D648="",E648=""),"Missing info",IF(ISNA(MATCH(B648,Staff!$A$2:$A$101,0)),"Unknown employee",IF(H648="?","Unknown site",IF(G648&lt;=0,"Check times",IF(G648&gt;12,"Over 12h",IF(COUNTIFS($L$2:$L$2001,L648)&gt;1,"Duplicate?",IF(A648&gt;TODAY(),"Future date","OK"))))))))</f>
        <v/>
      </c>
      <c r="L648">
        <f>IF(A648="","",TEXT(A648,"yyyy-mm-dd")&amp;"|"&amp;B648&amp;"|"&amp;C648)</f>
        <v/>
      </c>
    </row>
    <row r="649">
      <c r="A649" s="4" t="n"/>
      <c r="D649" s="5" t="n"/>
      <c r="E649" s="5" t="n"/>
      <c r="G649" s="6">
        <f>IF(OR(A649="",D649="",E649=""),"",ROUND(MOD(E649-D649,1)*24-N(F649)/60,2))</f>
        <v/>
      </c>
      <c r="H649" s="7">
        <f>IF(C649="","",IFERROR(INDEX(Sites!$B$2:$B$501,MATCH(C649,Sites!$A$2:$A$501,0)),"?"))</f>
        <v/>
      </c>
      <c r="I649" s="8">
        <f>IF(A649="","",A649-WEEKDAY(A649,3))</f>
        <v/>
      </c>
      <c r="K649" s="7">
        <f>IF(A649="","",IF(OR(B649="",C649="",D649="",E649=""),"Missing info",IF(ISNA(MATCH(B649,Staff!$A$2:$A$101,0)),"Unknown employee",IF(H649="?","Unknown site",IF(G649&lt;=0,"Check times",IF(G649&gt;12,"Over 12h",IF(COUNTIFS($L$2:$L$2001,L649)&gt;1,"Duplicate?",IF(A649&gt;TODAY(),"Future date","OK"))))))))</f>
        <v/>
      </c>
      <c r="L649">
        <f>IF(A649="","",TEXT(A649,"yyyy-mm-dd")&amp;"|"&amp;B649&amp;"|"&amp;C649)</f>
        <v/>
      </c>
    </row>
    <row r="650">
      <c r="A650" s="4" t="n"/>
      <c r="D650" s="5" t="n"/>
      <c r="E650" s="5" t="n"/>
      <c r="G650" s="6">
        <f>IF(OR(A650="",D650="",E650=""),"",ROUND(MOD(E650-D650,1)*24-N(F650)/60,2))</f>
        <v/>
      </c>
      <c r="H650" s="7">
        <f>IF(C650="","",IFERROR(INDEX(Sites!$B$2:$B$501,MATCH(C650,Sites!$A$2:$A$501,0)),"?"))</f>
        <v/>
      </c>
      <c r="I650" s="8">
        <f>IF(A650="","",A650-WEEKDAY(A650,3))</f>
        <v/>
      </c>
      <c r="K650" s="7">
        <f>IF(A650="","",IF(OR(B650="",C650="",D650="",E650=""),"Missing info",IF(ISNA(MATCH(B650,Staff!$A$2:$A$101,0)),"Unknown employee",IF(H650="?","Unknown site",IF(G650&lt;=0,"Check times",IF(G650&gt;12,"Over 12h",IF(COUNTIFS($L$2:$L$2001,L650)&gt;1,"Duplicate?",IF(A650&gt;TODAY(),"Future date","OK"))))))))</f>
        <v/>
      </c>
      <c r="L650">
        <f>IF(A650="","",TEXT(A650,"yyyy-mm-dd")&amp;"|"&amp;B650&amp;"|"&amp;C650)</f>
        <v/>
      </c>
    </row>
    <row r="651">
      <c r="A651" s="4" t="n"/>
      <c r="D651" s="5" t="n"/>
      <c r="E651" s="5" t="n"/>
      <c r="G651" s="6">
        <f>IF(OR(A651="",D651="",E651=""),"",ROUND(MOD(E651-D651,1)*24-N(F651)/60,2))</f>
        <v/>
      </c>
      <c r="H651" s="7">
        <f>IF(C651="","",IFERROR(INDEX(Sites!$B$2:$B$501,MATCH(C651,Sites!$A$2:$A$501,0)),"?"))</f>
        <v/>
      </c>
      <c r="I651" s="8">
        <f>IF(A651="","",A651-WEEKDAY(A651,3))</f>
        <v/>
      </c>
      <c r="K651" s="7">
        <f>IF(A651="","",IF(OR(B651="",C651="",D651="",E651=""),"Missing info",IF(ISNA(MATCH(B651,Staff!$A$2:$A$101,0)),"Unknown employee",IF(H651="?","Unknown site",IF(G651&lt;=0,"Check times",IF(G651&gt;12,"Over 12h",IF(COUNTIFS($L$2:$L$2001,L651)&gt;1,"Duplicate?",IF(A651&gt;TODAY(),"Future date","OK"))))))))</f>
        <v/>
      </c>
      <c r="L651">
        <f>IF(A651="","",TEXT(A651,"yyyy-mm-dd")&amp;"|"&amp;B651&amp;"|"&amp;C651)</f>
        <v/>
      </c>
    </row>
    <row r="652">
      <c r="A652" s="4" t="n"/>
      <c r="D652" s="5" t="n"/>
      <c r="E652" s="5" t="n"/>
      <c r="G652" s="6">
        <f>IF(OR(A652="",D652="",E652=""),"",ROUND(MOD(E652-D652,1)*24-N(F652)/60,2))</f>
        <v/>
      </c>
      <c r="H652" s="7">
        <f>IF(C652="","",IFERROR(INDEX(Sites!$B$2:$B$501,MATCH(C652,Sites!$A$2:$A$501,0)),"?"))</f>
        <v/>
      </c>
      <c r="I652" s="8">
        <f>IF(A652="","",A652-WEEKDAY(A652,3))</f>
        <v/>
      </c>
      <c r="K652" s="7">
        <f>IF(A652="","",IF(OR(B652="",C652="",D652="",E652=""),"Missing info",IF(ISNA(MATCH(B652,Staff!$A$2:$A$101,0)),"Unknown employee",IF(H652="?","Unknown site",IF(G652&lt;=0,"Check times",IF(G652&gt;12,"Over 12h",IF(COUNTIFS($L$2:$L$2001,L652)&gt;1,"Duplicate?",IF(A652&gt;TODAY(),"Future date","OK"))))))))</f>
        <v/>
      </c>
      <c r="L652">
        <f>IF(A652="","",TEXT(A652,"yyyy-mm-dd")&amp;"|"&amp;B652&amp;"|"&amp;C652)</f>
        <v/>
      </c>
    </row>
    <row r="653">
      <c r="A653" s="4" t="n"/>
      <c r="D653" s="5" t="n"/>
      <c r="E653" s="5" t="n"/>
      <c r="G653" s="6">
        <f>IF(OR(A653="",D653="",E653=""),"",ROUND(MOD(E653-D653,1)*24-N(F653)/60,2))</f>
        <v/>
      </c>
      <c r="H653" s="7">
        <f>IF(C653="","",IFERROR(INDEX(Sites!$B$2:$B$501,MATCH(C653,Sites!$A$2:$A$501,0)),"?"))</f>
        <v/>
      </c>
      <c r="I653" s="8">
        <f>IF(A653="","",A653-WEEKDAY(A653,3))</f>
        <v/>
      </c>
      <c r="K653" s="7">
        <f>IF(A653="","",IF(OR(B653="",C653="",D653="",E653=""),"Missing info",IF(ISNA(MATCH(B653,Staff!$A$2:$A$101,0)),"Unknown employee",IF(H653="?","Unknown site",IF(G653&lt;=0,"Check times",IF(G653&gt;12,"Over 12h",IF(COUNTIFS($L$2:$L$2001,L653)&gt;1,"Duplicate?",IF(A653&gt;TODAY(),"Future date","OK"))))))))</f>
        <v/>
      </c>
      <c r="L653">
        <f>IF(A653="","",TEXT(A653,"yyyy-mm-dd")&amp;"|"&amp;B653&amp;"|"&amp;C653)</f>
        <v/>
      </c>
    </row>
    <row r="654">
      <c r="A654" s="4" t="n"/>
      <c r="D654" s="5" t="n"/>
      <c r="E654" s="5" t="n"/>
      <c r="G654" s="6">
        <f>IF(OR(A654="",D654="",E654=""),"",ROUND(MOD(E654-D654,1)*24-N(F654)/60,2))</f>
        <v/>
      </c>
      <c r="H654" s="7">
        <f>IF(C654="","",IFERROR(INDEX(Sites!$B$2:$B$501,MATCH(C654,Sites!$A$2:$A$501,0)),"?"))</f>
        <v/>
      </c>
      <c r="I654" s="8">
        <f>IF(A654="","",A654-WEEKDAY(A654,3))</f>
        <v/>
      </c>
      <c r="K654" s="7">
        <f>IF(A654="","",IF(OR(B654="",C654="",D654="",E654=""),"Missing info",IF(ISNA(MATCH(B654,Staff!$A$2:$A$101,0)),"Unknown employee",IF(H654="?","Unknown site",IF(G654&lt;=0,"Check times",IF(G654&gt;12,"Over 12h",IF(COUNTIFS($L$2:$L$2001,L654)&gt;1,"Duplicate?",IF(A654&gt;TODAY(),"Future date","OK"))))))))</f>
        <v/>
      </c>
      <c r="L654">
        <f>IF(A654="","",TEXT(A654,"yyyy-mm-dd")&amp;"|"&amp;B654&amp;"|"&amp;C654)</f>
        <v/>
      </c>
    </row>
    <row r="655">
      <c r="A655" s="4" t="n"/>
      <c r="D655" s="5" t="n"/>
      <c r="E655" s="5" t="n"/>
      <c r="G655" s="6">
        <f>IF(OR(A655="",D655="",E655=""),"",ROUND(MOD(E655-D655,1)*24-N(F655)/60,2))</f>
        <v/>
      </c>
      <c r="H655" s="7">
        <f>IF(C655="","",IFERROR(INDEX(Sites!$B$2:$B$501,MATCH(C655,Sites!$A$2:$A$501,0)),"?"))</f>
        <v/>
      </c>
      <c r="I655" s="8">
        <f>IF(A655="","",A655-WEEKDAY(A655,3))</f>
        <v/>
      </c>
      <c r="K655" s="7">
        <f>IF(A655="","",IF(OR(B655="",C655="",D655="",E655=""),"Missing info",IF(ISNA(MATCH(B655,Staff!$A$2:$A$101,0)),"Unknown employee",IF(H655="?","Unknown site",IF(G655&lt;=0,"Check times",IF(G655&gt;12,"Over 12h",IF(COUNTIFS($L$2:$L$2001,L655)&gt;1,"Duplicate?",IF(A655&gt;TODAY(),"Future date","OK"))))))))</f>
        <v/>
      </c>
      <c r="L655">
        <f>IF(A655="","",TEXT(A655,"yyyy-mm-dd")&amp;"|"&amp;B655&amp;"|"&amp;C655)</f>
        <v/>
      </c>
    </row>
    <row r="656">
      <c r="A656" s="4" t="n"/>
      <c r="D656" s="5" t="n"/>
      <c r="E656" s="5" t="n"/>
      <c r="G656" s="6">
        <f>IF(OR(A656="",D656="",E656=""),"",ROUND(MOD(E656-D656,1)*24-N(F656)/60,2))</f>
        <v/>
      </c>
      <c r="H656" s="7">
        <f>IF(C656="","",IFERROR(INDEX(Sites!$B$2:$B$501,MATCH(C656,Sites!$A$2:$A$501,0)),"?"))</f>
        <v/>
      </c>
      <c r="I656" s="8">
        <f>IF(A656="","",A656-WEEKDAY(A656,3))</f>
        <v/>
      </c>
      <c r="K656" s="7">
        <f>IF(A656="","",IF(OR(B656="",C656="",D656="",E656=""),"Missing info",IF(ISNA(MATCH(B656,Staff!$A$2:$A$101,0)),"Unknown employee",IF(H656="?","Unknown site",IF(G656&lt;=0,"Check times",IF(G656&gt;12,"Over 12h",IF(COUNTIFS($L$2:$L$2001,L656)&gt;1,"Duplicate?",IF(A656&gt;TODAY(),"Future date","OK"))))))))</f>
        <v/>
      </c>
      <c r="L656">
        <f>IF(A656="","",TEXT(A656,"yyyy-mm-dd")&amp;"|"&amp;B656&amp;"|"&amp;C656)</f>
        <v/>
      </c>
    </row>
    <row r="657">
      <c r="A657" s="4" t="n"/>
      <c r="D657" s="5" t="n"/>
      <c r="E657" s="5" t="n"/>
      <c r="G657" s="6">
        <f>IF(OR(A657="",D657="",E657=""),"",ROUND(MOD(E657-D657,1)*24-N(F657)/60,2))</f>
        <v/>
      </c>
      <c r="H657" s="7">
        <f>IF(C657="","",IFERROR(INDEX(Sites!$B$2:$B$501,MATCH(C657,Sites!$A$2:$A$501,0)),"?"))</f>
        <v/>
      </c>
      <c r="I657" s="8">
        <f>IF(A657="","",A657-WEEKDAY(A657,3))</f>
        <v/>
      </c>
      <c r="K657" s="7">
        <f>IF(A657="","",IF(OR(B657="",C657="",D657="",E657=""),"Missing info",IF(ISNA(MATCH(B657,Staff!$A$2:$A$101,0)),"Unknown employee",IF(H657="?","Unknown site",IF(G657&lt;=0,"Check times",IF(G657&gt;12,"Over 12h",IF(COUNTIFS($L$2:$L$2001,L657)&gt;1,"Duplicate?",IF(A657&gt;TODAY(),"Future date","OK"))))))))</f>
        <v/>
      </c>
      <c r="L657">
        <f>IF(A657="","",TEXT(A657,"yyyy-mm-dd")&amp;"|"&amp;B657&amp;"|"&amp;C657)</f>
        <v/>
      </c>
    </row>
    <row r="658">
      <c r="A658" s="4" t="n"/>
      <c r="D658" s="5" t="n"/>
      <c r="E658" s="5" t="n"/>
      <c r="G658" s="6">
        <f>IF(OR(A658="",D658="",E658=""),"",ROUND(MOD(E658-D658,1)*24-N(F658)/60,2))</f>
        <v/>
      </c>
      <c r="H658" s="7">
        <f>IF(C658="","",IFERROR(INDEX(Sites!$B$2:$B$501,MATCH(C658,Sites!$A$2:$A$501,0)),"?"))</f>
        <v/>
      </c>
      <c r="I658" s="8">
        <f>IF(A658="","",A658-WEEKDAY(A658,3))</f>
        <v/>
      </c>
      <c r="K658" s="7">
        <f>IF(A658="","",IF(OR(B658="",C658="",D658="",E658=""),"Missing info",IF(ISNA(MATCH(B658,Staff!$A$2:$A$101,0)),"Unknown employee",IF(H658="?","Unknown site",IF(G658&lt;=0,"Check times",IF(G658&gt;12,"Over 12h",IF(COUNTIFS($L$2:$L$2001,L658)&gt;1,"Duplicate?",IF(A658&gt;TODAY(),"Future date","OK"))))))))</f>
        <v/>
      </c>
      <c r="L658">
        <f>IF(A658="","",TEXT(A658,"yyyy-mm-dd")&amp;"|"&amp;B658&amp;"|"&amp;C658)</f>
        <v/>
      </c>
    </row>
    <row r="659">
      <c r="A659" s="4" t="n"/>
      <c r="D659" s="5" t="n"/>
      <c r="E659" s="5" t="n"/>
      <c r="G659" s="6">
        <f>IF(OR(A659="",D659="",E659=""),"",ROUND(MOD(E659-D659,1)*24-N(F659)/60,2))</f>
        <v/>
      </c>
      <c r="H659" s="7">
        <f>IF(C659="","",IFERROR(INDEX(Sites!$B$2:$B$501,MATCH(C659,Sites!$A$2:$A$501,0)),"?"))</f>
        <v/>
      </c>
      <c r="I659" s="8">
        <f>IF(A659="","",A659-WEEKDAY(A659,3))</f>
        <v/>
      </c>
      <c r="K659" s="7">
        <f>IF(A659="","",IF(OR(B659="",C659="",D659="",E659=""),"Missing info",IF(ISNA(MATCH(B659,Staff!$A$2:$A$101,0)),"Unknown employee",IF(H659="?","Unknown site",IF(G659&lt;=0,"Check times",IF(G659&gt;12,"Over 12h",IF(COUNTIFS($L$2:$L$2001,L659)&gt;1,"Duplicate?",IF(A659&gt;TODAY(),"Future date","OK"))))))))</f>
        <v/>
      </c>
      <c r="L659">
        <f>IF(A659="","",TEXT(A659,"yyyy-mm-dd")&amp;"|"&amp;B659&amp;"|"&amp;C659)</f>
        <v/>
      </c>
    </row>
    <row r="660">
      <c r="A660" s="4" t="n"/>
      <c r="D660" s="5" t="n"/>
      <c r="E660" s="5" t="n"/>
      <c r="G660" s="6">
        <f>IF(OR(A660="",D660="",E660=""),"",ROUND(MOD(E660-D660,1)*24-N(F660)/60,2))</f>
        <v/>
      </c>
      <c r="H660" s="7">
        <f>IF(C660="","",IFERROR(INDEX(Sites!$B$2:$B$501,MATCH(C660,Sites!$A$2:$A$501,0)),"?"))</f>
        <v/>
      </c>
      <c r="I660" s="8">
        <f>IF(A660="","",A660-WEEKDAY(A660,3))</f>
        <v/>
      </c>
      <c r="K660" s="7">
        <f>IF(A660="","",IF(OR(B660="",C660="",D660="",E660=""),"Missing info",IF(ISNA(MATCH(B660,Staff!$A$2:$A$101,0)),"Unknown employee",IF(H660="?","Unknown site",IF(G660&lt;=0,"Check times",IF(G660&gt;12,"Over 12h",IF(COUNTIFS($L$2:$L$2001,L660)&gt;1,"Duplicate?",IF(A660&gt;TODAY(),"Future date","OK"))))))))</f>
        <v/>
      </c>
      <c r="L660">
        <f>IF(A660="","",TEXT(A660,"yyyy-mm-dd")&amp;"|"&amp;B660&amp;"|"&amp;C660)</f>
        <v/>
      </c>
    </row>
    <row r="661">
      <c r="A661" s="4" t="n"/>
      <c r="D661" s="5" t="n"/>
      <c r="E661" s="5" t="n"/>
      <c r="G661" s="6">
        <f>IF(OR(A661="",D661="",E661=""),"",ROUND(MOD(E661-D661,1)*24-N(F661)/60,2))</f>
        <v/>
      </c>
      <c r="H661" s="7">
        <f>IF(C661="","",IFERROR(INDEX(Sites!$B$2:$B$501,MATCH(C661,Sites!$A$2:$A$501,0)),"?"))</f>
        <v/>
      </c>
      <c r="I661" s="8">
        <f>IF(A661="","",A661-WEEKDAY(A661,3))</f>
        <v/>
      </c>
      <c r="K661" s="7">
        <f>IF(A661="","",IF(OR(B661="",C661="",D661="",E661=""),"Missing info",IF(ISNA(MATCH(B661,Staff!$A$2:$A$101,0)),"Unknown employee",IF(H661="?","Unknown site",IF(G661&lt;=0,"Check times",IF(G661&gt;12,"Over 12h",IF(COUNTIFS($L$2:$L$2001,L661)&gt;1,"Duplicate?",IF(A661&gt;TODAY(),"Future date","OK"))))))))</f>
        <v/>
      </c>
      <c r="L661">
        <f>IF(A661="","",TEXT(A661,"yyyy-mm-dd")&amp;"|"&amp;B661&amp;"|"&amp;C661)</f>
        <v/>
      </c>
    </row>
    <row r="662">
      <c r="A662" s="4" t="n"/>
      <c r="D662" s="5" t="n"/>
      <c r="E662" s="5" t="n"/>
      <c r="G662" s="6">
        <f>IF(OR(A662="",D662="",E662=""),"",ROUND(MOD(E662-D662,1)*24-N(F662)/60,2))</f>
        <v/>
      </c>
      <c r="H662" s="7">
        <f>IF(C662="","",IFERROR(INDEX(Sites!$B$2:$B$501,MATCH(C662,Sites!$A$2:$A$501,0)),"?"))</f>
        <v/>
      </c>
      <c r="I662" s="8">
        <f>IF(A662="","",A662-WEEKDAY(A662,3))</f>
        <v/>
      </c>
      <c r="K662" s="7">
        <f>IF(A662="","",IF(OR(B662="",C662="",D662="",E662=""),"Missing info",IF(ISNA(MATCH(B662,Staff!$A$2:$A$101,0)),"Unknown employee",IF(H662="?","Unknown site",IF(G662&lt;=0,"Check times",IF(G662&gt;12,"Over 12h",IF(COUNTIFS($L$2:$L$2001,L662)&gt;1,"Duplicate?",IF(A662&gt;TODAY(),"Future date","OK"))))))))</f>
        <v/>
      </c>
      <c r="L662">
        <f>IF(A662="","",TEXT(A662,"yyyy-mm-dd")&amp;"|"&amp;B662&amp;"|"&amp;C662)</f>
        <v/>
      </c>
    </row>
    <row r="663">
      <c r="A663" s="4" t="n"/>
      <c r="D663" s="5" t="n"/>
      <c r="E663" s="5" t="n"/>
      <c r="G663" s="6">
        <f>IF(OR(A663="",D663="",E663=""),"",ROUND(MOD(E663-D663,1)*24-N(F663)/60,2))</f>
        <v/>
      </c>
      <c r="H663" s="7">
        <f>IF(C663="","",IFERROR(INDEX(Sites!$B$2:$B$501,MATCH(C663,Sites!$A$2:$A$501,0)),"?"))</f>
        <v/>
      </c>
      <c r="I663" s="8">
        <f>IF(A663="","",A663-WEEKDAY(A663,3))</f>
        <v/>
      </c>
      <c r="K663" s="7">
        <f>IF(A663="","",IF(OR(B663="",C663="",D663="",E663=""),"Missing info",IF(ISNA(MATCH(B663,Staff!$A$2:$A$101,0)),"Unknown employee",IF(H663="?","Unknown site",IF(G663&lt;=0,"Check times",IF(G663&gt;12,"Over 12h",IF(COUNTIFS($L$2:$L$2001,L663)&gt;1,"Duplicate?",IF(A663&gt;TODAY(),"Future date","OK"))))))))</f>
        <v/>
      </c>
      <c r="L663">
        <f>IF(A663="","",TEXT(A663,"yyyy-mm-dd")&amp;"|"&amp;B663&amp;"|"&amp;C663)</f>
        <v/>
      </c>
    </row>
    <row r="664">
      <c r="A664" s="4" t="n"/>
      <c r="D664" s="5" t="n"/>
      <c r="E664" s="5" t="n"/>
      <c r="G664" s="6">
        <f>IF(OR(A664="",D664="",E664=""),"",ROUND(MOD(E664-D664,1)*24-N(F664)/60,2))</f>
        <v/>
      </c>
      <c r="H664" s="7">
        <f>IF(C664="","",IFERROR(INDEX(Sites!$B$2:$B$501,MATCH(C664,Sites!$A$2:$A$501,0)),"?"))</f>
        <v/>
      </c>
      <c r="I664" s="8">
        <f>IF(A664="","",A664-WEEKDAY(A664,3))</f>
        <v/>
      </c>
      <c r="K664" s="7">
        <f>IF(A664="","",IF(OR(B664="",C664="",D664="",E664=""),"Missing info",IF(ISNA(MATCH(B664,Staff!$A$2:$A$101,0)),"Unknown employee",IF(H664="?","Unknown site",IF(G664&lt;=0,"Check times",IF(G664&gt;12,"Over 12h",IF(COUNTIFS($L$2:$L$2001,L664)&gt;1,"Duplicate?",IF(A664&gt;TODAY(),"Future date","OK"))))))))</f>
        <v/>
      </c>
      <c r="L664">
        <f>IF(A664="","",TEXT(A664,"yyyy-mm-dd")&amp;"|"&amp;B664&amp;"|"&amp;C664)</f>
        <v/>
      </c>
    </row>
    <row r="665">
      <c r="A665" s="4" t="n"/>
      <c r="D665" s="5" t="n"/>
      <c r="E665" s="5" t="n"/>
      <c r="G665" s="6">
        <f>IF(OR(A665="",D665="",E665=""),"",ROUND(MOD(E665-D665,1)*24-N(F665)/60,2))</f>
        <v/>
      </c>
      <c r="H665" s="7">
        <f>IF(C665="","",IFERROR(INDEX(Sites!$B$2:$B$501,MATCH(C665,Sites!$A$2:$A$501,0)),"?"))</f>
        <v/>
      </c>
      <c r="I665" s="8">
        <f>IF(A665="","",A665-WEEKDAY(A665,3))</f>
        <v/>
      </c>
      <c r="K665" s="7">
        <f>IF(A665="","",IF(OR(B665="",C665="",D665="",E665=""),"Missing info",IF(ISNA(MATCH(B665,Staff!$A$2:$A$101,0)),"Unknown employee",IF(H665="?","Unknown site",IF(G665&lt;=0,"Check times",IF(G665&gt;12,"Over 12h",IF(COUNTIFS($L$2:$L$2001,L665)&gt;1,"Duplicate?",IF(A665&gt;TODAY(),"Future date","OK"))))))))</f>
        <v/>
      </c>
      <c r="L665">
        <f>IF(A665="","",TEXT(A665,"yyyy-mm-dd")&amp;"|"&amp;B665&amp;"|"&amp;C665)</f>
        <v/>
      </c>
    </row>
    <row r="666">
      <c r="A666" s="4" t="n"/>
      <c r="D666" s="5" t="n"/>
      <c r="E666" s="5" t="n"/>
      <c r="G666" s="6">
        <f>IF(OR(A666="",D666="",E666=""),"",ROUND(MOD(E666-D666,1)*24-N(F666)/60,2))</f>
        <v/>
      </c>
      <c r="H666" s="7">
        <f>IF(C666="","",IFERROR(INDEX(Sites!$B$2:$B$501,MATCH(C666,Sites!$A$2:$A$501,0)),"?"))</f>
        <v/>
      </c>
      <c r="I666" s="8">
        <f>IF(A666="","",A666-WEEKDAY(A666,3))</f>
        <v/>
      </c>
      <c r="K666" s="7">
        <f>IF(A666="","",IF(OR(B666="",C666="",D666="",E666=""),"Missing info",IF(ISNA(MATCH(B666,Staff!$A$2:$A$101,0)),"Unknown employee",IF(H666="?","Unknown site",IF(G666&lt;=0,"Check times",IF(G666&gt;12,"Over 12h",IF(COUNTIFS($L$2:$L$2001,L666)&gt;1,"Duplicate?",IF(A666&gt;TODAY(),"Future date","OK"))))))))</f>
        <v/>
      </c>
      <c r="L666">
        <f>IF(A666="","",TEXT(A666,"yyyy-mm-dd")&amp;"|"&amp;B666&amp;"|"&amp;C666)</f>
        <v/>
      </c>
    </row>
    <row r="667">
      <c r="A667" s="4" t="n"/>
      <c r="D667" s="5" t="n"/>
      <c r="E667" s="5" t="n"/>
      <c r="G667" s="6">
        <f>IF(OR(A667="",D667="",E667=""),"",ROUND(MOD(E667-D667,1)*24-N(F667)/60,2))</f>
        <v/>
      </c>
      <c r="H667" s="7">
        <f>IF(C667="","",IFERROR(INDEX(Sites!$B$2:$B$501,MATCH(C667,Sites!$A$2:$A$501,0)),"?"))</f>
        <v/>
      </c>
      <c r="I667" s="8">
        <f>IF(A667="","",A667-WEEKDAY(A667,3))</f>
        <v/>
      </c>
      <c r="K667" s="7">
        <f>IF(A667="","",IF(OR(B667="",C667="",D667="",E667=""),"Missing info",IF(ISNA(MATCH(B667,Staff!$A$2:$A$101,0)),"Unknown employee",IF(H667="?","Unknown site",IF(G667&lt;=0,"Check times",IF(G667&gt;12,"Over 12h",IF(COUNTIFS($L$2:$L$2001,L667)&gt;1,"Duplicate?",IF(A667&gt;TODAY(),"Future date","OK"))))))))</f>
        <v/>
      </c>
      <c r="L667">
        <f>IF(A667="","",TEXT(A667,"yyyy-mm-dd")&amp;"|"&amp;B667&amp;"|"&amp;C667)</f>
        <v/>
      </c>
    </row>
    <row r="668">
      <c r="A668" s="4" t="n"/>
      <c r="D668" s="5" t="n"/>
      <c r="E668" s="5" t="n"/>
      <c r="G668" s="6">
        <f>IF(OR(A668="",D668="",E668=""),"",ROUND(MOD(E668-D668,1)*24-N(F668)/60,2))</f>
        <v/>
      </c>
      <c r="H668" s="7">
        <f>IF(C668="","",IFERROR(INDEX(Sites!$B$2:$B$501,MATCH(C668,Sites!$A$2:$A$501,0)),"?"))</f>
        <v/>
      </c>
      <c r="I668" s="8">
        <f>IF(A668="","",A668-WEEKDAY(A668,3))</f>
        <v/>
      </c>
      <c r="K668" s="7">
        <f>IF(A668="","",IF(OR(B668="",C668="",D668="",E668=""),"Missing info",IF(ISNA(MATCH(B668,Staff!$A$2:$A$101,0)),"Unknown employee",IF(H668="?","Unknown site",IF(G668&lt;=0,"Check times",IF(G668&gt;12,"Over 12h",IF(COUNTIFS($L$2:$L$2001,L668)&gt;1,"Duplicate?",IF(A668&gt;TODAY(),"Future date","OK"))))))))</f>
        <v/>
      </c>
      <c r="L668">
        <f>IF(A668="","",TEXT(A668,"yyyy-mm-dd")&amp;"|"&amp;B668&amp;"|"&amp;C668)</f>
        <v/>
      </c>
    </row>
    <row r="669">
      <c r="A669" s="4" t="n"/>
      <c r="D669" s="5" t="n"/>
      <c r="E669" s="5" t="n"/>
      <c r="G669" s="6">
        <f>IF(OR(A669="",D669="",E669=""),"",ROUND(MOD(E669-D669,1)*24-N(F669)/60,2))</f>
        <v/>
      </c>
      <c r="H669" s="7">
        <f>IF(C669="","",IFERROR(INDEX(Sites!$B$2:$B$501,MATCH(C669,Sites!$A$2:$A$501,0)),"?"))</f>
        <v/>
      </c>
      <c r="I669" s="8">
        <f>IF(A669="","",A669-WEEKDAY(A669,3))</f>
        <v/>
      </c>
      <c r="K669" s="7">
        <f>IF(A669="","",IF(OR(B669="",C669="",D669="",E669=""),"Missing info",IF(ISNA(MATCH(B669,Staff!$A$2:$A$101,0)),"Unknown employee",IF(H669="?","Unknown site",IF(G669&lt;=0,"Check times",IF(G669&gt;12,"Over 12h",IF(COUNTIFS($L$2:$L$2001,L669)&gt;1,"Duplicate?",IF(A669&gt;TODAY(),"Future date","OK"))))))))</f>
        <v/>
      </c>
      <c r="L669">
        <f>IF(A669="","",TEXT(A669,"yyyy-mm-dd")&amp;"|"&amp;B669&amp;"|"&amp;C669)</f>
        <v/>
      </c>
    </row>
    <row r="670">
      <c r="A670" s="4" t="n"/>
      <c r="D670" s="5" t="n"/>
      <c r="E670" s="5" t="n"/>
      <c r="G670" s="6">
        <f>IF(OR(A670="",D670="",E670=""),"",ROUND(MOD(E670-D670,1)*24-N(F670)/60,2))</f>
        <v/>
      </c>
      <c r="H670" s="7">
        <f>IF(C670="","",IFERROR(INDEX(Sites!$B$2:$B$501,MATCH(C670,Sites!$A$2:$A$501,0)),"?"))</f>
        <v/>
      </c>
      <c r="I670" s="8">
        <f>IF(A670="","",A670-WEEKDAY(A670,3))</f>
        <v/>
      </c>
      <c r="K670" s="7">
        <f>IF(A670="","",IF(OR(B670="",C670="",D670="",E670=""),"Missing info",IF(ISNA(MATCH(B670,Staff!$A$2:$A$101,0)),"Unknown employee",IF(H670="?","Unknown site",IF(G670&lt;=0,"Check times",IF(G670&gt;12,"Over 12h",IF(COUNTIFS($L$2:$L$2001,L670)&gt;1,"Duplicate?",IF(A670&gt;TODAY(),"Future date","OK"))))))))</f>
        <v/>
      </c>
      <c r="L670">
        <f>IF(A670="","",TEXT(A670,"yyyy-mm-dd")&amp;"|"&amp;B670&amp;"|"&amp;C670)</f>
        <v/>
      </c>
    </row>
    <row r="671">
      <c r="A671" s="4" t="n"/>
      <c r="D671" s="5" t="n"/>
      <c r="E671" s="5" t="n"/>
      <c r="G671" s="6">
        <f>IF(OR(A671="",D671="",E671=""),"",ROUND(MOD(E671-D671,1)*24-N(F671)/60,2))</f>
        <v/>
      </c>
      <c r="H671" s="7">
        <f>IF(C671="","",IFERROR(INDEX(Sites!$B$2:$B$501,MATCH(C671,Sites!$A$2:$A$501,0)),"?"))</f>
        <v/>
      </c>
      <c r="I671" s="8">
        <f>IF(A671="","",A671-WEEKDAY(A671,3))</f>
        <v/>
      </c>
      <c r="K671" s="7">
        <f>IF(A671="","",IF(OR(B671="",C671="",D671="",E671=""),"Missing info",IF(ISNA(MATCH(B671,Staff!$A$2:$A$101,0)),"Unknown employee",IF(H671="?","Unknown site",IF(G671&lt;=0,"Check times",IF(G671&gt;12,"Over 12h",IF(COUNTIFS($L$2:$L$2001,L671)&gt;1,"Duplicate?",IF(A671&gt;TODAY(),"Future date","OK"))))))))</f>
        <v/>
      </c>
      <c r="L671">
        <f>IF(A671="","",TEXT(A671,"yyyy-mm-dd")&amp;"|"&amp;B671&amp;"|"&amp;C671)</f>
        <v/>
      </c>
    </row>
    <row r="672">
      <c r="A672" s="4" t="n"/>
      <c r="D672" s="5" t="n"/>
      <c r="E672" s="5" t="n"/>
      <c r="G672" s="6">
        <f>IF(OR(A672="",D672="",E672=""),"",ROUND(MOD(E672-D672,1)*24-N(F672)/60,2))</f>
        <v/>
      </c>
      <c r="H672" s="7">
        <f>IF(C672="","",IFERROR(INDEX(Sites!$B$2:$B$501,MATCH(C672,Sites!$A$2:$A$501,0)),"?"))</f>
        <v/>
      </c>
      <c r="I672" s="8">
        <f>IF(A672="","",A672-WEEKDAY(A672,3))</f>
        <v/>
      </c>
      <c r="K672" s="7">
        <f>IF(A672="","",IF(OR(B672="",C672="",D672="",E672=""),"Missing info",IF(ISNA(MATCH(B672,Staff!$A$2:$A$101,0)),"Unknown employee",IF(H672="?","Unknown site",IF(G672&lt;=0,"Check times",IF(G672&gt;12,"Over 12h",IF(COUNTIFS($L$2:$L$2001,L672)&gt;1,"Duplicate?",IF(A672&gt;TODAY(),"Future date","OK"))))))))</f>
        <v/>
      </c>
      <c r="L672">
        <f>IF(A672="","",TEXT(A672,"yyyy-mm-dd")&amp;"|"&amp;B672&amp;"|"&amp;C672)</f>
        <v/>
      </c>
    </row>
    <row r="673">
      <c r="A673" s="4" t="n"/>
      <c r="D673" s="5" t="n"/>
      <c r="E673" s="5" t="n"/>
      <c r="G673" s="6">
        <f>IF(OR(A673="",D673="",E673=""),"",ROUND(MOD(E673-D673,1)*24-N(F673)/60,2))</f>
        <v/>
      </c>
      <c r="H673" s="7">
        <f>IF(C673="","",IFERROR(INDEX(Sites!$B$2:$B$501,MATCH(C673,Sites!$A$2:$A$501,0)),"?"))</f>
        <v/>
      </c>
      <c r="I673" s="8">
        <f>IF(A673="","",A673-WEEKDAY(A673,3))</f>
        <v/>
      </c>
      <c r="K673" s="7">
        <f>IF(A673="","",IF(OR(B673="",C673="",D673="",E673=""),"Missing info",IF(ISNA(MATCH(B673,Staff!$A$2:$A$101,0)),"Unknown employee",IF(H673="?","Unknown site",IF(G673&lt;=0,"Check times",IF(G673&gt;12,"Over 12h",IF(COUNTIFS($L$2:$L$2001,L673)&gt;1,"Duplicate?",IF(A673&gt;TODAY(),"Future date","OK"))))))))</f>
        <v/>
      </c>
      <c r="L673">
        <f>IF(A673="","",TEXT(A673,"yyyy-mm-dd")&amp;"|"&amp;B673&amp;"|"&amp;C673)</f>
        <v/>
      </c>
    </row>
    <row r="674">
      <c r="A674" s="4" t="n"/>
      <c r="D674" s="5" t="n"/>
      <c r="E674" s="5" t="n"/>
      <c r="G674" s="6">
        <f>IF(OR(A674="",D674="",E674=""),"",ROUND(MOD(E674-D674,1)*24-N(F674)/60,2))</f>
        <v/>
      </c>
      <c r="H674" s="7">
        <f>IF(C674="","",IFERROR(INDEX(Sites!$B$2:$B$501,MATCH(C674,Sites!$A$2:$A$501,0)),"?"))</f>
        <v/>
      </c>
      <c r="I674" s="8">
        <f>IF(A674="","",A674-WEEKDAY(A674,3))</f>
        <v/>
      </c>
      <c r="K674" s="7">
        <f>IF(A674="","",IF(OR(B674="",C674="",D674="",E674=""),"Missing info",IF(ISNA(MATCH(B674,Staff!$A$2:$A$101,0)),"Unknown employee",IF(H674="?","Unknown site",IF(G674&lt;=0,"Check times",IF(G674&gt;12,"Over 12h",IF(COUNTIFS($L$2:$L$2001,L674)&gt;1,"Duplicate?",IF(A674&gt;TODAY(),"Future date","OK"))))))))</f>
        <v/>
      </c>
      <c r="L674">
        <f>IF(A674="","",TEXT(A674,"yyyy-mm-dd")&amp;"|"&amp;B674&amp;"|"&amp;C674)</f>
        <v/>
      </c>
    </row>
    <row r="675">
      <c r="A675" s="4" t="n"/>
      <c r="D675" s="5" t="n"/>
      <c r="E675" s="5" t="n"/>
      <c r="G675" s="6">
        <f>IF(OR(A675="",D675="",E675=""),"",ROUND(MOD(E675-D675,1)*24-N(F675)/60,2))</f>
        <v/>
      </c>
      <c r="H675" s="7">
        <f>IF(C675="","",IFERROR(INDEX(Sites!$B$2:$B$501,MATCH(C675,Sites!$A$2:$A$501,0)),"?"))</f>
        <v/>
      </c>
      <c r="I675" s="8">
        <f>IF(A675="","",A675-WEEKDAY(A675,3))</f>
        <v/>
      </c>
      <c r="K675" s="7">
        <f>IF(A675="","",IF(OR(B675="",C675="",D675="",E675=""),"Missing info",IF(ISNA(MATCH(B675,Staff!$A$2:$A$101,0)),"Unknown employee",IF(H675="?","Unknown site",IF(G675&lt;=0,"Check times",IF(G675&gt;12,"Over 12h",IF(COUNTIFS($L$2:$L$2001,L675)&gt;1,"Duplicate?",IF(A675&gt;TODAY(),"Future date","OK"))))))))</f>
        <v/>
      </c>
      <c r="L675">
        <f>IF(A675="","",TEXT(A675,"yyyy-mm-dd")&amp;"|"&amp;B675&amp;"|"&amp;C675)</f>
        <v/>
      </c>
    </row>
    <row r="676">
      <c r="A676" s="4" t="n"/>
      <c r="D676" s="5" t="n"/>
      <c r="E676" s="5" t="n"/>
      <c r="G676" s="6">
        <f>IF(OR(A676="",D676="",E676=""),"",ROUND(MOD(E676-D676,1)*24-N(F676)/60,2))</f>
        <v/>
      </c>
      <c r="H676" s="7">
        <f>IF(C676="","",IFERROR(INDEX(Sites!$B$2:$B$501,MATCH(C676,Sites!$A$2:$A$501,0)),"?"))</f>
        <v/>
      </c>
      <c r="I676" s="8">
        <f>IF(A676="","",A676-WEEKDAY(A676,3))</f>
        <v/>
      </c>
      <c r="K676" s="7">
        <f>IF(A676="","",IF(OR(B676="",C676="",D676="",E676=""),"Missing info",IF(ISNA(MATCH(B676,Staff!$A$2:$A$101,0)),"Unknown employee",IF(H676="?","Unknown site",IF(G676&lt;=0,"Check times",IF(G676&gt;12,"Over 12h",IF(COUNTIFS($L$2:$L$2001,L676)&gt;1,"Duplicate?",IF(A676&gt;TODAY(),"Future date","OK"))))))))</f>
        <v/>
      </c>
      <c r="L676">
        <f>IF(A676="","",TEXT(A676,"yyyy-mm-dd")&amp;"|"&amp;B676&amp;"|"&amp;C676)</f>
        <v/>
      </c>
    </row>
    <row r="677">
      <c r="A677" s="4" t="n"/>
      <c r="D677" s="5" t="n"/>
      <c r="E677" s="5" t="n"/>
      <c r="G677" s="6">
        <f>IF(OR(A677="",D677="",E677=""),"",ROUND(MOD(E677-D677,1)*24-N(F677)/60,2))</f>
        <v/>
      </c>
      <c r="H677" s="7">
        <f>IF(C677="","",IFERROR(INDEX(Sites!$B$2:$B$501,MATCH(C677,Sites!$A$2:$A$501,0)),"?"))</f>
        <v/>
      </c>
      <c r="I677" s="8">
        <f>IF(A677="","",A677-WEEKDAY(A677,3))</f>
        <v/>
      </c>
      <c r="K677" s="7">
        <f>IF(A677="","",IF(OR(B677="",C677="",D677="",E677=""),"Missing info",IF(ISNA(MATCH(B677,Staff!$A$2:$A$101,0)),"Unknown employee",IF(H677="?","Unknown site",IF(G677&lt;=0,"Check times",IF(G677&gt;12,"Over 12h",IF(COUNTIFS($L$2:$L$2001,L677)&gt;1,"Duplicate?",IF(A677&gt;TODAY(),"Future date","OK"))))))))</f>
        <v/>
      </c>
      <c r="L677">
        <f>IF(A677="","",TEXT(A677,"yyyy-mm-dd")&amp;"|"&amp;B677&amp;"|"&amp;C677)</f>
        <v/>
      </c>
    </row>
    <row r="678">
      <c r="A678" s="4" t="n"/>
      <c r="D678" s="5" t="n"/>
      <c r="E678" s="5" t="n"/>
      <c r="G678" s="6">
        <f>IF(OR(A678="",D678="",E678=""),"",ROUND(MOD(E678-D678,1)*24-N(F678)/60,2))</f>
        <v/>
      </c>
      <c r="H678" s="7">
        <f>IF(C678="","",IFERROR(INDEX(Sites!$B$2:$B$501,MATCH(C678,Sites!$A$2:$A$501,0)),"?"))</f>
        <v/>
      </c>
      <c r="I678" s="8">
        <f>IF(A678="","",A678-WEEKDAY(A678,3))</f>
        <v/>
      </c>
      <c r="K678" s="7">
        <f>IF(A678="","",IF(OR(B678="",C678="",D678="",E678=""),"Missing info",IF(ISNA(MATCH(B678,Staff!$A$2:$A$101,0)),"Unknown employee",IF(H678="?","Unknown site",IF(G678&lt;=0,"Check times",IF(G678&gt;12,"Over 12h",IF(COUNTIFS($L$2:$L$2001,L678)&gt;1,"Duplicate?",IF(A678&gt;TODAY(),"Future date","OK"))))))))</f>
        <v/>
      </c>
      <c r="L678">
        <f>IF(A678="","",TEXT(A678,"yyyy-mm-dd")&amp;"|"&amp;B678&amp;"|"&amp;C678)</f>
        <v/>
      </c>
    </row>
    <row r="679">
      <c r="A679" s="4" t="n"/>
      <c r="D679" s="5" t="n"/>
      <c r="E679" s="5" t="n"/>
      <c r="G679" s="6">
        <f>IF(OR(A679="",D679="",E679=""),"",ROUND(MOD(E679-D679,1)*24-N(F679)/60,2))</f>
        <v/>
      </c>
      <c r="H679" s="7">
        <f>IF(C679="","",IFERROR(INDEX(Sites!$B$2:$B$501,MATCH(C679,Sites!$A$2:$A$501,0)),"?"))</f>
        <v/>
      </c>
      <c r="I679" s="8">
        <f>IF(A679="","",A679-WEEKDAY(A679,3))</f>
        <v/>
      </c>
      <c r="K679" s="7">
        <f>IF(A679="","",IF(OR(B679="",C679="",D679="",E679=""),"Missing info",IF(ISNA(MATCH(B679,Staff!$A$2:$A$101,0)),"Unknown employee",IF(H679="?","Unknown site",IF(G679&lt;=0,"Check times",IF(G679&gt;12,"Over 12h",IF(COUNTIFS($L$2:$L$2001,L679)&gt;1,"Duplicate?",IF(A679&gt;TODAY(),"Future date","OK"))))))))</f>
        <v/>
      </c>
      <c r="L679">
        <f>IF(A679="","",TEXT(A679,"yyyy-mm-dd")&amp;"|"&amp;B679&amp;"|"&amp;C679)</f>
        <v/>
      </c>
    </row>
    <row r="680">
      <c r="A680" s="4" t="n"/>
      <c r="D680" s="5" t="n"/>
      <c r="E680" s="5" t="n"/>
      <c r="G680" s="6">
        <f>IF(OR(A680="",D680="",E680=""),"",ROUND(MOD(E680-D680,1)*24-N(F680)/60,2))</f>
        <v/>
      </c>
      <c r="H680" s="7">
        <f>IF(C680="","",IFERROR(INDEX(Sites!$B$2:$B$501,MATCH(C680,Sites!$A$2:$A$501,0)),"?"))</f>
        <v/>
      </c>
      <c r="I680" s="8">
        <f>IF(A680="","",A680-WEEKDAY(A680,3))</f>
        <v/>
      </c>
      <c r="K680" s="7">
        <f>IF(A680="","",IF(OR(B680="",C680="",D680="",E680=""),"Missing info",IF(ISNA(MATCH(B680,Staff!$A$2:$A$101,0)),"Unknown employee",IF(H680="?","Unknown site",IF(G680&lt;=0,"Check times",IF(G680&gt;12,"Over 12h",IF(COUNTIFS($L$2:$L$2001,L680)&gt;1,"Duplicate?",IF(A680&gt;TODAY(),"Future date","OK"))))))))</f>
        <v/>
      </c>
      <c r="L680">
        <f>IF(A680="","",TEXT(A680,"yyyy-mm-dd")&amp;"|"&amp;B680&amp;"|"&amp;C680)</f>
        <v/>
      </c>
    </row>
    <row r="681">
      <c r="A681" s="4" t="n"/>
      <c r="D681" s="5" t="n"/>
      <c r="E681" s="5" t="n"/>
      <c r="G681" s="6">
        <f>IF(OR(A681="",D681="",E681=""),"",ROUND(MOD(E681-D681,1)*24-N(F681)/60,2))</f>
        <v/>
      </c>
      <c r="H681" s="7">
        <f>IF(C681="","",IFERROR(INDEX(Sites!$B$2:$B$501,MATCH(C681,Sites!$A$2:$A$501,0)),"?"))</f>
        <v/>
      </c>
      <c r="I681" s="8">
        <f>IF(A681="","",A681-WEEKDAY(A681,3))</f>
        <v/>
      </c>
      <c r="K681" s="7">
        <f>IF(A681="","",IF(OR(B681="",C681="",D681="",E681=""),"Missing info",IF(ISNA(MATCH(B681,Staff!$A$2:$A$101,0)),"Unknown employee",IF(H681="?","Unknown site",IF(G681&lt;=0,"Check times",IF(G681&gt;12,"Over 12h",IF(COUNTIFS($L$2:$L$2001,L681)&gt;1,"Duplicate?",IF(A681&gt;TODAY(),"Future date","OK"))))))))</f>
        <v/>
      </c>
      <c r="L681">
        <f>IF(A681="","",TEXT(A681,"yyyy-mm-dd")&amp;"|"&amp;B681&amp;"|"&amp;C681)</f>
        <v/>
      </c>
    </row>
    <row r="682">
      <c r="A682" s="4" t="n"/>
      <c r="D682" s="5" t="n"/>
      <c r="E682" s="5" t="n"/>
      <c r="G682" s="6">
        <f>IF(OR(A682="",D682="",E682=""),"",ROUND(MOD(E682-D682,1)*24-N(F682)/60,2))</f>
        <v/>
      </c>
      <c r="H682" s="7">
        <f>IF(C682="","",IFERROR(INDEX(Sites!$B$2:$B$501,MATCH(C682,Sites!$A$2:$A$501,0)),"?"))</f>
        <v/>
      </c>
      <c r="I682" s="8">
        <f>IF(A682="","",A682-WEEKDAY(A682,3))</f>
        <v/>
      </c>
      <c r="K682" s="7">
        <f>IF(A682="","",IF(OR(B682="",C682="",D682="",E682=""),"Missing info",IF(ISNA(MATCH(B682,Staff!$A$2:$A$101,0)),"Unknown employee",IF(H682="?","Unknown site",IF(G682&lt;=0,"Check times",IF(G682&gt;12,"Over 12h",IF(COUNTIFS($L$2:$L$2001,L682)&gt;1,"Duplicate?",IF(A682&gt;TODAY(),"Future date","OK"))))))))</f>
        <v/>
      </c>
      <c r="L682">
        <f>IF(A682="","",TEXT(A682,"yyyy-mm-dd")&amp;"|"&amp;B682&amp;"|"&amp;C682)</f>
        <v/>
      </c>
    </row>
    <row r="683">
      <c r="A683" s="4" t="n"/>
      <c r="D683" s="5" t="n"/>
      <c r="E683" s="5" t="n"/>
      <c r="G683" s="6">
        <f>IF(OR(A683="",D683="",E683=""),"",ROUND(MOD(E683-D683,1)*24-N(F683)/60,2))</f>
        <v/>
      </c>
      <c r="H683" s="7">
        <f>IF(C683="","",IFERROR(INDEX(Sites!$B$2:$B$501,MATCH(C683,Sites!$A$2:$A$501,0)),"?"))</f>
        <v/>
      </c>
      <c r="I683" s="8">
        <f>IF(A683="","",A683-WEEKDAY(A683,3))</f>
        <v/>
      </c>
      <c r="K683" s="7">
        <f>IF(A683="","",IF(OR(B683="",C683="",D683="",E683=""),"Missing info",IF(ISNA(MATCH(B683,Staff!$A$2:$A$101,0)),"Unknown employee",IF(H683="?","Unknown site",IF(G683&lt;=0,"Check times",IF(G683&gt;12,"Over 12h",IF(COUNTIFS($L$2:$L$2001,L683)&gt;1,"Duplicate?",IF(A683&gt;TODAY(),"Future date","OK"))))))))</f>
        <v/>
      </c>
      <c r="L683">
        <f>IF(A683="","",TEXT(A683,"yyyy-mm-dd")&amp;"|"&amp;B683&amp;"|"&amp;C683)</f>
        <v/>
      </c>
    </row>
    <row r="684">
      <c r="A684" s="4" t="n"/>
      <c r="D684" s="5" t="n"/>
      <c r="E684" s="5" t="n"/>
      <c r="G684" s="6">
        <f>IF(OR(A684="",D684="",E684=""),"",ROUND(MOD(E684-D684,1)*24-N(F684)/60,2))</f>
        <v/>
      </c>
      <c r="H684" s="7">
        <f>IF(C684="","",IFERROR(INDEX(Sites!$B$2:$B$501,MATCH(C684,Sites!$A$2:$A$501,0)),"?"))</f>
        <v/>
      </c>
      <c r="I684" s="8">
        <f>IF(A684="","",A684-WEEKDAY(A684,3))</f>
        <v/>
      </c>
      <c r="K684" s="7">
        <f>IF(A684="","",IF(OR(B684="",C684="",D684="",E684=""),"Missing info",IF(ISNA(MATCH(B684,Staff!$A$2:$A$101,0)),"Unknown employee",IF(H684="?","Unknown site",IF(G684&lt;=0,"Check times",IF(G684&gt;12,"Over 12h",IF(COUNTIFS($L$2:$L$2001,L684)&gt;1,"Duplicate?",IF(A684&gt;TODAY(),"Future date","OK"))))))))</f>
        <v/>
      </c>
      <c r="L684">
        <f>IF(A684="","",TEXT(A684,"yyyy-mm-dd")&amp;"|"&amp;B684&amp;"|"&amp;C684)</f>
        <v/>
      </c>
    </row>
    <row r="685">
      <c r="A685" s="4" t="n"/>
      <c r="D685" s="5" t="n"/>
      <c r="E685" s="5" t="n"/>
      <c r="G685" s="6">
        <f>IF(OR(A685="",D685="",E685=""),"",ROUND(MOD(E685-D685,1)*24-N(F685)/60,2))</f>
        <v/>
      </c>
      <c r="H685" s="7">
        <f>IF(C685="","",IFERROR(INDEX(Sites!$B$2:$B$501,MATCH(C685,Sites!$A$2:$A$501,0)),"?"))</f>
        <v/>
      </c>
      <c r="I685" s="8">
        <f>IF(A685="","",A685-WEEKDAY(A685,3))</f>
        <v/>
      </c>
      <c r="K685" s="7">
        <f>IF(A685="","",IF(OR(B685="",C685="",D685="",E685=""),"Missing info",IF(ISNA(MATCH(B685,Staff!$A$2:$A$101,0)),"Unknown employee",IF(H685="?","Unknown site",IF(G685&lt;=0,"Check times",IF(G685&gt;12,"Over 12h",IF(COUNTIFS($L$2:$L$2001,L685)&gt;1,"Duplicate?",IF(A685&gt;TODAY(),"Future date","OK"))))))))</f>
        <v/>
      </c>
      <c r="L685">
        <f>IF(A685="","",TEXT(A685,"yyyy-mm-dd")&amp;"|"&amp;B685&amp;"|"&amp;C685)</f>
        <v/>
      </c>
    </row>
    <row r="686">
      <c r="A686" s="4" t="n"/>
      <c r="D686" s="5" t="n"/>
      <c r="E686" s="5" t="n"/>
      <c r="G686" s="6">
        <f>IF(OR(A686="",D686="",E686=""),"",ROUND(MOD(E686-D686,1)*24-N(F686)/60,2))</f>
        <v/>
      </c>
      <c r="H686" s="7">
        <f>IF(C686="","",IFERROR(INDEX(Sites!$B$2:$B$501,MATCH(C686,Sites!$A$2:$A$501,0)),"?"))</f>
        <v/>
      </c>
      <c r="I686" s="8">
        <f>IF(A686="","",A686-WEEKDAY(A686,3))</f>
        <v/>
      </c>
      <c r="K686" s="7">
        <f>IF(A686="","",IF(OR(B686="",C686="",D686="",E686=""),"Missing info",IF(ISNA(MATCH(B686,Staff!$A$2:$A$101,0)),"Unknown employee",IF(H686="?","Unknown site",IF(G686&lt;=0,"Check times",IF(G686&gt;12,"Over 12h",IF(COUNTIFS($L$2:$L$2001,L686)&gt;1,"Duplicate?",IF(A686&gt;TODAY(),"Future date","OK"))))))))</f>
        <v/>
      </c>
      <c r="L686">
        <f>IF(A686="","",TEXT(A686,"yyyy-mm-dd")&amp;"|"&amp;B686&amp;"|"&amp;C686)</f>
        <v/>
      </c>
    </row>
    <row r="687">
      <c r="A687" s="4" t="n"/>
      <c r="D687" s="5" t="n"/>
      <c r="E687" s="5" t="n"/>
      <c r="G687" s="6">
        <f>IF(OR(A687="",D687="",E687=""),"",ROUND(MOD(E687-D687,1)*24-N(F687)/60,2))</f>
        <v/>
      </c>
      <c r="H687" s="7">
        <f>IF(C687="","",IFERROR(INDEX(Sites!$B$2:$B$501,MATCH(C687,Sites!$A$2:$A$501,0)),"?"))</f>
        <v/>
      </c>
      <c r="I687" s="8">
        <f>IF(A687="","",A687-WEEKDAY(A687,3))</f>
        <v/>
      </c>
      <c r="K687" s="7">
        <f>IF(A687="","",IF(OR(B687="",C687="",D687="",E687=""),"Missing info",IF(ISNA(MATCH(B687,Staff!$A$2:$A$101,0)),"Unknown employee",IF(H687="?","Unknown site",IF(G687&lt;=0,"Check times",IF(G687&gt;12,"Over 12h",IF(COUNTIFS($L$2:$L$2001,L687)&gt;1,"Duplicate?",IF(A687&gt;TODAY(),"Future date","OK"))))))))</f>
        <v/>
      </c>
      <c r="L687">
        <f>IF(A687="","",TEXT(A687,"yyyy-mm-dd")&amp;"|"&amp;B687&amp;"|"&amp;C687)</f>
        <v/>
      </c>
    </row>
    <row r="688">
      <c r="A688" s="4" t="n"/>
      <c r="D688" s="5" t="n"/>
      <c r="E688" s="5" t="n"/>
      <c r="G688" s="6">
        <f>IF(OR(A688="",D688="",E688=""),"",ROUND(MOD(E688-D688,1)*24-N(F688)/60,2))</f>
        <v/>
      </c>
      <c r="H688" s="7">
        <f>IF(C688="","",IFERROR(INDEX(Sites!$B$2:$B$501,MATCH(C688,Sites!$A$2:$A$501,0)),"?"))</f>
        <v/>
      </c>
      <c r="I688" s="8">
        <f>IF(A688="","",A688-WEEKDAY(A688,3))</f>
        <v/>
      </c>
      <c r="K688" s="7">
        <f>IF(A688="","",IF(OR(B688="",C688="",D688="",E688=""),"Missing info",IF(ISNA(MATCH(B688,Staff!$A$2:$A$101,0)),"Unknown employee",IF(H688="?","Unknown site",IF(G688&lt;=0,"Check times",IF(G688&gt;12,"Over 12h",IF(COUNTIFS($L$2:$L$2001,L688)&gt;1,"Duplicate?",IF(A688&gt;TODAY(),"Future date","OK"))))))))</f>
        <v/>
      </c>
      <c r="L688">
        <f>IF(A688="","",TEXT(A688,"yyyy-mm-dd")&amp;"|"&amp;B688&amp;"|"&amp;C688)</f>
        <v/>
      </c>
    </row>
    <row r="689">
      <c r="A689" s="4" t="n"/>
      <c r="D689" s="5" t="n"/>
      <c r="E689" s="5" t="n"/>
      <c r="G689" s="6">
        <f>IF(OR(A689="",D689="",E689=""),"",ROUND(MOD(E689-D689,1)*24-N(F689)/60,2))</f>
        <v/>
      </c>
      <c r="H689" s="7">
        <f>IF(C689="","",IFERROR(INDEX(Sites!$B$2:$B$501,MATCH(C689,Sites!$A$2:$A$501,0)),"?"))</f>
        <v/>
      </c>
      <c r="I689" s="8">
        <f>IF(A689="","",A689-WEEKDAY(A689,3))</f>
        <v/>
      </c>
      <c r="K689" s="7">
        <f>IF(A689="","",IF(OR(B689="",C689="",D689="",E689=""),"Missing info",IF(ISNA(MATCH(B689,Staff!$A$2:$A$101,0)),"Unknown employee",IF(H689="?","Unknown site",IF(G689&lt;=0,"Check times",IF(G689&gt;12,"Over 12h",IF(COUNTIFS($L$2:$L$2001,L689)&gt;1,"Duplicate?",IF(A689&gt;TODAY(),"Future date","OK"))))))))</f>
        <v/>
      </c>
      <c r="L689">
        <f>IF(A689="","",TEXT(A689,"yyyy-mm-dd")&amp;"|"&amp;B689&amp;"|"&amp;C689)</f>
        <v/>
      </c>
    </row>
    <row r="690">
      <c r="A690" s="4" t="n"/>
      <c r="D690" s="5" t="n"/>
      <c r="E690" s="5" t="n"/>
      <c r="G690" s="6">
        <f>IF(OR(A690="",D690="",E690=""),"",ROUND(MOD(E690-D690,1)*24-N(F690)/60,2))</f>
        <v/>
      </c>
      <c r="H690" s="7">
        <f>IF(C690="","",IFERROR(INDEX(Sites!$B$2:$B$501,MATCH(C690,Sites!$A$2:$A$501,0)),"?"))</f>
        <v/>
      </c>
      <c r="I690" s="8">
        <f>IF(A690="","",A690-WEEKDAY(A690,3))</f>
        <v/>
      </c>
      <c r="K690" s="7">
        <f>IF(A690="","",IF(OR(B690="",C690="",D690="",E690=""),"Missing info",IF(ISNA(MATCH(B690,Staff!$A$2:$A$101,0)),"Unknown employee",IF(H690="?","Unknown site",IF(G690&lt;=0,"Check times",IF(G690&gt;12,"Over 12h",IF(COUNTIFS($L$2:$L$2001,L690)&gt;1,"Duplicate?",IF(A690&gt;TODAY(),"Future date","OK"))))))))</f>
        <v/>
      </c>
      <c r="L690">
        <f>IF(A690="","",TEXT(A690,"yyyy-mm-dd")&amp;"|"&amp;B690&amp;"|"&amp;C690)</f>
        <v/>
      </c>
    </row>
    <row r="691">
      <c r="A691" s="4" t="n"/>
      <c r="D691" s="5" t="n"/>
      <c r="E691" s="5" t="n"/>
      <c r="G691" s="6">
        <f>IF(OR(A691="",D691="",E691=""),"",ROUND(MOD(E691-D691,1)*24-N(F691)/60,2))</f>
        <v/>
      </c>
      <c r="H691" s="7">
        <f>IF(C691="","",IFERROR(INDEX(Sites!$B$2:$B$501,MATCH(C691,Sites!$A$2:$A$501,0)),"?"))</f>
        <v/>
      </c>
      <c r="I691" s="8">
        <f>IF(A691="","",A691-WEEKDAY(A691,3))</f>
        <v/>
      </c>
      <c r="K691" s="7">
        <f>IF(A691="","",IF(OR(B691="",C691="",D691="",E691=""),"Missing info",IF(ISNA(MATCH(B691,Staff!$A$2:$A$101,0)),"Unknown employee",IF(H691="?","Unknown site",IF(G691&lt;=0,"Check times",IF(G691&gt;12,"Over 12h",IF(COUNTIFS($L$2:$L$2001,L691)&gt;1,"Duplicate?",IF(A691&gt;TODAY(),"Future date","OK"))))))))</f>
        <v/>
      </c>
      <c r="L691">
        <f>IF(A691="","",TEXT(A691,"yyyy-mm-dd")&amp;"|"&amp;B691&amp;"|"&amp;C691)</f>
        <v/>
      </c>
    </row>
    <row r="692">
      <c r="A692" s="4" t="n"/>
      <c r="D692" s="5" t="n"/>
      <c r="E692" s="5" t="n"/>
      <c r="G692" s="6">
        <f>IF(OR(A692="",D692="",E692=""),"",ROUND(MOD(E692-D692,1)*24-N(F692)/60,2))</f>
        <v/>
      </c>
      <c r="H692" s="7">
        <f>IF(C692="","",IFERROR(INDEX(Sites!$B$2:$B$501,MATCH(C692,Sites!$A$2:$A$501,0)),"?"))</f>
        <v/>
      </c>
      <c r="I692" s="8">
        <f>IF(A692="","",A692-WEEKDAY(A692,3))</f>
        <v/>
      </c>
      <c r="K692" s="7">
        <f>IF(A692="","",IF(OR(B692="",C692="",D692="",E692=""),"Missing info",IF(ISNA(MATCH(B692,Staff!$A$2:$A$101,0)),"Unknown employee",IF(H692="?","Unknown site",IF(G692&lt;=0,"Check times",IF(G692&gt;12,"Over 12h",IF(COUNTIFS($L$2:$L$2001,L692)&gt;1,"Duplicate?",IF(A692&gt;TODAY(),"Future date","OK"))))))))</f>
        <v/>
      </c>
      <c r="L692">
        <f>IF(A692="","",TEXT(A692,"yyyy-mm-dd")&amp;"|"&amp;B692&amp;"|"&amp;C692)</f>
        <v/>
      </c>
    </row>
    <row r="693">
      <c r="A693" s="4" t="n"/>
      <c r="D693" s="5" t="n"/>
      <c r="E693" s="5" t="n"/>
      <c r="G693" s="6">
        <f>IF(OR(A693="",D693="",E693=""),"",ROUND(MOD(E693-D693,1)*24-N(F693)/60,2))</f>
        <v/>
      </c>
      <c r="H693" s="7">
        <f>IF(C693="","",IFERROR(INDEX(Sites!$B$2:$B$501,MATCH(C693,Sites!$A$2:$A$501,0)),"?"))</f>
        <v/>
      </c>
      <c r="I693" s="8">
        <f>IF(A693="","",A693-WEEKDAY(A693,3))</f>
        <v/>
      </c>
      <c r="K693" s="7">
        <f>IF(A693="","",IF(OR(B693="",C693="",D693="",E693=""),"Missing info",IF(ISNA(MATCH(B693,Staff!$A$2:$A$101,0)),"Unknown employee",IF(H693="?","Unknown site",IF(G693&lt;=0,"Check times",IF(G693&gt;12,"Over 12h",IF(COUNTIFS($L$2:$L$2001,L693)&gt;1,"Duplicate?",IF(A693&gt;TODAY(),"Future date","OK"))))))))</f>
        <v/>
      </c>
      <c r="L693">
        <f>IF(A693="","",TEXT(A693,"yyyy-mm-dd")&amp;"|"&amp;B693&amp;"|"&amp;C693)</f>
        <v/>
      </c>
    </row>
    <row r="694">
      <c r="A694" s="4" t="n"/>
      <c r="D694" s="5" t="n"/>
      <c r="E694" s="5" t="n"/>
      <c r="G694" s="6">
        <f>IF(OR(A694="",D694="",E694=""),"",ROUND(MOD(E694-D694,1)*24-N(F694)/60,2))</f>
        <v/>
      </c>
      <c r="H694" s="7">
        <f>IF(C694="","",IFERROR(INDEX(Sites!$B$2:$B$501,MATCH(C694,Sites!$A$2:$A$501,0)),"?"))</f>
        <v/>
      </c>
      <c r="I694" s="8">
        <f>IF(A694="","",A694-WEEKDAY(A694,3))</f>
        <v/>
      </c>
      <c r="K694" s="7">
        <f>IF(A694="","",IF(OR(B694="",C694="",D694="",E694=""),"Missing info",IF(ISNA(MATCH(B694,Staff!$A$2:$A$101,0)),"Unknown employee",IF(H694="?","Unknown site",IF(G694&lt;=0,"Check times",IF(G694&gt;12,"Over 12h",IF(COUNTIFS($L$2:$L$2001,L694)&gt;1,"Duplicate?",IF(A694&gt;TODAY(),"Future date","OK"))))))))</f>
        <v/>
      </c>
      <c r="L694">
        <f>IF(A694="","",TEXT(A694,"yyyy-mm-dd")&amp;"|"&amp;B694&amp;"|"&amp;C694)</f>
        <v/>
      </c>
    </row>
    <row r="695">
      <c r="A695" s="4" t="n"/>
      <c r="D695" s="5" t="n"/>
      <c r="E695" s="5" t="n"/>
      <c r="G695" s="6">
        <f>IF(OR(A695="",D695="",E695=""),"",ROUND(MOD(E695-D695,1)*24-N(F695)/60,2))</f>
        <v/>
      </c>
      <c r="H695" s="7">
        <f>IF(C695="","",IFERROR(INDEX(Sites!$B$2:$B$501,MATCH(C695,Sites!$A$2:$A$501,0)),"?"))</f>
        <v/>
      </c>
      <c r="I695" s="8">
        <f>IF(A695="","",A695-WEEKDAY(A695,3))</f>
        <v/>
      </c>
      <c r="K695" s="7">
        <f>IF(A695="","",IF(OR(B695="",C695="",D695="",E695=""),"Missing info",IF(ISNA(MATCH(B695,Staff!$A$2:$A$101,0)),"Unknown employee",IF(H695="?","Unknown site",IF(G695&lt;=0,"Check times",IF(G695&gt;12,"Over 12h",IF(COUNTIFS($L$2:$L$2001,L695)&gt;1,"Duplicate?",IF(A695&gt;TODAY(),"Future date","OK"))))))))</f>
        <v/>
      </c>
      <c r="L695">
        <f>IF(A695="","",TEXT(A695,"yyyy-mm-dd")&amp;"|"&amp;B695&amp;"|"&amp;C695)</f>
        <v/>
      </c>
    </row>
    <row r="696">
      <c r="A696" s="4" t="n"/>
      <c r="D696" s="5" t="n"/>
      <c r="E696" s="5" t="n"/>
      <c r="G696" s="6">
        <f>IF(OR(A696="",D696="",E696=""),"",ROUND(MOD(E696-D696,1)*24-N(F696)/60,2))</f>
        <v/>
      </c>
      <c r="H696" s="7">
        <f>IF(C696="","",IFERROR(INDEX(Sites!$B$2:$B$501,MATCH(C696,Sites!$A$2:$A$501,0)),"?"))</f>
        <v/>
      </c>
      <c r="I696" s="8">
        <f>IF(A696="","",A696-WEEKDAY(A696,3))</f>
        <v/>
      </c>
      <c r="K696" s="7">
        <f>IF(A696="","",IF(OR(B696="",C696="",D696="",E696=""),"Missing info",IF(ISNA(MATCH(B696,Staff!$A$2:$A$101,0)),"Unknown employee",IF(H696="?","Unknown site",IF(G696&lt;=0,"Check times",IF(G696&gt;12,"Over 12h",IF(COUNTIFS($L$2:$L$2001,L696)&gt;1,"Duplicate?",IF(A696&gt;TODAY(),"Future date","OK"))))))))</f>
        <v/>
      </c>
      <c r="L696">
        <f>IF(A696="","",TEXT(A696,"yyyy-mm-dd")&amp;"|"&amp;B696&amp;"|"&amp;C696)</f>
        <v/>
      </c>
    </row>
    <row r="697">
      <c r="A697" s="4" t="n"/>
      <c r="D697" s="5" t="n"/>
      <c r="E697" s="5" t="n"/>
      <c r="G697" s="6">
        <f>IF(OR(A697="",D697="",E697=""),"",ROUND(MOD(E697-D697,1)*24-N(F697)/60,2))</f>
        <v/>
      </c>
      <c r="H697" s="7">
        <f>IF(C697="","",IFERROR(INDEX(Sites!$B$2:$B$501,MATCH(C697,Sites!$A$2:$A$501,0)),"?"))</f>
        <v/>
      </c>
      <c r="I697" s="8">
        <f>IF(A697="","",A697-WEEKDAY(A697,3))</f>
        <v/>
      </c>
      <c r="K697" s="7">
        <f>IF(A697="","",IF(OR(B697="",C697="",D697="",E697=""),"Missing info",IF(ISNA(MATCH(B697,Staff!$A$2:$A$101,0)),"Unknown employee",IF(H697="?","Unknown site",IF(G697&lt;=0,"Check times",IF(G697&gt;12,"Over 12h",IF(COUNTIFS($L$2:$L$2001,L697)&gt;1,"Duplicate?",IF(A697&gt;TODAY(),"Future date","OK"))))))))</f>
        <v/>
      </c>
      <c r="L697">
        <f>IF(A697="","",TEXT(A697,"yyyy-mm-dd")&amp;"|"&amp;B697&amp;"|"&amp;C697)</f>
        <v/>
      </c>
    </row>
    <row r="698">
      <c r="A698" s="4" t="n"/>
      <c r="D698" s="5" t="n"/>
      <c r="E698" s="5" t="n"/>
      <c r="G698" s="6">
        <f>IF(OR(A698="",D698="",E698=""),"",ROUND(MOD(E698-D698,1)*24-N(F698)/60,2))</f>
        <v/>
      </c>
      <c r="H698" s="7">
        <f>IF(C698="","",IFERROR(INDEX(Sites!$B$2:$B$501,MATCH(C698,Sites!$A$2:$A$501,0)),"?"))</f>
        <v/>
      </c>
      <c r="I698" s="8">
        <f>IF(A698="","",A698-WEEKDAY(A698,3))</f>
        <v/>
      </c>
      <c r="K698" s="7">
        <f>IF(A698="","",IF(OR(B698="",C698="",D698="",E698=""),"Missing info",IF(ISNA(MATCH(B698,Staff!$A$2:$A$101,0)),"Unknown employee",IF(H698="?","Unknown site",IF(G698&lt;=0,"Check times",IF(G698&gt;12,"Over 12h",IF(COUNTIFS($L$2:$L$2001,L698)&gt;1,"Duplicate?",IF(A698&gt;TODAY(),"Future date","OK"))))))))</f>
        <v/>
      </c>
      <c r="L698">
        <f>IF(A698="","",TEXT(A698,"yyyy-mm-dd")&amp;"|"&amp;B698&amp;"|"&amp;C698)</f>
        <v/>
      </c>
    </row>
    <row r="699">
      <c r="A699" s="4" t="n"/>
      <c r="D699" s="5" t="n"/>
      <c r="E699" s="5" t="n"/>
      <c r="G699" s="6">
        <f>IF(OR(A699="",D699="",E699=""),"",ROUND(MOD(E699-D699,1)*24-N(F699)/60,2))</f>
        <v/>
      </c>
      <c r="H699" s="7">
        <f>IF(C699="","",IFERROR(INDEX(Sites!$B$2:$B$501,MATCH(C699,Sites!$A$2:$A$501,0)),"?"))</f>
        <v/>
      </c>
      <c r="I699" s="8">
        <f>IF(A699="","",A699-WEEKDAY(A699,3))</f>
        <v/>
      </c>
      <c r="K699" s="7">
        <f>IF(A699="","",IF(OR(B699="",C699="",D699="",E699=""),"Missing info",IF(ISNA(MATCH(B699,Staff!$A$2:$A$101,0)),"Unknown employee",IF(H699="?","Unknown site",IF(G699&lt;=0,"Check times",IF(G699&gt;12,"Over 12h",IF(COUNTIFS($L$2:$L$2001,L699)&gt;1,"Duplicate?",IF(A699&gt;TODAY(),"Future date","OK"))))))))</f>
        <v/>
      </c>
      <c r="L699">
        <f>IF(A699="","",TEXT(A699,"yyyy-mm-dd")&amp;"|"&amp;B699&amp;"|"&amp;C699)</f>
        <v/>
      </c>
    </row>
    <row r="700">
      <c r="A700" s="4" t="n"/>
      <c r="D700" s="5" t="n"/>
      <c r="E700" s="5" t="n"/>
      <c r="G700" s="6">
        <f>IF(OR(A700="",D700="",E700=""),"",ROUND(MOD(E700-D700,1)*24-N(F700)/60,2))</f>
        <v/>
      </c>
      <c r="H700" s="7">
        <f>IF(C700="","",IFERROR(INDEX(Sites!$B$2:$B$501,MATCH(C700,Sites!$A$2:$A$501,0)),"?"))</f>
        <v/>
      </c>
      <c r="I700" s="8">
        <f>IF(A700="","",A700-WEEKDAY(A700,3))</f>
        <v/>
      </c>
      <c r="K700" s="7">
        <f>IF(A700="","",IF(OR(B700="",C700="",D700="",E700=""),"Missing info",IF(ISNA(MATCH(B700,Staff!$A$2:$A$101,0)),"Unknown employee",IF(H700="?","Unknown site",IF(G700&lt;=0,"Check times",IF(G700&gt;12,"Over 12h",IF(COUNTIFS($L$2:$L$2001,L700)&gt;1,"Duplicate?",IF(A700&gt;TODAY(),"Future date","OK"))))))))</f>
        <v/>
      </c>
      <c r="L700">
        <f>IF(A700="","",TEXT(A700,"yyyy-mm-dd")&amp;"|"&amp;B700&amp;"|"&amp;C700)</f>
        <v/>
      </c>
    </row>
    <row r="701">
      <c r="A701" s="4" t="n"/>
      <c r="D701" s="5" t="n"/>
      <c r="E701" s="5" t="n"/>
      <c r="G701" s="6">
        <f>IF(OR(A701="",D701="",E701=""),"",ROUND(MOD(E701-D701,1)*24-N(F701)/60,2))</f>
        <v/>
      </c>
      <c r="H701" s="7">
        <f>IF(C701="","",IFERROR(INDEX(Sites!$B$2:$B$501,MATCH(C701,Sites!$A$2:$A$501,0)),"?"))</f>
        <v/>
      </c>
      <c r="I701" s="8">
        <f>IF(A701="","",A701-WEEKDAY(A701,3))</f>
        <v/>
      </c>
      <c r="K701" s="7">
        <f>IF(A701="","",IF(OR(B701="",C701="",D701="",E701=""),"Missing info",IF(ISNA(MATCH(B701,Staff!$A$2:$A$101,0)),"Unknown employee",IF(H701="?","Unknown site",IF(G701&lt;=0,"Check times",IF(G701&gt;12,"Over 12h",IF(COUNTIFS($L$2:$L$2001,L701)&gt;1,"Duplicate?",IF(A701&gt;TODAY(),"Future date","OK"))))))))</f>
        <v/>
      </c>
      <c r="L701">
        <f>IF(A701="","",TEXT(A701,"yyyy-mm-dd")&amp;"|"&amp;B701&amp;"|"&amp;C701)</f>
        <v/>
      </c>
    </row>
    <row r="702">
      <c r="A702" s="4" t="n"/>
      <c r="D702" s="5" t="n"/>
      <c r="E702" s="5" t="n"/>
      <c r="G702" s="6">
        <f>IF(OR(A702="",D702="",E702=""),"",ROUND(MOD(E702-D702,1)*24-N(F702)/60,2))</f>
        <v/>
      </c>
      <c r="H702" s="7">
        <f>IF(C702="","",IFERROR(INDEX(Sites!$B$2:$B$501,MATCH(C702,Sites!$A$2:$A$501,0)),"?"))</f>
        <v/>
      </c>
      <c r="I702" s="8">
        <f>IF(A702="","",A702-WEEKDAY(A702,3))</f>
        <v/>
      </c>
      <c r="K702" s="7">
        <f>IF(A702="","",IF(OR(B702="",C702="",D702="",E702=""),"Missing info",IF(ISNA(MATCH(B702,Staff!$A$2:$A$101,0)),"Unknown employee",IF(H702="?","Unknown site",IF(G702&lt;=0,"Check times",IF(G702&gt;12,"Over 12h",IF(COUNTIFS($L$2:$L$2001,L702)&gt;1,"Duplicate?",IF(A702&gt;TODAY(),"Future date","OK"))))))))</f>
        <v/>
      </c>
      <c r="L702">
        <f>IF(A702="","",TEXT(A702,"yyyy-mm-dd")&amp;"|"&amp;B702&amp;"|"&amp;C702)</f>
        <v/>
      </c>
    </row>
    <row r="703">
      <c r="A703" s="4" t="n"/>
      <c r="D703" s="5" t="n"/>
      <c r="E703" s="5" t="n"/>
      <c r="G703" s="6">
        <f>IF(OR(A703="",D703="",E703=""),"",ROUND(MOD(E703-D703,1)*24-N(F703)/60,2))</f>
        <v/>
      </c>
      <c r="H703" s="7">
        <f>IF(C703="","",IFERROR(INDEX(Sites!$B$2:$B$501,MATCH(C703,Sites!$A$2:$A$501,0)),"?"))</f>
        <v/>
      </c>
      <c r="I703" s="8">
        <f>IF(A703="","",A703-WEEKDAY(A703,3))</f>
        <v/>
      </c>
      <c r="K703" s="7">
        <f>IF(A703="","",IF(OR(B703="",C703="",D703="",E703=""),"Missing info",IF(ISNA(MATCH(B703,Staff!$A$2:$A$101,0)),"Unknown employee",IF(H703="?","Unknown site",IF(G703&lt;=0,"Check times",IF(G703&gt;12,"Over 12h",IF(COUNTIFS($L$2:$L$2001,L703)&gt;1,"Duplicate?",IF(A703&gt;TODAY(),"Future date","OK"))))))))</f>
        <v/>
      </c>
      <c r="L703">
        <f>IF(A703="","",TEXT(A703,"yyyy-mm-dd")&amp;"|"&amp;B703&amp;"|"&amp;C703)</f>
        <v/>
      </c>
    </row>
    <row r="704">
      <c r="A704" s="4" t="n"/>
      <c r="D704" s="5" t="n"/>
      <c r="E704" s="5" t="n"/>
      <c r="G704" s="6">
        <f>IF(OR(A704="",D704="",E704=""),"",ROUND(MOD(E704-D704,1)*24-N(F704)/60,2))</f>
        <v/>
      </c>
      <c r="H704" s="7">
        <f>IF(C704="","",IFERROR(INDEX(Sites!$B$2:$B$501,MATCH(C704,Sites!$A$2:$A$501,0)),"?"))</f>
        <v/>
      </c>
      <c r="I704" s="8">
        <f>IF(A704="","",A704-WEEKDAY(A704,3))</f>
        <v/>
      </c>
      <c r="K704" s="7">
        <f>IF(A704="","",IF(OR(B704="",C704="",D704="",E704=""),"Missing info",IF(ISNA(MATCH(B704,Staff!$A$2:$A$101,0)),"Unknown employee",IF(H704="?","Unknown site",IF(G704&lt;=0,"Check times",IF(G704&gt;12,"Over 12h",IF(COUNTIFS($L$2:$L$2001,L704)&gt;1,"Duplicate?",IF(A704&gt;TODAY(),"Future date","OK"))))))))</f>
        <v/>
      </c>
      <c r="L704">
        <f>IF(A704="","",TEXT(A704,"yyyy-mm-dd")&amp;"|"&amp;B704&amp;"|"&amp;C704)</f>
        <v/>
      </c>
    </row>
    <row r="705">
      <c r="A705" s="4" t="n"/>
      <c r="D705" s="5" t="n"/>
      <c r="E705" s="5" t="n"/>
      <c r="G705" s="6">
        <f>IF(OR(A705="",D705="",E705=""),"",ROUND(MOD(E705-D705,1)*24-N(F705)/60,2))</f>
        <v/>
      </c>
      <c r="H705" s="7">
        <f>IF(C705="","",IFERROR(INDEX(Sites!$B$2:$B$501,MATCH(C705,Sites!$A$2:$A$501,0)),"?"))</f>
        <v/>
      </c>
      <c r="I705" s="8">
        <f>IF(A705="","",A705-WEEKDAY(A705,3))</f>
        <v/>
      </c>
      <c r="K705" s="7">
        <f>IF(A705="","",IF(OR(B705="",C705="",D705="",E705=""),"Missing info",IF(ISNA(MATCH(B705,Staff!$A$2:$A$101,0)),"Unknown employee",IF(H705="?","Unknown site",IF(G705&lt;=0,"Check times",IF(G705&gt;12,"Over 12h",IF(COUNTIFS($L$2:$L$2001,L705)&gt;1,"Duplicate?",IF(A705&gt;TODAY(),"Future date","OK"))))))))</f>
        <v/>
      </c>
      <c r="L705">
        <f>IF(A705="","",TEXT(A705,"yyyy-mm-dd")&amp;"|"&amp;B705&amp;"|"&amp;C705)</f>
        <v/>
      </c>
    </row>
    <row r="706">
      <c r="A706" s="4" t="n"/>
      <c r="D706" s="5" t="n"/>
      <c r="E706" s="5" t="n"/>
      <c r="G706" s="6">
        <f>IF(OR(A706="",D706="",E706=""),"",ROUND(MOD(E706-D706,1)*24-N(F706)/60,2))</f>
        <v/>
      </c>
      <c r="H706" s="7">
        <f>IF(C706="","",IFERROR(INDEX(Sites!$B$2:$B$501,MATCH(C706,Sites!$A$2:$A$501,0)),"?"))</f>
        <v/>
      </c>
      <c r="I706" s="8">
        <f>IF(A706="","",A706-WEEKDAY(A706,3))</f>
        <v/>
      </c>
      <c r="K706" s="7">
        <f>IF(A706="","",IF(OR(B706="",C706="",D706="",E706=""),"Missing info",IF(ISNA(MATCH(B706,Staff!$A$2:$A$101,0)),"Unknown employee",IF(H706="?","Unknown site",IF(G706&lt;=0,"Check times",IF(G706&gt;12,"Over 12h",IF(COUNTIFS($L$2:$L$2001,L706)&gt;1,"Duplicate?",IF(A706&gt;TODAY(),"Future date","OK"))))))))</f>
        <v/>
      </c>
      <c r="L706">
        <f>IF(A706="","",TEXT(A706,"yyyy-mm-dd")&amp;"|"&amp;B706&amp;"|"&amp;C706)</f>
        <v/>
      </c>
    </row>
    <row r="707">
      <c r="A707" s="4" t="n"/>
      <c r="D707" s="5" t="n"/>
      <c r="E707" s="5" t="n"/>
      <c r="G707" s="6">
        <f>IF(OR(A707="",D707="",E707=""),"",ROUND(MOD(E707-D707,1)*24-N(F707)/60,2))</f>
        <v/>
      </c>
      <c r="H707" s="7">
        <f>IF(C707="","",IFERROR(INDEX(Sites!$B$2:$B$501,MATCH(C707,Sites!$A$2:$A$501,0)),"?"))</f>
        <v/>
      </c>
      <c r="I707" s="8">
        <f>IF(A707="","",A707-WEEKDAY(A707,3))</f>
        <v/>
      </c>
      <c r="K707" s="7">
        <f>IF(A707="","",IF(OR(B707="",C707="",D707="",E707=""),"Missing info",IF(ISNA(MATCH(B707,Staff!$A$2:$A$101,0)),"Unknown employee",IF(H707="?","Unknown site",IF(G707&lt;=0,"Check times",IF(G707&gt;12,"Over 12h",IF(COUNTIFS($L$2:$L$2001,L707)&gt;1,"Duplicate?",IF(A707&gt;TODAY(),"Future date","OK"))))))))</f>
        <v/>
      </c>
      <c r="L707">
        <f>IF(A707="","",TEXT(A707,"yyyy-mm-dd")&amp;"|"&amp;B707&amp;"|"&amp;C707)</f>
        <v/>
      </c>
    </row>
    <row r="708">
      <c r="A708" s="4" t="n"/>
      <c r="D708" s="5" t="n"/>
      <c r="E708" s="5" t="n"/>
      <c r="G708" s="6">
        <f>IF(OR(A708="",D708="",E708=""),"",ROUND(MOD(E708-D708,1)*24-N(F708)/60,2))</f>
        <v/>
      </c>
      <c r="H708" s="7">
        <f>IF(C708="","",IFERROR(INDEX(Sites!$B$2:$B$501,MATCH(C708,Sites!$A$2:$A$501,0)),"?"))</f>
        <v/>
      </c>
      <c r="I708" s="8">
        <f>IF(A708="","",A708-WEEKDAY(A708,3))</f>
        <v/>
      </c>
      <c r="K708" s="7">
        <f>IF(A708="","",IF(OR(B708="",C708="",D708="",E708=""),"Missing info",IF(ISNA(MATCH(B708,Staff!$A$2:$A$101,0)),"Unknown employee",IF(H708="?","Unknown site",IF(G708&lt;=0,"Check times",IF(G708&gt;12,"Over 12h",IF(COUNTIFS($L$2:$L$2001,L708)&gt;1,"Duplicate?",IF(A708&gt;TODAY(),"Future date","OK"))))))))</f>
        <v/>
      </c>
      <c r="L708">
        <f>IF(A708="","",TEXT(A708,"yyyy-mm-dd")&amp;"|"&amp;B708&amp;"|"&amp;C708)</f>
        <v/>
      </c>
    </row>
    <row r="709">
      <c r="A709" s="4" t="n"/>
      <c r="D709" s="5" t="n"/>
      <c r="E709" s="5" t="n"/>
      <c r="G709" s="6">
        <f>IF(OR(A709="",D709="",E709=""),"",ROUND(MOD(E709-D709,1)*24-N(F709)/60,2))</f>
        <v/>
      </c>
      <c r="H709" s="7">
        <f>IF(C709="","",IFERROR(INDEX(Sites!$B$2:$B$501,MATCH(C709,Sites!$A$2:$A$501,0)),"?"))</f>
        <v/>
      </c>
      <c r="I709" s="8">
        <f>IF(A709="","",A709-WEEKDAY(A709,3))</f>
        <v/>
      </c>
      <c r="K709" s="7">
        <f>IF(A709="","",IF(OR(B709="",C709="",D709="",E709=""),"Missing info",IF(ISNA(MATCH(B709,Staff!$A$2:$A$101,0)),"Unknown employee",IF(H709="?","Unknown site",IF(G709&lt;=0,"Check times",IF(G709&gt;12,"Over 12h",IF(COUNTIFS($L$2:$L$2001,L709)&gt;1,"Duplicate?",IF(A709&gt;TODAY(),"Future date","OK"))))))))</f>
        <v/>
      </c>
      <c r="L709">
        <f>IF(A709="","",TEXT(A709,"yyyy-mm-dd")&amp;"|"&amp;B709&amp;"|"&amp;C709)</f>
        <v/>
      </c>
    </row>
    <row r="710">
      <c r="A710" s="4" t="n"/>
      <c r="D710" s="5" t="n"/>
      <c r="E710" s="5" t="n"/>
      <c r="G710" s="6">
        <f>IF(OR(A710="",D710="",E710=""),"",ROUND(MOD(E710-D710,1)*24-N(F710)/60,2))</f>
        <v/>
      </c>
      <c r="H710" s="7">
        <f>IF(C710="","",IFERROR(INDEX(Sites!$B$2:$B$501,MATCH(C710,Sites!$A$2:$A$501,0)),"?"))</f>
        <v/>
      </c>
      <c r="I710" s="8">
        <f>IF(A710="","",A710-WEEKDAY(A710,3))</f>
        <v/>
      </c>
      <c r="K710" s="7">
        <f>IF(A710="","",IF(OR(B710="",C710="",D710="",E710=""),"Missing info",IF(ISNA(MATCH(B710,Staff!$A$2:$A$101,0)),"Unknown employee",IF(H710="?","Unknown site",IF(G710&lt;=0,"Check times",IF(G710&gt;12,"Over 12h",IF(COUNTIFS($L$2:$L$2001,L710)&gt;1,"Duplicate?",IF(A710&gt;TODAY(),"Future date","OK"))))))))</f>
        <v/>
      </c>
      <c r="L710">
        <f>IF(A710="","",TEXT(A710,"yyyy-mm-dd")&amp;"|"&amp;B710&amp;"|"&amp;C710)</f>
        <v/>
      </c>
    </row>
    <row r="711">
      <c r="A711" s="4" t="n"/>
      <c r="D711" s="5" t="n"/>
      <c r="E711" s="5" t="n"/>
      <c r="G711" s="6">
        <f>IF(OR(A711="",D711="",E711=""),"",ROUND(MOD(E711-D711,1)*24-N(F711)/60,2))</f>
        <v/>
      </c>
      <c r="H711" s="7">
        <f>IF(C711="","",IFERROR(INDEX(Sites!$B$2:$B$501,MATCH(C711,Sites!$A$2:$A$501,0)),"?"))</f>
        <v/>
      </c>
      <c r="I711" s="8">
        <f>IF(A711="","",A711-WEEKDAY(A711,3))</f>
        <v/>
      </c>
      <c r="K711" s="7">
        <f>IF(A711="","",IF(OR(B711="",C711="",D711="",E711=""),"Missing info",IF(ISNA(MATCH(B711,Staff!$A$2:$A$101,0)),"Unknown employee",IF(H711="?","Unknown site",IF(G711&lt;=0,"Check times",IF(G711&gt;12,"Over 12h",IF(COUNTIFS($L$2:$L$2001,L711)&gt;1,"Duplicate?",IF(A711&gt;TODAY(),"Future date","OK"))))))))</f>
        <v/>
      </c>
      <c r="L711">
        <f>IF(A711="","",TEXT(A711,"yyyy-mm-dd")&amp;"|"&amp;B711&amp;"|"&amp;C711)</f>
        <v/>
      </c>
    </row>
    <row r="712">
      <c r="A712" s="4" t="n"/>
      <c r="D712" s="5" t="n"/>
      <c r="E712" s="5" t="n"/>
      <c r="G712" s="6">
        <f>IF(OR(A712="",D712="",E712=""),"",ROUND(MOD(E712-D712,1)*24-N(F712)/60,2))</f>
        <v/>
      </c>
      <c r="H712" s="7">
        <f>IF(C712="","",IFERROR(INDEX(Sites!$B$2:$B$501,MATCH(C712,Sites!$A$2:$A$501,0)),"?"))</f>
        <v/>
      </c>
      <c r="I712" s="8">
        <f>IF(A712="","",A712-WEEKDAY(A712,3))</f>
        <v/>
      </c>
      <c r="K712" s="7">
        <f>IF(A712="","",IF(OR(B712="",C712="",D712="",E712=""),"Missing info",IF(ISNA(MATCH(B712,Staff!$A$2:$A$101,0)),"Unknown employee",IF(H712="?","Unknown site",IF(G712&lt;=0,"Check times",IF(G712&gt;12,"Over 12h",IF(COUNTIFS($L$2:$L$2001,L712)&gt;1,"Duplicate?",IF(A712&gt;TODAY(),"Future date","OK"))))))))</f>
        <v/>
      </c>
      <c r="L712">
        <f>IF(A712="","",TEXT(A712,"yyyy-mm-dd")&amp;"|"&amp;B712&amp;"|"&amp;C712)</f>
        <v/>
      </c>
    </row>
    <row r="713">
      <c r="A713" s="4" t="n"/>
      <c r="D713" s="5" t="n"/>
      <c r="E713" s="5" t="n"/>
      <c r="G713" s="6">
        <f>IF(OR(A713="",D713="",E713=""),"",ROUND(MOD(E713-D713,1)*24-N(F713)/60,2))</f>
        <v/>
      </c>
      <c r="H713" s="7">
        <f>IF(C713="","",IFERROR(INDEX(Sites!$B$2:$B$501,MATCH(C713,Sites!$A$2:$A$501,0)),"?"))</f>
        <v/>
      </c>
      <c r="I713" s="8">
        <f>IF(A713="","",A713-WEEKDAY(A713,3))</f>
        <v/>
      </c>
      <c r="K713" s="7">
        <f>IF(A713="","",IF(OR(B713="",C713="",D713="",E713=""),"Missing info",IF(ISNA(MATCH(B713,Staff!$A$2:$A$101,0)),"Unknown employee",IF(H713="?","Unknown site",IF(G713&lt;=0,"Check times",IF(G713&gt;12,"Over 12h",IF(COUNTIFS($L$2:$L$2001,L713)&gt;1,"Duplicate?",IF(A713&gt;TODAY(),"Future date","OK"))))))))</f>
        <v/>
      </c>
      <c r="L713">
        <f>IF(A713="","",TEXT(A713,"yyyy-mm-dd")&amp;"|"&amp;B713&amp;"|"&amp;C713)</f>
        <v/>
      </c>
    </row>
    <row r="714">
      <c r="A714" s="4" t="n"/>
      <c r="D714" s="5" t="n"/>
      <c r="E714" s="5" t="n"/>
      <c r="G714" s="6">
        <f>IF(OR(A714="",D714="",E714=""),"",ROUND(MOD(E714-D714,1)*24-N(F714)/60,2))</f>
        <v/>
      </c>
      <c r="H714" s="7">
        <f>IF(C714="","",IFERROR(INDEX(Sites!$B$2:$B$501,MATCH(C714,Sites!$A$2:$A$501,0)),"?"))</f>
        <v/>
      </c>
      <c r="I714" s="8">
        <f>IF(A714="","",A714-WEEKDAY(A714,3))</f>
        <v/>
      </c>
      <c r="K714" s="7">
        <f>IF(A714="","",IF(OR(B714="",C714="",D714="",E714=""),"Missing info",IF(ISNA(MATCH(B714,Staff!$A$2:$A$101,0)),"Unknown employee",IF(H714="?","Unknown site",IF(G714&lt;=0,"Check times",IF(G714&gt;12,"Over 12h",IF(COUNTIFS($L$2:$L$2001,L714)&gt;1,"Duplicate?",IF(A714&gt;TODAY(),"Future date","OK"))))))))</f>
        <v/>
      </c>
      <c r="L714">
        <f>IF(A714="","",TEXT(A714,"yyyy-mm-dd")&amp;"|"&amp;B714&amp;"|"&amp;C714)</f>
        <v/>
      </c>
    </row>
    <row r="715">
      <c r="A715" s="4" t="n"/>
      <c r="D715" s="5" t="n"/>
      <c r="E715" s="5" t="n"/>
      <c r="G715" s="6">
        <f>IF(OR(A715="",D715="",E715=""),"",ROUND(MOD(E715-D715,1)*24-N(F715)/60,2))</f>
        <v/>
      </c>
      <c r="H715" s="7">
        <f>IF(C715="","",IFERROR(INDEX(Sites!$B$2:$B$501,MATCH(C715,Sites!$A$2:$A$501,0)),"?"))</f>
        <v/>
      </c>
      <c r="I715" s="8">
        <f>IF(A715="","",A715-WEEKDAY(A715,3))</f>
        <v/>
      </c>
      <c r="K715" s="7">
        <f>IF(A715="","",IF(OR(B715="",C715="",D715="",E715=""),"Missing info",IF(ISNA(MATCH(B715,Staff!$A$2:$A$101,0)),"Unknown employee",IF(H715="?","Unknown site",IF(G715&lt;=0,"Check times",IF(G715&gt;12,"Over 12h",IF(COUNTIFS($L$2:$L$2001,L715)&gt;1,"Duplicate?",IF(A715&gt;TODAY(),"Future date","OK"))))))))</f>
        <v/>
      </c>
      <c r="L715">
        <f>IF(A715="","",TEXT(A715,"yyyy-mm-dd")&amp;"|"&amp;B715&amp;"|"&amp;C715)</f>
        <v/>
      </c>
    </row>
    <row r="716">
      <c r="A716" s="4" t="n"/>
      <c r="D716" s="5" t="n"/>
      <c r="E716" s="5" t="n"/>
      <c r="G716" s="6">
        <f>IF(OR(A716="",D716="",E716=""),"",ROUND(MOD(E716-D716,1)*24-N(F716)/60,2))</f>
        <v/>
      </c>
      <c r="H716" s="7">
        <f>IF(C716="","",IFERROR(INDEX(Sites!$B$2:$B$501,MATCH(C716,Sites!$A$2:$A$501,0)),"?"))</f>
        <v/>
      </c>
      <c r="I716" s="8">
        <f>IF(A716="","",A716-WEEKDAY(A716,3))</f>
        <v/>
      </c>
      <c r="K716" s="7">
        <f>IF(A716="","",IF(OR(B716="",C716="",D716="",E716=""),"Missing info",IF(ISNA(MATCH(B716,Staff!$A$2:$A$101,0)),"Unknown employee",IF(H716="?","Unknown site",IF(G716&lt;=0,"Check times",IF(G716&gt;12,"Over 12h",IF(COUNTIFS($L$2:$L$2001,L716)&gt;1,"Duplicate?",IF(A716&gt;TODAY(),"Future date","OK"))))))))</f>
        <v/>
      </c>
      <c r="L716">
        <f>IF(A716="","",TEXT(A716,"yyyy-mm-dd")&amp;"|"&amp;B716&amp;"|"&amp;C716)</f>
        <v/>
      </c>
    </row>
    <row r="717">
      <c r="A717" s="4" t="n"/>
      <c r="D717" s="5" t="n"/>
      <c r="E717" s="5" t="n"/>
      <c r="G717" s="6">
        <f>IF(OR(A717="",D717="",E717=""),"",ROUND(MOD(E717-D717,1)*24-N(F717)/60,2))</f>
        <v/>
      </c>
      <c r="H717" s="7">
        <f>IF(C717="","",IFERROR(INDEX(Sites!$B$2:$B$501,MATCH(C717,Sites!$A$2:$A$501,0)),"?"))</f>
        <v/>
      </c>
      <c r="I717" s="8">
        <f>IF(A717="","",A717-WEEKDAY(A717,3))</f>
        <v/>
      </c>
      <c r="K717" s="7">
        <f>IF(A717="","",IF(OR(B717="",C717="",D717="",E717=""),"Missing info",IF(ISNA(MATCH(B717,Staff!$A$2:$A$101,0)),"Unknown employee",IF(H717="?","Unknown site",IF(G717&lt;=0,"Check times",IF(G717&gt;12,"Over 12h",IF(COUNTIFS($L$2:$L$2001,L717)&gt;1,"Duplicate?",IF(A717&gt;TODAY(),"Future date","OK"))))))))</f>
        <v/>
      </c>
      <c r="L717">
        <f>IF(A717="","",TEXT(A717,"yyyy-mm-dd")&amp;"|"&amp;B717&amp;"|"&amp;C717)</f>
        <v/>
      </c>
    </row>
    <row r="718">
      <c r="A718" s="4" t="n"/>
      <c r="D718" s="5" t="n"/>
      <c r="E718" s="5" t="n"/>
      <c r="G718" s="6">
        <f>IF(OR(A718="",D718="",E718=""),"",ROUND(MOD(E718-D718,1)*24-N(F718)/60,2))</f>
        <v/>
      </c>
      <c r="H718" s="7">
        <f>IF(C718="","",IFERROR(INDEX(Sites!$B$2:$B$501,MATCH(C718,Sites!$A$2:$A$501,0)),"?"))</f>
        <v/>
      </c>
      <c r="I718" s="8">
        <f>IF(A718="","",A718-WEEKDAY(A718,3))</f>
        <v/>
      </c>
      <c r="K718" s="7">
        <f>IF(A718="","",IF(OR(B718="",C718="",D718="",E718=""),"Missing info",IF(ISNA(MATCH(B718,Staff!$A$2:$A$101,0)),"Unknown employee",IF(H718="?","Unknown site",IF(G718&lt;=0,"Check times",IF(G718&gt;12,"Over 12h",IF(COUNTIFS($L$2:$L$2001,L718)&gt;1,"Duplicate?",IF(A718&gt;TODAY(),"Future date","OK"))))))))</f>
        <v/>
      </c>
      <c r="L718">
        <f>IF(A718="","",TEXT(A718,"yyyy-mm-dd")&amp;"|"&amp;B718&amp;"|"&amp;C718)</f>
        <v/>
      </c>
    </row>
    <row r="719">
      <c r="A719" s="4" t="n"/>
      <c r="D719" s="5" t="n"/>
      <c r="E719" s="5" t="n"/>
      <c r="G719" s="6">
        <f>IF(OR(A719="",D719="",E719=""),"",ROUND(MOD(E719-D719,1)*24-N(F719)/60,2))</f>
        <v/>
      </c>
      <c r="H719" s="7">
        <f>IF(C719="","",IFERROR(INDEX(Sites!$B$2:$B$501,MATCH(C719,Sites!$A$2:$A$501,0)),"?"))</f>
        <v/>
      </c>
      <c r="I719" s="8">
        <f>IF(A719="","",A719-WEEKDAY(A719,3))</f>
        <v/>
      </c>
      <c r="K719" s="7">
        <f>IF(A719="","",IF(OR(B719="",C719="",D719="",E719=""),"Missing info",IF(ISNA(MATCH(B719,Staff!$A$2:$A$101,0)),"Unknown employee",IF(H719="?","Unknown site",IF(G719&lt;=0,"Check times",IF(G719&gt;12,"Over 12h",IF(COUNTIFS($L$2:$L$2001,L719)&gt;1,"Duplicate?",IF(A719&gt;TODAY(),"Future date","OK"))))))))</f>
        <v/>
      </c>
      <c r="L719">
        <f>IF(A719="","",TEXT(A719,"yyyy-mm-dd")&amp;"|"&amp;B719&amp;"|"&amp;C719)</f>
        <v/>
      </c>
    </row>
    <row r="720">
      <c r="A720" s="4" t="n"/>
      <c r="D720" s="5" t="n"/>
      <c r="E720" s="5" t="n"/>
      <c r="G720" s="6">
        <f>IF(OR(A720="",D720="",E720=""),"",ROUND(MOD(E720-D720,1)*24-N(F720)/60,2))</f>
        <v/>
      </c>
      <c r="H720" s="7">
        <f>IF(C720="","",IFERROR(INDEX(Sites!$B$2:$B$501,MATCH(C720,Sites!$A$2:$A$501,0)),"?"))</f>
        <v/>
      </c>
      <c r="I720" s="8">
        <f>IF(A720="","",A720-WEEKDAY(A720,3))</f>
        <v/>
      </c>
      <c r="K720" s="7">
        <f>IF(A720="","",IF(OR(B720="",C720="",D720="",E720=""),"Missing info",IF(ISNA(MATCH(B720,Staff!$A$2:$A$101,0)),"Unknown employee",IF(H720="?","Unknown site",IF(G720&lt;=0,"Check times",IF(G720&gt;12,"Over 12h",IF(COUNTIFS($L$2:$L$2001,L720)&gt;1,"Duplicate?",IF(A720&gt;TODAY(),"Future date","OK"))))))))</f>
        <v/>
      </c>
      <c r="L720">
        <f>IF(A720="","",TEXT(A720,"yyyy-mm-dd")&amp;"|"&amp;B720&amp;"|"&amp;C720)</f>
        <v/>
      </c>
    </row>
    <row r="721">
      <c r="A721" s="4" t="n"/>
      <c r="D721" s="5" t="n"/>
      <c r="E721" s="5" t="n"/>
      <c r="G721" s="6">
        <f>IF(OR(A721="",D721="",E721=""),"",ROUND(MOD(E721-D721,1)*24-N(F721)/60,2))</f>
        <v/>
      </c>
      <c r="H721" s="7">
        <f>IF(C721="","",IFERROR(INDEX(Sites!$B$2:$B$501,MATCH(C721,Sites!$A$2:$A$501,0)),"?"))</f>
        <v/>
      </c>
      <c r="I721" s="8">
        <f>IF(A721="","",A721-WEEKDAY(A721,3))</f>
        <v/>
      </c>
      <c r="K721" s="7">
        <f>IF(A721="","",IF(OR(B721="",C721="",D721="",E721=""),"Missing info",IF(ISNA(MATCH(B721,Staff!$A$2:$A$101,0)),"Unknown employee",IF(H721="?","Unknown site",IF(G721&lt;=0,"Check times",IF(G721&gt;12,"Over 12h",IF(COUNTIFS($L$2:$L$2001,L721)&gt;1,"Duplicate?",IF(A721&gt;TODAY(),"Future date","OK"))))))))</f>
        <v/>
      </c>
      <c r="L721">
        <f>IF(A721="","",TEXT(A721,"yyyy-mm-dd")&amp;"|"&amp;B721&amp;"|"&amp;C721)</f>
        <v/>
      </c>
    </row>
    <row r="722">
      <c r="A722" s="4" t="n"/>
      <c r="D722" s="5" t="n"/>
      <c r="E722" s="5" t="n"/>
      <c r="G722" s="6">
        <f>IF(OR(A722="",D722="",E722=""),"",ROUND(MOD(E722-D722,1)*24-N(F722)/60,2))</f>
        <v/>
      </c>
      <c r="H722" s="7">
        <f>IF(C722="","",IFERROR(INDEX(Sites!$B$2:$B$501,MATCH(C722,Sites!$A$2:$A$501,0)),"?"))</f>
        <v/>
      </c>
      <c r="I722" s="8">
        <f>IF(A722="","",A722-WEEKDAY(A722,3))</f>
        <v/>
      </c>
      <c r="K722" s="7">
        <f>IF(A722="","",IF(OR(B722="",C722="",D722="",E722=""),"Missing info",IF(ISNA(MATCH(B722,Staff!$A$2:$A$101,0)),"Unknown employee",IF(H722="?","Unknown site",IF(G722&lt;=0,"Check times",IF(G722&gt;12,"Over 12h",IF(COUNTIFS($L$2:$L$2001,L722)&gt;1,"Duplicate?",IF(A722&gt;TODAY(),"Future date","OK"))))))))</f>
        <v/>
      </c>
      <c r="L722">
        <f>IF(A722="","",TEXT(A722,"yyyy-mm-dd")&amp;"|"&amp;B722&amp;"|"&amp;C722)</f>
        <v/>
      </c>
    </row>
    <row r="723">
      <c r="A723" s="4" t="n"/>
      <c r="D723" s="5" t="n"/>
      <c r="E723" s="5" t="n"/>
      <c r="G723" s="6">
        <f>IF(OR(A723="",D723="",E723=""),"",ROUND(MOD(E723-D723,1)*24-N(F723)/60,2))</f>
        <v/>
      </c>
      <c r="H723" s="7">
        <f>IF(C723="","",IFERROR(INDEX(Sites!$B$2:$B$501,MATCH(C723,Sites!$A$2:$A$501,0)),"?"))</f>
        <v/>
      </c>
      <c r="I723" s="8">
        <f>IF(A723="","",A723-WEEKDAY(A723,3))</f>
        <v/>
      </c>
      <c r="K723" s="7">
        <f>IF(A723="","",IF(OR(B723="",C723="",D723="",E723=""),"Missing info",IF(ISNA(MATCH(B723,Staff!$A$2:$A$101,0)),"Unknown employee",IF(H723="?","Unknown site",IF(G723&lt;=0,"Check times",IF(G723&gt;12,"Over 12h",IF(COUNTIFS($L$2:$L$2001,L723)&gt;1,"Duplicate?",IF(A723&gt;TODAY(),"Future date","OK"))))))))</f>
        <v/>
      </c>
      <c r="L723">
        <f>IF(A723="","",TEXT(A723,"yyyy-mm-dd")&amp;"|"&amp;B723&amp;"|"&amp;C723)</f>
        <v/>
      </c>
    </row>
    <row r="724">
      <c r="A724" s="4" t="n"/>
      <c r="D724" s="5" t="n"/>
      <c r="E724" s="5" t="n"/>
      <c r="G724" s="6">
        <f>IF(OR(A724="",D724="",E724=""),"",ROUND(MOD(E724-D724,1)*24-N(F724)/60,2))</f>
        <v/>
      </c>
      <c r="H724" s="7">
        <f>IF(C724="","",IFERROR(INDEX(Sites!$B$2:$B$501,MATCH(C724,Sites!$A$2:$A$501,0)),"?"))</f>
        <v/>
      </c>
      <c r="I724" s="8">
        <f>IF(A724="","",A724-WEEKDAY(A724,3))</f>
        <v/>
      </c>
      <c r="K724" s="7">
        <f>IF(A724="","",IF(OR(B724="",C724="",D724="",E724=""),"Missing info",IF(ISNA(MATCH(B724,Staff!$A$2:$A$101,0)),"Unknown employee",IF(H724="?","Unknown site",IF(G724&lt;=0,"Check times",IF(G724&gt;12,"Over 12h",IF(COUNTIFS($L$2:$L$2001,L724)&gt;1,"Duplicate?",IF(A724&gt;TODAY(),"Future date","OK"))))))))</f>
        <v/>
      </c>
      <c r="L724">
        <f>IF(A724="","",TEXT(A724,"yyyy-mm-dd")&amp;"|"&amp;B724&amp;"|"&amp;C724)</f>
        <v/>
      </c>
    </row>
    <row r="725">
      <c r="A725" s="4" t="n"/>
      <c r="D725" s="5" t="n"/>
      <c r="E725" s="5" t="n"/>
      <c r="G725" s="6">
        <f>IF(OR(A725="",D725="",E725=""),"",ROUND(MOD(E725-D725,1)*24-N(F725)/60,2))</f>
        <v/>
      </c>
      <c r="H725" s="7">
        <f>IF(C725="","",IFERROR(INDEX(Sites!$B$2:$B$501,MATCH(C725,Sites!$A$2:$A$501,0)),"?"))</f>
        <v/>
      </c>
      <c r="I725" s="8">
        <f>IF(A725="","",A725-WEEKDAY(A725,3))</f>
        <v/>
      </c>
      <c r="K725" s="7">
        <f>IF(A725="","",IF(OR(B725="",C725="",D725="",E725=""),"Missing info",IF(ISNA(MATCH(B725,Staff!$A$2:$A$101,0)),"Unknown employee",IF(H725="?","Unknown site",IF(G725&lt;=0,"Check times",IF(G725&gt;12,"Over 12h",IF(COUNTIFS($L$2:$L$2001,L725)&gt;1,"Duplicate?",IF(A725&gt;TODAY(),"Future date","OK"))))))))</f>
        <v/>
      </c>
      <c r="L725">
        <f>IF(A725="","",TEXT(A725,"yyyy-mm-dd")&amp;"|"&amp;B725&amp;"|"&amp;C725)</f>
        <v/>
      </c>
    </row>
    <row r="726">
      <c r="A726" s="4" t="n"/>
      <c r="D726" s="5" t="n"/>
      <c r="E726" s="5" t="n"/>
      <c r="G726" s="6">
        <f>IF(OR(A726="",D726="",E726=""),"",ROUND(MOD(E726-D726,1)*24-N(F726)/60,2))</f>
        <v/>
      </c>
      <c r="H726" s="7">
        <f>IF(C726="","",IFERROR(INDEX(Sites!$B$2:$B$501,MATCH(C726,Sites!$A$2:$A$501,0)),"?"))</f>
        <v/>
      </c>
      <c r="I726" s="8">
        <f>IF(A726="","",A726-WEEKDAY(A726,3))</f>
        <v/>
      </c>
      <c r="K726" s="7">
        <f>IF(A726="","",IF(OR(B726="",C726="",D726="",E726=""),"Missing info",IF(ISNA(MATCH(B726,Staff!$A$2:$A$101,0)),"Unknown employee",IF(H726="?","Unknown site",IF(G726&lt;=0,"Check times",IF(G726&gt;12,"Over 12h",IF(COUNTIFS($L$2:$L$2001,L726)&gt;1,"Duplicate?",IF(A726&gt;TODAY(),"Future date","OK"))))))))</f>
        <v/>
      </c>
      <c r="L726">
        <f>IF(A726="","",TEXT(A726,"yyyy-mm-dd")&amp;"|"&amp;B726&amp;"|"&amp;C726)</f>
        <v/>
      </c>
    </row>
    <row r="727">
      <c r="A727" s="4" t="n"/>
      <c r="D727" s="5" t="n"/>
      <c r="E727" s="5" t="n"/>
      <c r="G727" s="6">
        <f>IF(OR(A727="",D727="",E727=""),"",ROUND(MOD(E727-D727,1)*24-N(F727)/60,2))</f>
        <v/>
      </c>
      <c r="H727" s="7">
        <f>IF(C727="","",IFERROR(INDEX(Sites!$B$2:$B$501,MATCH(C727,Sites!$A$2:$A$501,0)),"?"))</f>
        <v/>
      </c>
      <c r="I727" s="8">
        <f>IF(A727="","",A727-WEEKDAY(A727,3))</f>
        <v/>
      </c>
      <c r="K727" s="7">
        <f>IF(A727="","",IF(OR(B727="",C727="",D727="",E727=""),"Missing info",IF(ISNA(MATCH(B727,Staff!$A$2:$A$101,0)),"Unknown employee",IF(H727="?","Unknown site",IF(G727&lt;=0,"Check times",IF(G727&gt;12,"Over 12h",IF(COUNTIFS($L$2:$L$2001,L727)&gt;1,"Duplicate?",IF(A727&gt;TODAY(),"Future date","OK"))))))))</f>
        <v/>
      </c>
      <c r="L727">
        <f>IF(A727="","",TEXT(A727,"yyyy-mm-dd")&amp;"|"&amp;B727&amp;"|"&amp;C727)</f>
        <v/>
      </c>
    </row>
    <row r="728">
      <c r="A728" s="4" t="n"/>
      <c r="D728" s="5" t="n"/>
      <c r="E728" s="5" t="n"/>
      <c r="G728" s="6">
        <f>IF(OR(A728="",D728="",E728=""),"",ROUND(MOD(E728-D728,1)*24-N(F728)/60,2))</f>
        <v/>
      </c>
      <c r="H728" s="7">
        <f>IF(C728="","",IFERROR(INDEX(Sites!$B$2:$B$501,MATCH(C728,Sites!$A$2:$A$501,0)),"?"))</f>
        <v/>
      </c>
      <c r="I728" s="8">
        <f>IF(A728="","",A728-WEEKDAY(A728,3))</f>
        <v/>
      </c>
      <c r="K728" s="7">
        <f>IF(A728="","",IF(OR(B728="",C728="",D728="",E728=""),"Missing info",IF(ISNA(MATCH(B728,Staff!$A$2:$A$101,0)),"Unknown employee",IF(H728="?","Unknown site",IF(G728&lt;=0,"Check times",IF(G728&gt;12,"Over 12h",IF(COUNTIFS($L$2:$L$2001,L728)&gt;1,"Duplicate?",IF(A728&gt;TODAY(),"Future date","OK"))))))))</f>
        <v/>
      </c>
      <c r="L728">
        <f>IF(A728="","",TEXT(A728,"yyyy-mm-dd")&amp;"|"&amp;B728&amp;"|"&amp;C728)</f>
        <v/>
      </c>
    </row>
    <row r="729">
      <c r="A729" s="4" t="n"/>
      <c r="D729" s="5" t="n"/>
      <c r="E729" s="5" t="n"/>
      <c r="G729" s="6">
        <f>IF(OR(A729="",D729="",E729=""),"",ROUND(MOD(E729-D729,1)*24-N(F729)/60,2))</f>
        <v/>
      </c>
      <c r="H729" s="7">
        <f>IF(C729="","",IFERROR(INDEX(Sites!$B$2:$B$501,MATCH(C729,Sites!$A$2:$A$501,0)),"?"))</f>
        <v/>
      </c>
      <c r="I729" s="8">
        <f>IF(A729="","",A729-WEEKDAY(A729,3))</f>
        <v/>
      </c>
      <c r="K729" s="7">
        <f>IF(A729="","",IF(OR(B729="",C729="",D729="",E729=""),"Missing info",IF(ISNA(MATCH(B729,Staff!$A$2:$A$101,0)),"Unknown employee",IF(H729="?","Unknown site",IF(G729&lt;=0,"Check times",IF(G729&gt;12,"Over 12h",IF(COUNTIFS($L$2:$L$2001,L729)&gt;1,"Duplicate?",IF(A729&gt;TODAY(),"Future date","OK"))))))))</f>
        <v/>
      </c>
      <c r="L729">
        <f>IF(A729="","",TEXT(A729,"yyyy-mm-dd")&amp;"|"&amp;B729&amp;"|"&amp;C729)</f>
        <v/>
      </c>
    </row>
    <row r="730">
      <c r="A730" s="4" t="n"/>
      <c r="D730" s="5" t="n"/>
      <c r="E730" s="5" t="n"/>
      <c r="G730" s="6">
        <f>IF(OR(A730="",D730="",E730=""),"",ROUND(MOD(E730-D730,1)*24-N(F730)/60,2))</f>
        <v/>
      </c>
      <c r="H730" s="7">
        <f>IF(C730="","",IFERROR(INDEX(Sites!$B$2:$B$501,MATCH(C730,Sites!$A$2:$A$501,0)),"?"))</f>
        <v/>
      </c>
      <c r="I730" s="8">
        <f>IF(A730="","",A730-WEEKDAY(A730,3))</f>
        <v/>
      </c>
      <c r="K730" s="7">
        <f>IF(A730="","",IF(OR(B730="",C730="",D730="",E730=""),"Missing info",IF(ISNA(MATCH(B730,Staff!$A$2:$A$101,0)),"Unknown employee",IF(H730="?","Unknown site",IF(G730&lt;=0,"Check times",IF(G730&gt;12,"Over 12h",IF(COUNTIFS($L$2:$L$2001,L730)&gt;1,"Duplicate?",IF(A730&gt;TODAY(),"Future date","OK"))))))))</f>
        <v/>
      </c>
      <c r="L730">
        <f>IF(A730="","",TEXT(A730,"yyyy-mm-dd")&amp;"|"&amp;B730&amp;"|"&amp;C730)</f>
        <v/>
      </c>
    </row>
    <row r="731">
      <c r="A731" s="4" t="n"/>
      <c r="D731" s="5" t="n"/>
      <c r="E731" s="5" t="n"/>
      <c r="G731" s="6">
        <f>IF(OR(A731="",D731="",E731=""),"",ROUND(MOD(E731-D731,1)*24-N(F731)/60,2))</f>
        <v/>
      </c>
      <c r="H731" s="7">
        <f>IF(C731="","",IFERROR(INDEX(Sites!$B$2:$B$501,MATCH(C731,Sites!$A$2:$A$501,0)),"?"))</f>
        <v/>
      </c>
      <c r="I731" s="8">
        <f>IF(A731="","",A731-WEEKDAY(A731,3))</f>
        <v/>
      </c>
      <c r="K731" s="7">
        <f>IF(A731="","",IF(OR(B731="",C731="",D731="",E731=""),"Missing info",IF(ISNA(MATCH(B731,Staff!$A$2:$A$101,0)),"Unknown employee",IF(H731="?","Unknown site",IF(G731&lt;=0,"Check times",IF(G731&gt;12,"Over 12h",IF(COUNTIFS($L$2:$L$2001,L731)&gt;1,"Duplicate?",IF(A731&gt;TODAY(),"Future date","OK"))))))))</f>
        <v/>
      </c>
      <c r="L731">
        <f>IF(A731="","",TEXT(A731,"yyyy-mm-dd")&amp;"|"&amp;B731&amp;"|"&amp;C731)</f>
        <v/>
      </c>
    </row>
    <row r="732">
      <c r="A732" s="4" t="n"/>
      <c r="D732" s="5" t="n"/>
      <c r="E732" s="5" t="n"/>
      <c r="G732" s="6">
        <f>IF(OR(A732="",D732="",E732=""),"",ROUND(MOD(E732-D732,1)*24-N(F732)/60,2))</f>
        <v/>
      </c>
      <c r="H732" s="7">
        <f>IF(C732="","",IFERROR(INDEX(Sites!$B$2:$B$501,MATCH(C732,Sites!$A$2:$A$501,0)),"?"))</f>
        <v/>
      </c>
      <c r="I732" s="8">
        <f>IF(A732="","",A732-WEEKDAY(A732,3))</f>
        <v/>
      </c>
      <c r="K732" s="7">
        <f>IF(A732="","",IF(OR(B732="",C732="",D732="",E732=""),"Missing info",IF(ISNA(MATCH(B732,Staff!$A$2:$A$101,0)),"Unknown employee",IF(H732="?","Unknown site",IF(G732&lt;=0,"Check times",IF(G732&gt;12,"Over 12h",IF(COUNTIFS($L$2:$L$2001,L732)&gt;1,"Duplicate?",IF(A732&gt;TODAY(),"Future date","OK"))))))))</f>
        <v/>
      </c>
      <c r="L732">
        <f>IF(A732="","",TEXT(A732,"yyyy-mm-dd")&amp;"|"&amp;B732&amp;"|"&amp;C732)</f>
        <v/>
      </c>
    </row>
    <row r="733">
      <c r="A733" s="4" t="n"/>
      <c r="D733" s="5" t="n"/>
      <c r="E733" s="5" t="n"/>
      <c r="G733" s="6">
        <f>IF(OR(A733="",D733="",E733=""),"",ROUND(MOD(E733-D733,1)*24-N(F733)/60,2))</f>
        <v/>
      </c>
      <c r="H733" s="7">
        <f>IF(C733="","",IFERROR(INDEX(Sites!$B$2:$B$501,MATCH(C733,Sites!$A$2:$A$501,0)),"?"))</f>
        <v/>
      </c>
      <c r="I733" s="8">
        <f>IF(A733="","",A733-WEEKDAY(A733,3))</f>
        <v/>
      </c>
      <c r="K733" s="7">
        <f>IF(A733="","",IF(OR(B733="",C733="",D733="",E733=""),"Missing info",IF(ISNA(MATCH(B733,Staff!$A$2:$A$101,0)),"Unknown employee",IF(H733="?","Unknown site",IF(G733&lt;=0,"Check times",IF(G733&gt;12,"Over 12h",IF(COUNTIFS($L$2:$L$2001,L733)&gt;1,"Duplicate?",IF(A733&gt;TODAY(),"Future date","OK"))))))))</f>
        <v/>
      </c>
      <c r="L733">
        <f>IF(A733="","",TEXT(A733,"yyyy-mm-dd")&amp;"|"&amp;B733&amp;"|"&amp;C733)</f>
        <v/>
      </c>
    </row>
    <row r="734">
      <c r="A734" s="4" t="n"/>
      <c r="D734" s="5" t="n"/>
      <c r="E734" s="5" t="n"/>
      <c r="G734" s="6">
        <f>IF(OR(A734="",D734="",E734=""),"",ROUND(MOD(E734-D734,1)*24-N(F734)/60,2))</f>
        <v/>
      </c>
      <c r="H734" s="7">
        <f>IF(C734="","",IFERROR(INDEX(Sites!$B$2:$B$501,MATCH(C734,Sites!$A$2:$A$501,0)),"?"))</f>
        <v/>
      </c>
      <c r="I734" s="8">
        <f>IF(A734="","",A734-WEEKDAY(A734,3))</f>
        <v/>
      </c>
      <c r="K734" s="7">
        <f>IF(A734="","",IF(OR(B734="",C734="",D734="",E734=""),"Missing info",IF(ISNA(MATCH(B734,Staff!$A$2:$A$101,0)),"Unknown employee",IF(H734="?","Unknown site",IF(G734&lt;=0,"Check times",IF(G734&gt;12,"Over 12h",IF(COUNTIFS($L$2:$L$2001,L734)&gt;1,"Duplicate?",IF(A734&gt;TODAY(),"Future date","OK"))))))))</f>
        <v/>
      </c>
      <c r="L734">
        <f>IF(A734="","",TEXT(A734,"yyyy-mm-dd")&amp;"|"&amp;B734&amp;"|"&amp;C734)</f>
        <v/>
      </c>
    </row>
    <row r="735">
      <c r="A735" s="4" t="n"/>
      <c r="D735" s="5" t="n"/>
      <c r="E735" s="5" t="n"/>
      <c r="G735" s="6">
        <f>IF(OR(A735="",D735="",E735=""),"",ROUND(MOD(E735-D735,1)*24-N(F735)/60,2))</f>
        <v/>
      </c>
      <c r="H735" s="7">
        <f>IF(C735="","",IFERROR(INDEX(Sites!$B$2:$B$501,MATCH(C735,Sites!$A$2:$A$501,0)),"?"))</f>
        <v/>
      </c>
      <c r="I735" s="8">
        <f>IF(A735="","",A735-WEEKDAY(A735,3))</f>
        <v/>
      </c>
      <c r="K735" s="7">
        <f>IF(A735="","",IF(OR(B735="",C735="",D735="",E735=""),"Missing info",IF(ISNA(MATCH(B735,Staff!$A$2:$A$101,0)),"Unknown employee",IF(H735="?","Unknown site",IF(G735&lt;=0,"Check times",IF(G735&gt;12,"Over 12h",IF(COUNTIFS($L$2:$L$2001,L735)&gt;1,"Duplicate?",IF(A735&gt;TODAY(),"Future date","OK"))))))))</f>
        <v/>
      </c>
      <c r="L735">
        <f>IF(A735="","",TEXT(A735,"yyyy-mm-dd")&amp;"|"&amp;B735&amp;"|"&amp;C735)</f>
        <v/>
      </c>
    </row>
    <row r="736">
      <c r="A736" s="4" t="n"/>
      <c r="D736" s="5" t="n"/>
      <c r="E736" s="5" t="n"/>
      <c r="G736" s="6">
        <f>IF(OR(A736="",D736="",E736=""),"",ROUND(MOD(E736-D736,1)*24-N(F736)/60,2))</f>
        <v/>
      </c>
      <c r="H736" s="7">
        <f>IF(C736="","",IFERROR(INDEX(Sites!$B$2:$B$501,MATCH(C736,Sites!$A$2:$A$501,0)),"?"))</f>
        <v/>
      </c>
      <c r="I736" s="8">
        <f>IF(A736="","",A736-WEEKDAY(A736,3))</f>
        <v/>
      </c>
      <c r="K736" s="7">
        <f>IF(A736="","",IF(OR(B736="",C736="",D736="",E736=""),"Missing info",IF(ISNA(MATCH(B736,Staff!$A$2:$A$101,0)),"Unknown employee",IF(H736="?","Unknown site",IF(G736&lt;=0,"Check times",IF(G736&gt;12,"Over 12h",IF(COUNTIFS($L$2:$L$2001,L736)&gt;1,"Duplicate?",IF(A736&gt;TODAY(),"Future date","OK"))))))))</f>
        <v/>
      </c>
      <c r="L736">
        <f>IF(A736="","",TEXT(A736,"yyyy-mm-dd")&amp;"|"&amp;B736&amp;"|"&amp;C736)</f>
        <v/>
      </c>
    </row>
    <row r="737">
      <c r="A737" s="4" t="n"/>
      <c r="D737" s="5" t="n"/>
      <c r="E737" s="5" t="n"/>
      <c r="G737" s="6">
        <f>IF(OR(A737="",D737="",E737=""),"",ROUND(MOD(E737-D737,1)*24-N(F737)/60,2))</f>
        <v/>
      </c>
      <c r="H737" s="7">
        <f>IF(C737="","",IFERROR(INDEX(Sites!$B$2:$B$501,MATCH(C737,Sites!$A$2:$A$501,0)),"?"))</f>
        <v/>
      </c>
      <c r="I737" s="8">
        <f>IF(A737="","",A737-WEEKDAY(A737,3))</f>
        <v/>
      </c>
      <c r="K737" s="7">
        <f>IF(A737="","",IF(OR(B737="",C737="",D737="",E737=""),"Missing info",IF(ISNA(MATCH(B737,Staff!$A$2:$A$101,0)),"Unknown employee",IF(H737="?","Unknown site",IF(G737&lt;=0,"Check times",IF(G737&gt;12,"Over 12h",IF(COUNTIFS($L$2:$L$2001,L737)&gt;1,"Duplicate?",IF(A737&gt;TODAY(),"Future date","OK"))))))))</f>
        <v/>
      </c>
      <c r="L737">
        <f>IF(A737="","",TEXT(A737,"yyyy-mm-dd")&amp;"|"&amp;B737&amp;"|"&amp;C737)</f>
        <v/>
      </c>
    </row>
    <row r="738">
      <c r="A738" s="4" t="n"/>
      <c r="D738" s="5" t="n"/>
      <c r="E738" s="5" t="n"/>
      <c r="G738" s="6">
        <f>IF(OR(A738="",D738="",E738=""),"",ROUND(MOD(E738-D738,1)*24-N(F738)/60,2))</f>
        <v/>
      </c>
      <c r="H738" s="7">
        <f>IF(C738="","",IFERROR(INDEX(Sites!$B$2:$B$501,MATCH(C738,Sites!$A$2:$A$501,0)),"?"))</f>
        <v/>
      </c>
      <c r="I738" s="8">
        <f>IF(A738="","",A738-WEEKDAY(A738,3))</f>
        <v/>
      </c>
      <c r="K738" s="7">
        <f>IF(A738="","",IF(OR(B738="",C738="",D738="",E738=""),"Missing info",IF(ISNA(MATCH(B738,Staff!$A$2:$A$101,0)),"Unknown employee",IF(H738="?","Unknown site",IF(G738&lt;=0,"Check times",IF(G738&gt;12,"Over 12h",IF(COUNTIFS($L$2:$L$2001,L738)&gt;1,"Duplicate?",IF(A738&gt;TODAY(),"Future date","OK"))))))))</f>
        <v/>
      </c>
      <c r="L738">
        <f>IF(A738="","",TEXT(A738,"yyyy-mm-dd")&amp;"|"&amp;B738&amp;"|"&amp;C738)</f>
        <v/>
      </c>
    </row>
    <row r="739">
      <c r="A739" s="4" t="n"/>
      <c r="D739" s="5" t="n"/>
      <c r="E739" s="5" t="n"/>
      <c r="G739" s="6">
        <f>IF(OR(A739="",D739="",E739=""),"",ROUND(MOD(E739-D739,1)*24-N(F739)/60,2))</f>
        <v/>
      </c>
      <c r="H739" s="7">
        <f>IF(C739="","",IFERROR(INDEX(Sites!$B$2:$B$501,MATCH(C739,Sites!$A$2:$A$501,0)),"?"))</f>
        <v/>
      </c>
      <c r="I739" s="8">
        <f>IF(A739="","",A739-WEEKDAY(A739,3))</f>
        <v/>
      </c>
      <c r="K739" s="7">
        <f>IF(A739="","",IF(OR(B739="",C739="",D739="",E739=""),"Missing info",IF(ISNA(MATCH(B739,Staff!$A$2:$A$101,0)),"Unknown employee",IF(H739="?","Unknown site",IF(G739&lt;=0,"Check times",IF(G739&gt;12,"Over 12h",IF(COUNTIFS($L$2:$L$2001,L739)&gt;1,"Duplicate?",IF(A739&gt;TODAY(),"Future date","OK"))))))))</f>
        <v/>
      </c>
      <c r="L739">
        <f>IF(A739="","",TEXT(A739,"yyyy-mm-dd")&amp;"|"&amp;B739&amp;"|"&amp;C739)</f>
        <v/>
      </c>
    </row>
    <row r="740">
      <c r="A740" s="4" t="n"/>
      <c r="D740" s="5" t="n"/>
      <c r="E740" s="5" t="n"/>
      <c r="G740" s="6">
        <f>IF(OR(A740="",D740="",E740=""),"",ROUND(MOD(E740-D740,1)*24-N(F740)/60,2))</f>
        <v/>
      </c>
      <c r="H740" s="7">
        <f>IF(C740="","",IFERROR(INDEX(Sites!$B$2:$B$501,MATCH(C740,Sites!$A$2:$A$501,0)),"?"))</f>
        <v/>
      </c>
      <c r="I740" s="8">
        <f>IF(A740="","",A740-WEEKDAY(A740,3))</f>
        <v/>
      </c>
      <c r="K740" s="7">
        <f>IF(A740="","",IF(OR(B740="",C740="",D740="",E740=""),"Missing info",IF(ISNA(MATCH(B740,Staff!$A$2:$A$101,0)),"Unknown employee",IF(H740="?","Unknown site",IF(G740&lt;=0,"Check times",IF(G740&gt;12,"Over 12h",IF(COUNTIFS($L$2:$L$2001,L740)&gt;1,"Duplicate?",IF(A740&gt;TODAY(),"Future date","OK"))))))))</f>
        <v/>
      </c>
      <c r="L740">
        <f>IF(A740="","",TEXT(A740,"yyyy-mm-dd")&amp;"|"&amp;B740&amp;"|"&amp;C740)</f>
        <v/>
      </c>
    </row>
    <row r="741">
      <c r="A741" s="4" t="n"/>
      <c r="D741" s="5" t="n"/>
      <c r="E741" s="5" t="n"/>
      <c r="G741" s="6">
        <f>IF(OR(A741="",D741="",E741=""),"",ROUND(MOD(E741-D741,1)*24-N(F741)/60,2))</f>
        <v/>
      </c>
      <c r="H741" s="7">
        <f>IF(C741="","",IFERROR(INDEX(Sites!$B$2:$B$501,MATCH(C741,Sites!$A$2:$A$501,0)),"?"))</f>
        <v/>
      </c>
      <c r="I741" s="8">
        <f>IF(A741="","",A741-WEEKDAY(A741,3))</f>
        <v/>
      </c>
      <c r="K741" s="7">
        <f>IF(A741="","",IF(OR(B741="",C741="",D741="",E741=""),"Missing info",IF(ISNA(MATCH(B741,Staff!$A$2:$A$101,0)),"Unknown employee",IF(H741="?","Unknown site",IF(G741&lt;=0,"Check times",IF(G741&gt;12,"Over 12h",IF(COUNTIFS($L$2:$L$2001,L741)&gt;1,"Duplicate?",IF(A741&gt;TODAY(),"Future date","OK"))))))))</f>
        <v/>
      </c>
      <c r="L741">
        <f>IF(A741="","",TEXT(A741,"yyyy-mm-dd")&amp;"|"&amp;B741&amp;"|"&amp;C741)</f>
        <v/>
      </c>
    </row>
    <row r="742">
      <c r="A742" s="4" t="n"/>
      <c r="D742" s="5" t="n"/>
      <c r="E742" s="5" t="n"/>
      <c r="G742" s="6">
        <f>IF(OR(A742="",D742="",E742=""),"",ROUND(MOD(E742-D742,1)*24-N(F742)/60,2))</f>
        <v/>
      </c>
      <c r="H742" s="7">
        <f>IF(C742="","",IFERROR(INDEX(Sites!$B$2:$B$501,MATCH(C742,Sites!$A$2:$A$501,0)),"?"))</f>
        <v/>
      </c>
      <c r="I742" s="8">
        <f>IF(A742="","",A742-WEEKDAY(A742,3))</f>
        <v/>
      </c>
      <c r="K742" s="7">
        <f>IF(A742="","",IF(OR(B742="",C742="",D742="",E742=""),"Missing info",IF(ISNA(MATCH(B742,Staff!$A$2:$A$101,0)),"Unknown employee",IF(H742="?","Unknown site",IF(G742&lt;=0,"Check times",IF(G742&gt;12,"Over 12h",IF(COUNTIFS($L$2:$L$2001,L742)&gt;1,"Duplicate?",IF(A742&gt;TODAY(),"Future date","OK"))))))))</f>
        <v/>
      </c>
      <c r="L742">
        <f>IF(A742="","",TEXT(A742,"yyyy-mm-dd")&amp;"|"&amp;B742&amp;"|"&amp;C742)</f>
        <v/>
      </c>
    </row>
    <row r="743">
      <c r="A743" s="4" t="n"/>
      <c r="D743" s="5" t="n"/>
      <c r="E743" s="5" t="n"/>
      <c r="G743" s="6">
        <f>IF(OR(A743="",D743="",E743=""),"",ROUND(MOD(E743-D743,1)*24-N(F743)/60,2))</f>
        <v/>
      </c>
      <c r="H743" s="7">
        <f>IF(C743="","",IFERROR(INDEX(Sites!$B$2:$B$501,MATCH(C743,Sites!$A$2:$A$501,0)),"?"))</f>
        <v/>
      </c>
      <c r="I743" s="8">
        <f>IF(A743="","",A743-WEEKDAY(A743,3))</f>
        <v/>
      </c>
      <c r="K743" s="7">
        <f>IF(A743="","",IF(OR(B743="",C743="",D743="",E743=""),"Missing info",IF(ISNA(MATCH(B743,Staff!$A$2:$A$101,0)),"Unknown employee",IF(H743="?","Unknown site",IF(G743&lt;=0,"Check times",IF(G743&gt;12,"Over 12h",IF(COUNTIFS($L$2:$L$2001,L743)&gt;1,"Duplicate?",IF(A743&gt;TODAY(),"Future date","OK"))))))))</f>
        <v/>
      </c>
      <c r="L743">
        <f>IF(A743="","",TEXT(A743,"yyyy-mm-dd")&amp;"|"&amp;B743&amp;"|"&amp;C743)</f>
        <v/>
      </c>
    </row>
    <row r="744">
      <c r="A744" s="4" t="n"/>
      <c r="D744" s="5" t="n"/>
      <c r="E744" s="5" t="n"/>
      <c r="G744" s="6">
        <f>IF(OR(A744="",D744="",E744=""),"",ROUND(MOD(E744-D744,1)*24-N(F744)/60,2))</f>
        <v/>
      </c>
      <c r="H744" s="7">
        <f>IF(C744="","",IFERROR(INDEX(Sites!$B$2:$B$501,MATCH(C744,Sites!$A$2:$A$501,0)),"?"))</f>
        <v/>
      </c>
      <c r="I744" s="8">
        <f>IF(A744="","",A744-WEEKDAY(A744,3))</f>
        <v/>
      </c>
      <c r="K744" s="7">
        <f>IF(A744="","",IF(OR(B744="",C744="",D744="",E744=""),"Missing info",IF(ISNA(MATCH(B744,Staff!$A$2:$A$101,0)),"Unknown employee",IF(H744="?","Unknown site",IF(G744&lt;=0,"Check times",IF(G744&gt;12,"Over 12h",IF(COUNTIFS($L$2:$L$2001,L744)&gt;1,"Duplicate?",IF(A744&gt;TODAY(),"Future date","OK"))))))))</f>
        <v/>
      </c>
      <c r="L744">
        <f>IF(A744="","",TEXT(A744,"yyyy-mm-dd")&amp;"|"&amp;B744&amp;"|"&amp;C744)</f>
        <v/>
      </c>
    </row>
    <row r="745">
      <c r="A745" s="4" t="n"/>
      <c r="D745" s="5" t="n"/>
      <c r="E745" s="5" t="n"/>
      <c r="G745" s="6">
        <f>IF(OR(A745="",D745="",E745=""),"",ROUND(MOD(E745-D745,1)*24-N(F745)/60,2))</f>
        <v/>
      </c>
      <c r="H745" s="7">
        <f>IF(C745="","",IFERROR(INDEX(Sites!$B$2:$B$501,MATCH(C745,Sites!$A$2:$A$501,0)),"?"))</f>
        <v/>
      </c>
      <c r="I745" s="8">
        <f>IF(A745="","",A745-WEEKDAY(A745,3))</f>
        <v/>
      </c>
      <c r="K745" s="7">
        <f>IF(A745="","",IF(OR(B745="",C745="",D745="",E745=""),"Missing info",IF(ISNA(MATCH(B745,Staff!$A$2:$A$101,0)),"Unknown employee",IF(H745="?","Unknown site",IF(G745&lt;=0,"Check times",IF(G745&gt;12,"Over 12h",IF(COUNTIFS($L$2:$L$2001,L745)&gt;1,"Duplicate?",IF(A745&gt;TODAY(),"Future date","OK"))))))))</f>
        <v/>
      </c>
      <c r="L745">
        <f>IF(A745="","",TEXT(A745,"yyyy-mm-dd")&amp;"|"&amp;B745&amp;"|"&amp;C745)</f>
        <v/>
      </c>
    </row>
    <row r="746">
      <c r="A746" s="4" t="n"/>
      <c r="D746" s="5" t="n"/>
      <c r="E746" s="5" t="n"/>
      <c r="G746" s="6">
        <f>IF(OR(A746="",D746="",E746=""),"",ROUND(MOD(E746-D746,1)*24-N(F746)/60,2))</f>
        <v/>
      </c>
      <c r="H746" s="7">
        <f>IF(C746="","",IFERROR(INDEX(Sites!$B$2:$B$501,MATCH(C746,Sites!$A$2:$A$501,0)),"?"))</f>
        <v/>
      </c>
      <c r="I746" s="8">
        <f>IF(A746="","",A746-WEEKDAY(A746,3))</f>
        <v/>
      </c>
      <c r="K746" s="7">
        <f>IF(A746="","",IF(OR(B746="",C746="",D746="",E746=""),"Missing info",IF(ISNA(MATCH(B746,Staff!$A$2:$A$101,0)),"Unknown employee",IF(H746="?","Unknown site",IF(G746&lt;=0,"Check times",IF(G746&gt;12,"Over 12h",IF(COUNTIFS($L$2:$L$2001,L746)&gt;1,"Duplicate?",IF(A746&gt;TODAY(),"Future date","OK"))))))))</f>
        <v/>
      </c>
      <c r="L746">
        <f>IF(A746="","",TEXT(A746,"yyyy-mm-dd")&amp;"|"&amp;B746&amp;"|"&amp;C746)</f>
        <v/>
      </c>
    </row>
    <row r="747">
      <c r="A747" s="4" t="n"/>
      <c r="D747" s="5" t="n"/>
      <c r="E747" s="5" t="n"/>
      <c r="G747" s="6">
        <f>IF(OR(A747="",D747="",E747=""),"",ROUND(MOD(E747-D747,1)*24-N(F747)/60,2))</f>
        <v/>
      </c>
      <c r="H747" s="7">
        <f>IF(C747="","",IFERROR(INDEX(Sites!$B$2:$B$501,MATCH(C747,Sites!$A$2:$A$501,0)),"?"))</f>
        <v/>
      </c>
      <c r="I747" s="8">
        <f>IF(A747="","",A747-WEEKDAY(A747,3))</f>
        <v/>
      </c>
      <c r="K747" s="7">
        <f>IF(A747="","",IF(OR(B747="",C747="",D747="",E747=""),"Missing info",IF(ISNA(MATCH(B747,Staff!$A$2:$A$101,0)),"Unknown employee",IF(H747="?","Unknown site",IF(G747&lt;=0,"Check times",IF(G747&gt;12,"Over 12h",IF(COUNTIFS($L$2:$L$2001,L747)&gt;1,"Duplicate?",IF(A747&gt;TODAY(),"Future date","OK"))))))))</f>
        <v/>
      </c>
      <c r="L747">
        <f>IF(A747="","",TEXT(A747,"yyyy-mm-dd")&amp;"|"&amp;B747&amp;"|"&amp;C747)</f>
        <v/>
      </c>
    </row>
    <row r="748">
      <c r="A748" s="4" t="n"/>
      <c r="D748" s="5" t="n"/>
      <c r="E748" s="5" t="n"/>
      <c r="G748" s="6">
        <f>IF(OR(A748="",D748="",E748=""),"",ROUND(MOD(E748-D748,1)*24-N(F748)/60,2))</f>
        <v/>
      </c>
      <c r="H748" s="7">
        <f>IF(C748="","",IFERROR(INDEX(Sites!$B$2:$B$501,MATCH(C748,Sites!$A$2:$A$501,0)),"?"))</f>
        <v/>
      </c>
      <c r="I748" s="8">
        <f>IF(A748="","",A748-WEEKDAY(A748,3))</f>
        <v/>
      </c>
      <c r="K748" s="7">
        <f>IF(A748="","",IF(OR(B748="",C748="",D748="",E748=""),"Missing info",IF(ISNA(MATCH(B748,Staff!$A$2:$A$101,0)),"Unknown employee",IF(H748="?","Unknown site",IF(G748&lt;=0,"Check times",IF(G748&gt;12,"Over 12h",IF(COUNTIFS($L$2:$L$2001,L748)&gt;1,"Duplicate?",IF(A748&gt;TODAY(),"Future date","OK"))))))))</f>
        <v/>
      </c>
      <c r="L748">
        <f>IF(A748="","",TEXT(A748,"yyyy-mm-dd")&amp;"|"&amp;B748&amp;"|"&amp;C748)</f>
        <v/>
      </c>
    </row>
    <row r="749">
      <c r="A749" s="4" t="n"/>
      <c r="D749" s="5" t="n"/>
      <c r="E749" s="5" t="n"/>
      <c r="G749" s="6">
        <f>IF(OR(A749="",D749="",E749=""),"",ROUND(MOD(E749-D749,1)*24-N(F749)/60,2))</f>
        <v/>
      </c>
      <c r="H749" s="7">
        <f>IF(C749="","",IFERROR(INDEX(Sites!$B$2:$B$501,MATCH(C749,Sites!$A$2:$A$501,0)),"?"))</f>
        <v/>
      </c>
      <c r="I749" s="8">
        <f>IF(A749="","",A749-WEEKDAY(A749,3))</f>
        <v/>
      </c>
      <c r="K749" s="7">
        <f>IF(A749="","",IF(OR(B749="",C749="",D749="",E749=""),"Missing info",IF(ISNA(MATCH(B749,Staff!$A$2:$A$101,0)),"Unknown employee",IF(H749="?","Unknown site",IF(G749&lt;=0,"Check times",IF(G749&gt;12,"Over 12h",IF(COUNTIFS($L$2:$L$2001,L749)&gt;1,"Duplicate?",IF(A749&gt;TODAY(),"Future date","OK"))))))))</f>
        <v/>
      </c>
      <c r="L749">
        <f>IF(A749="","",TEXT(A749,"yyyy-mm-dd")&amp;"|"&amp;B749&amp;"|"&amp;C749)</f>
        <v/>
      </c>
    </row>
    <row r="750">
      <c r="A750" s="4" t="n"/>
      <c r="D750" s="5" t="n"/>
      <c r="E750" s="5" t="n"/>
      <c r="G750" s="6">
        <f>IF(OR(A750="",D750="",E750=""),"",ROUND(MOD(E750-D750,1)*24-N(F750)/60,2))</f>
        <v/>
      </c>
      <c r="H750" s="7">
        <f>IF(C750="","",IFERROR(INDEX(Sites!$B$2:$B$501,MATCH(C750,Sites!$A$2:$A$501,0)),"?"))</f>
        <v/>
      </c>
      <c r="I750" s="8">
        <f>IF(A750="","",A750-WEEKDAY(A750,3))</f>
        <v/>
      </c>
      <c r="K750" s="7">
        <f>IF(A750="","",IF(OR(B750="",C750="",D750="",E750=""),"Missing info",IF(ISNA(MATCH(B750,Staff!$A$2:$A$101,0)),"Unknown employee",IF(H750="?","Unknown site",IF(G750&lt;=0,"Check times",IF(G750&gt;12,"Over 12h",IF(COUNTIFS($L$2:$L$2001,L750)&gt;1,"Duplicate?",IF(A750&gt;TODAY(),"Future date","OK"))))))))</f>
        <v/>
      </c>
      <c r="L750">
        <f>IF(A750="","",TEXT(A750,"yyyy-mm-dd")&amp;"|"&amp;B750&amp;"|"&amp;C750)</f>
        <v/>
      </c>
    </row>
    <row r="751">
      <c r="A751" s="4" t="n"/>
      <c r="D751" s="5" t="n"/>
      <c r="E751" s="5" t="n"/>
      <c r="G751" s="6">
        <f>IF(OR(A751="",D751="",E751=""),"",ROUND(MOD(E751-D751,1)*24-N(F751)/60,2))</f>
        <v/>
      </c>
      <c r="H751" s="7">
        <f>IF(C751="","",IFERROR(INDEX(Sites!$B$2:$B$501,MATCH(C751,Sites!$A$2:$A$501,0)),"?"))</f>
        <v/>
      </c>
      <c r="I751" s="8">
        <f>IF(A751="","",A751-WEEKDAY(A751,3))</f>
        <v/>
      </c>
      <c r="K751" s="7">
        <f>IF(A751="","",IF(OR(B751="",C751="",D751="",E751=""),"Missing info",IF(ISNA(MATCH(B751,Staff!$A$2:$A$101,0)),"Unknown employee",IF(H751="?","Unknown site",IF(G751&lt;=0,"Check times",IF(G751&gt;12,"Over 12h",IF(COUNTIFS($L$2:$L$2001,L751)&gt;1,"Duplicate?",IF(A751&gt;TODAY(),"Future date","OK"))))))))</f>
        <v/>
      </c>
      <c r="L751">
        <f>IF(A751="","",TEXT(A751,"yyyy-mm-dd")&amp;"|"&amp;B751&amp;"|"&amp;C751)</f>
        <v/>
      </c>
    </row>
    <row r="752">
      <c r="A752" s="4" t="n"/>
      <c r="D752" s="5" t="n"/>
      <c r="E752" s="5" t="n"/>
      <c r="G752" s="6">
        <f>IF(OR(A752="",D752="",E752=""),"",ROUND(MOD(E752-D752,1)*24-N(F752)/60,2))</f>
        <v/>
      </c>
      <c r="H752" s="7">
        <f>IF(C752="","",IFERROR(INDEX(Sites!$B$2:$B$501,MATCH(C752,Sites!$A$2:$A$501,0)),"?"))</f>
        <v/>
      </c>
      <c r="I752" s="8">
        <f>IF(A752="","",A752-WEEKDAY(A752,3))</f>
        <v/>
      </c>
      <c r="K752" s="7">
        <f>IF(A752="","",IF(OR(B752="",C752="",D752="",E752=""),"Missing info",IF(ISNA(MATCH(B752,Staff!$A$2:$A$101,0)),"Unknown employee",IF(H752="?","Unknown site",IF(G752&lt;=0,"Check times",IF(G752&gt;12,"Over 12h",IF(COUNTIFS($L$2:$L$2001,L752)&gt;1,"Duplicate?",IF(A752&gt;TODAY(),"Future date","OK"))))))))</f>
        <v/>
      </c>
      <c r="L752">
        <f>IF(A752="","",TEXT(A752,"yyyy-mm-dd")&amp;"|"&amp;B752&amp;"|"&amp;C752)</f>
        <v/>
      </c>
    </row>
    <row r="753">
      <c r="A753" s="4" t="n"/>
      <c r="D753" s="5" t="n"/>
      <c r="E753" s="5" t="n"/>
      <c r="G753" s="6">
        <f>IF(OR(A753="",D753="",E753=""),"",ROUND(MOD(E753-D753,1)*24-N(F753)/60,2))</f>
        <v/>
      </c>
      <c r="H753" s="7">
        <f>IF(C753="","",IFERROR(INDEX(Sites!$B$2:$B$501,MATCH(C753,Sites!$A$2:$A$501,0)),"?"))</f>
        <v/>
      </c>
      <c r="I753" s="8">
        <f>IF(A753="","",A753-WEEKDAY(A753,3))</f>
        <v/>
      </c>
      <c r="K753" s="7">
        <f>IF(A753="","",IF(OR(B753="",C753="",D753="",E753=""),"Missing info",IF(ISNA(MATCH(B753,Staff!$A$2:$A$101,0)),"Unknown employee",IF(H753="?","Unknown site",IF(G753&lt;=0,"Check times",IF(G753&gt;12,"Over 12h",IF(COUNTIFS($L$2:$L$2001,L753)&gt;1,"Duplicate?",IF(A753&gt;TODAY(),"Future date","OK"))))))))</f>
        <v/>
      </c>
      <c r="L753">
        <f>IF(A753="","",TEXT(A753,"yyyy-mm-dd")&amp;"|"&amp;B753&amp;"|"&amp;C753)</f>
        <v/>
      </c>
    </row>
    <row r="754">
      <c r="A754" s="4" t="n"/>
      <c r="D754" s="5" t="n"/>
      <c r="E754" s="5" t="n"/>
      <c r="G754" s="6">
        <f>IF(OR(A754="",D754="",E754=""),"",ROUND(MOD(E754-D754,1)*24-N(F754)/60,2))</f>
        <v/>
      </c>
      <c r="H754" s="7">
        <f>IF(C754="","",IFERROR(INDEX(Sites!$B$2:$B$501,MATCH(C754,Sites!$A$2:$A$501,0)),"?"))</f>
        <v/>
      </c>
      <c r="I754" s="8">
        <f>IF(A754="","",A754-WEEKDAY(A754,3))</f>
        <v/>
      </c>
      <c r="K754" s="7">
        <f>IF(A754="","",IF(OR(B754="",C754="",D754="",E754=""),"Missing info",IF(ISNA(MATCH(B754,Staff!$A$2:$A$101,0)),"Unknown employee",IF(H754="?","Unknown site",IF(G754&lt;=0,"Check times",IF(G754&gt;12,"Over 12h",IF(COUNTIFS($L$2:$L$2001,L754)&gt;1,"Duplicate?",IF(A754&gt;TODAY(),"Future date","OK"))))))))</f>
        <v/>
      </c>
      <c r="L754">
        <f>IF(A754="","",TEXT(A754,"yyyy-mm-dd")&amp;"|"&amp;B754&amp;"|"&amp;C754)</f>
        <v/>
      </c>
    </row>
    <row r="755">
      <c r="A755" s="4" t="n"/>
      <c r="D755" s="5" t="n"/>
      <c r="E755" s="5" t="n"/>
      <c r="G755" s="6">
        <f>IF(OR(A755="",D755="",E755=""),"",ROUND(MOD(E755-D755,1)*24-N(F755)/60,2))</f>
        <v/>
      </c>
      <c r="H755" s="7">
        <f>IF(C755="","",IFERROR(INDEX(Sites!$B$2:$B$501,MATCH(C755,Sites!$A$2:$A$501,0)),"?"))</f>
        <v/>
      </c>
      <c r="I755" s="8">
        <f>IF(A755="","",A755-WEEKDAY(A755,3))</f>
        <v/>
      </c>
      <c r="K755" s="7">
        <f>IF(A755="","",IF(OR(B755="",C755="",D755="",E755=""),"Missing info",IF(ISNA(MATCH(B755,Staff!$A$2:$A$101,0)),"Unknown employee",IF(H755="?","Unknown site",IF(G755&lt;=0,"Check times",IF(G755&gt;12,"Over 12h",IF(COUNTIFS($L$2:$L$2001,L755)&gt;1,"Duplicate?",IF(A755&gt;TODAY(),"Future date","OK"))))))))</f>
        <v/>
      </c>
      <c r="L755">
        <f>IF(A755="","",TEXT(A755,"yyyy-mm-dd")&amp;"|"&amp;B755&amp;"|"&amp;C755)</f>
        <v/>
      </c>
    </row>
    <row r="756">
      <c r="A756" s="4" t="n"/>
      <c r="D756" s="5" t="n"/>
      <c r="E756" s="5" t="n"/>
      <c r="G756" s="6">
        <f>IF(OR(A756="",D756="",E756=""),"",ROUND(MOD(E756-D756,1)*24-N(F756)/60,2))</f>
        <v/>
      </c>
      <c r="H756" s="7">
        <f>IF(C756="","",IFERROR(INDEX(Sites!$B$2:$B$501,MATCH(C756,Sites!$A$2:$A$501,0)),"?"))</f>
        <v/>
      </c>
      <c r="I756" s="8">
        <f>IF(A756="","",A756-WEEKDAY(A756,3))</f>
        <v/>
      </c>
      <c r="K756" s="7">
        <f>IF(A756="","",IF(OR(B756="",C756="",D756="",E756=""),"Missing info",IF(ISNA(MATCH(B756,Staff!$A$2:$A$101,0)),"Unknown employee",IF(H756="?","Unknown site",IF(G756&lt;=0,"Check times",IF(G756&gt;12,"Over 12h",IF(COUNTIFS($L$2:$L$2001,L756)&gt;1,"Duplicate?",IF(A756&gt;TODAY(),"Future date","OK"))))))))</f>
        <v/>
      </c>
      <c r="L756">
        <f>IF(A756="","",TEXT(A756,"yyyy-mm-dd")&amp;"|"&amp;B756&amp;"|"&amp;C756)</f>
        <v/>
      </c>
    </row>
    <row r="757">
      <c r="A757" s="4" t="n"/>
      <c r="D757" s="5" t="n"/>
      <c r="E757" s="5" t="n"/>
      <c r="G757" s="6">
        <f>IF(OR(A757="",D757="",E757=""),"",ROUND(MOD(E757-D757,1)*24-N(F757)/60,2))</f>
        <v/>
      </c>
      <c r="H757" s="7">
        <f>IF(C757="","",IFERROR(INDEX(Sites!$B$2:$B$501,MATCH(C757,Sites!$A$2:$A$501,0)),"?"))</f>
        <v/>
      </c>
      <c r="I757" s="8">
        <f>IF(A757="","",A757-WEEKDAY(A757,3))</f>
        <v/>
      </c>
      <c r="K757" s="7">
        <f>IF(A757="","",IF(OR(B757="",C757="",D757="",E757=""),"Missing info",IF(ISNA(MATCH(B757,Staff!$A$2:$A$101,0)),"Unknown employee",IF(H757="?","Unknown site",IF(G757&lt;=0,"Check times",IF(G757&gt;12,"Over 12h",IF(COUNTIFS($L$2:$L$2001,L757)&gt;1,"Duplicate?",IF(A757&gt;TODAY(),"Future date","OK"))))))))</f>
        <v/>
      </c>
      <c r="L757">
        <f>IF(A757="","",TEXT(A757,"yyyy-mm-dd")&amp;"|"&amp;B757&amp;"|"&amp;C757)</f>
        <v/>
      </c>
    </row>
    <row r="758">
      <c r="A758" s="4" t="n"/>
      <c r="D758" s="5" t="n"/>
      <c r="E758" s="5" t="n"/>
      <c r="G758" s="6">
        <f>IF(OR(A758="",D758="",E758=""),"",ROUND(MOD(E758-D758,1)*24-N(F758)/60,2))</f>
        <v/>
      </c>
      <c r="H758" s="7">
        <f>IF(C758="","",IFERROR(INDEX(Sites!$B$2:$B$501,MATCH(C758,Sites!$A$2:$A$501,0)),"?"))</f>
        <v/>
      </c>
      <c r="I758" s="8">
        <f>IF(A758="","",A758-WEEKDAY(A758,3))</f>
        <v/>
      </c>
      <c r="K758" s="7">
        <f>IF(A758="","",IF(OR(B758="",C758="",D758="",E758=""),"Missing info",IF(ISNA(MATCH(B758,Staff!$A$2:$A$101,0)),"Unknown employee",IF(H758="?","Unknown site",IF(G758&lt;=0,"Check times",IF(G758&gt;12,"Over 12h",IF(COUNTIFS($L$2:$L$2001,L758)&gt;1,"Duplicate?",IF(A758&gt;TODAY(),"Future date","OK"))))))))</f>
        <v/>
      </c>
      <c r="L758">
        <f>IF(A758="","",TEXT(A758,"yyyy-mm-dd")&amp;"|"&amp;B758&amp;"|"&amp;C758)</f>
        <v/>
      </c>
    </row>
    <row r="759">
      <c r="A759" s="4" t="n"/>
      <c r="D759" s="5" t="n"/>
      <c r="E759" s="5" t="n"/>
      <c r="G759" s="6">
        <f>IF(OR(A759="",D759="",E759=""),"",ROUND(MOD(E759-D759,1)*24-N(F759)/60,2))</f>
        <v/>
      </c>
      <c r="H759" s="7">
        <f>IF(C759="","",IFERROR(INDEX(Sites!$B$2:$B$501,MATCH(C759,Sites!$A$2:$A$501,0)),"?"))</f>
        <v/>
      </c>
      <c r="I759" s="8">
        <f>IF(A759="","",A759-WEEKDAY(A759,3))</f>
        <v/>
      </c>
      <c r="K759" s="7">
        <f>IF(A759="","",IF(OR(B759="",C759="",D759="",E759=""),"Missing info",IF(ISNA(MATCH(B759,Staff!$A$2:$A$101,0)),"Unknown employee",IF(H759="?","Unknown site",IF(G759&lt;=0,"Check times",IF(G759&gt;12,"Over 12h",IF(COUNTIFS($L$2:$L$2001,L759)&gt;1,"Duplicate?",IF(A759&gt;TODAY(),"Future date","OK"))))))))</f>
        <v/>
      </c>
      <c r="L759">
        <f>IF(A759="","",TEXT(A759,"yyyy-mm-dd")&amp;"|"&amp;B759&amp;"|"&amp;C759)</f>
        <v/>
      </c>
    </row>
    <row r="760">
      <c r="A760" s="4" t="n"/>
      <c r="D760" s="5" t="n"/>
      <c r="E760" s="5" t="n"/>
      <c r="G760" s="6">
        <f>IF(OR(A760="",D760="",E760=""),"",ROUND(MOD(E760-D760,1)*24-N(F760)/60,2))</f>
        <v/>
      </c>
      <c r="H760" s="7">
        <f>IF(C760="","",IFERROR(INDEX(Sites!$B$2:$B$501,MATCH(C760,Sites!$A$2:$A$501,0)),"?"))</f>
        <v/>
      </c>
      <c r="I760" s="8">
        <f>IF(A760="","",A760-WEEKDAY(A760,3))</f>
        <v/>
      </c>
      <c r="K760" s="7">
        <f>IF(A760="","",IF(OR(B760="",C760="",D760="",E760=""),"Missing info",IF(ISNA(MATCH(B760,Staff!$A$2:$A$101,0)),"Unknown employee",IF(H760="?","Unknown site",IF(G760&lt;=0,"Check times",IF(G760&gt;12,"Over 12h",IF(COUNTIFS($L$2:$L$2001,L760)&gt;1,"Duplicate?",IF(A760&gt;TODAY(),"Future date","OK"))))))))</f>
        <v/>
      </c>
      <c r="L760">
        <f>IF(A760="","",TEXT(A760,"yyyy-mm-dd")&amp;"|"&amp;B760&amp;"|"&amp;C760)</f>
        <v/>
      </c>
    </row>
    <row r="761">
      <c r="A761" s="4" t="n"/>
      <c r="D761" s="5" t="n"/>
      <c r="E761" s="5" t="n"/>
      <c r="G761" s="6">
        <f>IF(OR(A761="",D761="",E761=""),"",ROUND(MOD(E761-D761,1)*24-N(F761)/60,2))</f>
        <v/>
      </c>
      <c r="H761" s="7">
        <f>IF(C761="","",IFERROR(INDEX(Sites!$B$2:$B$501,MATCH(C761,Sites!$A$2:$A$501,0)),"?"))</f>
        <v/>
      </c>
      <c r="I761" s="8">
        <f>IF(A761="","",A761-WEEKDAY(A761,3))</f>
        <v/>
      </c>
      <c r="K761" s="7">
        <f>IF(A761="","",IF(OR(B761="",C761="",D761="",E761=""),"Missing info",IF(ISNA(MATCH(B761,Staff!$A$2:$A$101,0)),"Unknown employee",IF(H761="?","Unknown site",IF(G761&lt;=0,"Check times",IF(G761&gt;12,"Over 12h",IF(COUNTIFS($L$2:$L$2001,L761)&gt;1,"Duplicate?",IF(A761&gt;TODAY(),"Future date","OK"))))))))</f>
        <v/>
      </c>
      <c r="L761">
        <f>IF(A761="","",TEXT(A761,"yyyy-mm-dd")&amp;"|"&amp;B761&amp;"|"&amp;C761)</f>
        <v/>
      </c>
    </row>
    <row r="762">
      <c r="A762" s="4" t="n"/>
      <c r="D762" s="5" t="n"/>
      <c r="E762" s="5" t="n"/>
      <c r="G762" s="6">
        <f>IF(OR(A762="",D762="",E762=""),"",ROUND(MOD(E762-D762,1)*24-N(F762)/60,2))</f>
        <v/>
      </c>
      <c r="H762" s="7">
        <f>IF(C762="","",IFERROR(INDEX(Sites!$B$2:$B$501,MATCH(C762,Sites!$A$2:$A$501,0)),"?"))</f>
        <v/>
      </c>
      <c r="I762" s="8">
        <f>IF(A762="","",A762-WEEKDAY(A762,3))</f>
        <v/>
      </c>
      <c r="K762" s="7">
        <f>IF(A762="","",IF(OR(B762="",C762="",D762="",E762=""),"Missing info",IF(ISNA(MATCH(B762,Staff!$A$2:$A$101,0)),"Unknown employee",IF(H762="?","Unknown site",IF(G762&lt;=0,"Check times",IF(G762&gt;12,"Over 12h",IF(COUNTIFS($L$2:$L$2001,L762)&gt;1,"Duplicate?",IF(A762&gt;TODAY(),"Future date","OK"))))))))</f>
        <v/>
      </c>
      <c r="L762">
        <f>IF(A762="","",TEXT(A762,"yyyy-mm-dd")&amp;"|"&amp;B762&amp;"|"&amp;C762)</f>
        <v/>
      </c>
    </row>
    <row r="763">
      <c r="A763" s="4" t="n"/>
      <c r="D763" s="5" t="n"/>
      <c r="E763" s="5" t="n"/>
      <c r="G763" s="6">
        <f>IF(OR(A763="",D763="",E763=""),"",ROUND(MOD(E763-D763,1)*24-N(F763)/60,2))</f>
        <v/>
      </c>
      <c r="H763" s="7">
        <f>IF(C763="","",IFERROR(INDEX(Sites!$B$2:$B$501,MATCH(C763,Sites!$A$2:$A$501,0)),"?"))</f>
        <v/>
      </c>
      <c r="I763" s="8">
        <f>IF(A763="","",A763-WEEKDAY(A763,3))</f>
        <v/>
      </c>
      <c r="K763" s="7">
        <f>IF(A763="","",IF(OR(B763="",C763="",D763="",E763=""),"Missing info",IF(ISNA(MATCH(B763,Staff!$A$2:$A$101,0)),"Unknown employee",IF(H763="?","Unknown site",IF(G763&lt;=0,"Check times",IF(G763&gt;12,"Over 12h",IF(COUNTIFS($L$2:$L$2001,L763)&gt;1,"Duplicate?",IF(A763&gt;TODAY(),"Future date","OK"))))))))</f>
        <v/>
      </c>
      <c r="L763">
        <f>IF(A763="","",TEXT(A763,"yyyy-mm-dd")&amp;"|"&amp;B763&amp;"|"&amp;C763)</f>
        <v/>
      </c>
    </row>
    <row r="764">
      <c r="A764" s="4" t="n"/>
      <c r="D764" s="5" t="n"/>
      <c r="E764" s="5" t="n"/>
      <c r="G764" s="6">
        <f>IF(OR(A764="",D764="",E764=""),"",ROUND(MOD(E764-D764,1)*24-N(F764)/60,2))</f>
        <v/>
      </c>
      <c r="H764" s="7">
        <f>IF(C764="","",IFERROR(INDEX(Sites!$B$2:$B$501,MATCH(C764,Sites!$A$2:$A$501,0)),"?"))</f>
        <v/>
      </c>
      <c r="I764" s="8">
        <f>IF(A764="","",A764-WEEKDAY(A764,3))</f>
        <v/>
      </c>
      <c r="K764" s="7">
        <f>IF(A764="","",IF(OR(B764="",C764="",D764="",E764=""),"Missing info",IF(ISNA(MATCH(B764,Staff!$A$2:$A$101,0)),"Unknown employee",IF(H764="?","Unknown site",IF(G764&lt;=0,"Check times",IF(G764&gt;12,"Over 12h",IF(COUNTIFS($L$2:$L$2001,L764)&gt;1,"Duplicate?",IF(A764&gt;TODAY(),"Future date","OK"))))))))</f>
        <v/>
      </c>
      <c r="L764">
        <f>IF(A764="","",TEXT(A764,"yyyy-mm-dd")&amp;"|"&amp;B764&amp;"|"&amp;C764)</f>
        <v/>
      </c>
    </row>
    <row r="765">
      <c r="A765" s="4" t="n"/>
      <c r="D765" s="5" t="n"/>
      <c r="E765" s="5" t="n"/>
      <c r="G765" s="6">
        <f>IF(OR(A765="",D765="",E765=""),"",ROUND(MOD(E765-D765,1)*24-N(F765)/60,2))</f>
        <v/>
      </c>
      <c r="H765" s="7">
        <f>IF(C765="","",IFERROR(INDEX(Sites!$B$2:$B$501,MATCH(C765,Sites!$A$2:$A$501,0)),"?"))</f>
        <v/>
      </c>
      <c r="I765" s="8">
        <f>IF(A765="","",A765-WEEKDAY(A765,3))</f>
        <v/>
      </c>
      <c r="K765" s="7">
        <f>IF(A765="","",IF(OR(B765="",C765="",D765="",E765=""),"Missing info",IF(ISNA(MATCH(B765,Staff!$A$2:$A$101,0)),"Unknown employee",IF(H765="?","Unknown site",IF(G765&lt;=0,"Check times",IF(G765&gt;12,"Over 12h",IF(COUNTIFS($L$2:$L$2001,L765)&gt;1,"Duplicate?",IF(A765&gt;TODAY(),"Future date","OK"))))))))</f>
        <v/>
      </c>
      <c r="L765">
        <f>IF(A765="","",TEXT(A765,"yyyy-mm-dd")&amp;"|"&amp;B765&amp;"|"&amp;C765)</f>
        <v/>
      </c>
    </row>
    <row r="766">
      <c r="A766" s="4" t="n"/>
      <c r="D766" s="5" t="n"/>
      <c r="E766" s="5" t="n"/>
      <c r="G766" s="6">
        <f>IF(OR(A766="",D766="",E766=""),"",ROUND(MOD(E766-D766,1)*24-N(F766)/60,2))</f>
        <v/>
      </c>
      <c r="H766" s="7">
        <f>IF(C766="","",IFERROR(INDEX(Sites!$B$2:$B$501,MATCH(C766,Sites!$A$2:$A$501,0)),"?"))</f>
        <v/>
      </c>
      <c r="I766" s="8">
        <f>IF(A766="","",A766-WEEKDAY(A766,3))</f>
        <v/>
      </c>
      <c r="K766" s="7">
        <f>IF(A766="","",IF(OR(B766="",C766="",D766="",E766=""),"Missing info",IF(ISNA(MATCH(B766,Staff!$A$2:$A$101,0)),"Unknown employee",IF(H766="?","Unknown site",IF(G766&lt;=0,"Check times",IF(G766&gt;12,"Over 12h",IF(COUNTIFS($L$2:$L$2001,L766)&gt;1,"Duplicate?",IF(A766&gt;TODAY(),"Future date","OK"))))))))</f>
        <v/>
      </c>
      <c r="L766">
        <f>IF(A766="","",TEXT(A766,"yyyy-mm-dd")&amp;"|"&amp;B766&amp;"|"&amp;C766)</f>
        <v/>
      </c>
    </row>
    <row r="767">
      <c r="A767" s="4" t="n"/>
      <c r="D767" s="5" t="n"/>
      <c r="E767" s="5" t="n"/>
      <c r="G767" s="6">
        <f>IF(OR(A767="",D767="",E767=""),"",ROUND(MOD(E767-D767,1)*24-N(F767)/60,2))</f>
        <v/>
      </c>
      <c r="H767" s="7">
        <f>IF(C767="","",IFERROR(INDEX(Sites!$B$2:$B$501,MATCH(C767,Sites!$A$2:$A$501,0)),"?"))</f>
        <v/>
      </c>
      <c r="I767" s="8">
        <f>IF(A767="","",A767-WEEKDAY(A767,3))</f>
        <v/>
      </c>
      <c r="K767" s="7">
        <f>IF(A767="","",IF(OR(B767="",C767="",D767="",E767=""),"Missing info",IF(ISNA(MATCH(B767,Staff!$A$2:$A$101,0)),"Unknown employee",IF(H767="?","Unknown site",IF(G767&lt;=0,"Check times",IF(G767&gt;12,"Over 12h",IF(COUNTIFS($L$2:$L$2001,L767)&gt;1,"Duplicate?",IF(A767&gt;TODAY(),"Future date","OK"))))))))</f>
        <v/>
      </c>
      <c r="L767">
        <f>IF(A767="","",TEXT(A767,"yyyy-mm-dd")&amp;"|"&amp;B767&amp;"|"&amp;C767)</f>
        <v/>
      </c>
    </row>
    <row r="768">
      <c r="A768" s="4" t="n"/>
      <c r="D768" s="5" t="n"/>
      <c r="E768" s="5" t="n"/>
      <c r="G768" s="6">
        <f>IF(OR(A768="",D768="",E768=""),"",ROUND(MOD(E768-D768,1)*24-N(F768)/60,2))</f>
        <v/>
      </c>
      <c r="H768" s="7">
        <f>IF(C768="","",IFERROR(INDEX(Sites!$B$2:$B$501,MATCH(C768,Sites!$A$2:$A$501,0)),"?"))</f>
        <v/>
      </c>
      <c r="I768" s="8">
        <f>IF(A768="","",A768-WEEKDAY(A768,3))</f>
        <v/>
      </c>
      <c r="K768" s="7">
        <f>IF(A768="","",IF(OR(B768="",C768="",D768="",E768=""),"Missing info",IF(ISNA(MATCH(B768,Staff!$A$2:$A$101,0)),"Unknown employee",IF(H768="?","Unknown site",IF(G768&lt;=0,"Check times",IF(G768&gt;12,"Over 12h",IF(COUNTIFS($L$2:$L$2001,L768)&gt;1,"Duplicate?",IF(A768&gt;TODAY(),"Future date","OK"))))))))</f>
        <v/>
      </c>
      <c r="L768">
        <f>IF(A768="","",TEXT(A768,"yyyy-mm-dd")&amp;"|"&amp;B768&amp;"|"&amp;C768)</f>
        <v/>
      </c>
    </row>
    <row r="769">
      <c r="A769" s="4" t="n"/>
      <c r="D769" s="5" t="n"/>
      <c r="E769" s="5" t="n"/>
      <c r="G769" s="6">
        <f>IF(OR(A769="",D769="",E769=""),"",ROUND(MOD(E769-D769,1)*24-N(F769)/60,2))</f>
        <v/>
      </c>
      <c r="H769" s="7">
        <f>IF(C769="","",IFERROR(INDEX(Sites!$B$2:$B$501,MATCH(C769,Sites!$A$2:$A$501,0)),"?"))</f>
        <v/>
      </c>
      <c r="I769" s="8">
        <f>IF(A769="","",A769-WEEKDAY(A769,3))</f>
        <v/>
      </c>
      <c r="K769" s="7">
        <f>IF(A769="","",IF(OR(B769="",C769="",D769="",E769=""),"Missing info",IF(ISNA(MATCH(B769,Staff!$A$2:$A$101,0)),"Unknown employee",IF(H769="?","Unknown site",IF(G769&lt;=0,"Check times",IF(G769&gt;12,"Over 12h",IF(COUNTIFS($L$2:$L$2001,L769)&gt;1,"Duplicate?",IF(A769&gt;TODAY(),"Future date","OK"))))))))</f>
        <v/>
      </c>
      <c r="L769">
        <f>IF(A769="","",TEXT(A769,"yyyy-mm-dd")&amp;"|"&amp;B769&amp;"|"&amp;C769)</f>
        <v/>
      </c>
    </row>
    <row r="770">
      <c r="A770" s="4" t="n"/>
      <c r="D770" s="5" t="n"/>
      <c r="E770" s="5" t="n"/>
      <c r="G770" s="6">
        <f>IF(OR(A770="",D770="",E770=""),"",ROUND(MOD(E770-D770,1)*24-N(F770)/60,2))</f>
        <v/>
      </c>
      <c r="H770" s="7">
        <f>IF(C770="","",IFERROR(INDEX(Sites!$B$2:$B$501,MATCH(C770,Sites!$A$2:$A$501,0)),"?"))</f>
        <v/>
      </c>
      <c r="I770" s="8">
        <f>IF(A770="","",A770-WEEKDAY(A770,3))</f>
        <v/>
      </c>
      <c r="K770" s="7">
        <f>IF(A770="","",IF(OR(B770="",C770="",D770="",E770=""),"Missing info",IF(ISNA(MATCH(B770,Staff!$A$2:$A$101,0)),"Unknown employee",IF(H770="?","Unknown site",IF(G770&lt;=0,"Check times",IF(G770&gt;12,"Over 12h",IF(COUNTIFS($L$2:$L$2001,L770)&gt;1,"Duplicate?",IF(A770&gt;TODAY(),"Future date","OK"))))))))</f>
        <v/>
      </c>
      <c r="L770">
        <f>IF(A770="","",TEXT(A770,"yyyy-mm-dd")&amp;"|"&amp;B770&amp;"|"&amp;C770)</f>
        <v/>
      </c>
    </row>
    <row r="771">
      <c r="A771" s="4" t="n"/>
      <c r="D771" s="5" t="n"/>
      <c r="E771" s="5" t="n"/>
      <c r="G771" s="6">
        <f>IF(OR(A771="",D771="",E771=""),"",ROUND(MOD(E771-D771,1)*24-N(F771)/60,2))</f>
        <v/>
      </c>
      <c r="H771" s="7">
        <f>IF(C771="","",IFERROR(INDEX(Sites!$B$2:$B$501,MATCH(C771,Sites!$A$2:$A$501,0)),"?"))</f>
        <v/>
      </c>
      <c r="I771" s="8">
        <f>IF(A771="","",A771-WEEKDAY(A771,3))</f>
        <v/>
      </c>
      <c r="K771" s="7">
        <f>IF(A771="","",IF(OR(B771="",C771="",D771="",E771=""),"Missing info",IF(ISNA(MATCH(B771,Staff!$A$2:$A$101,0)),"Unknown employee",IF(H771="?","Unknown site",IF(G771&lt;=0,"Check times",IF(G771&gt;12,"Over 12h",IF(COUNTIFS($L$2:$L$2001,L771)&gt;1,"Duplicate?",IF(A771&gt;TODAY(),"Future date","OK"))))))))</f>
        <v/>
      </c>
      <c r="L771">
        <f>IF(A771="","",TEXT(A771,"yyyy-mm-dd")&amp;"|"&amp;B771&amp;"|"&amp;C771)</f>
        <v/>
      </c>
    </row>
    <row r="772">
      <c r="A772" s="4" t="n"/>
      <c r="D772" s="5" t="n"/>
      <c r="E772" s="5" t="n"/>
      <c r="G772" s="6">
        <f>IF(OR(A772="",D772="",E772=""),"",ROUND(MOD(E772-D772,1)*24-N(F772)/60,2))</f>
        <v/>
      </c>
      <c r="H772" s="7">
        <f>IF(C772="","",IFERROR(INDEX(Sites!$B$2:$B$501,MATCH(C772,Sites!$A$2:$A$501,0)),"?"))</f>
        <v/>
      </c>
      <c r="I772" s="8">
        <f>IF(A772="","",A772-WEEKDAY(A772,3))</f>
        <v/>
      </c>
      <c r="K772" s="7">
        <f>IF(A772="","",IF(OR(B772="",C772="",D772="",E772=""),"Missing info",IF(ISNA(MATCH(B772,Staff!$A$2:$A$101,0)),"Unknown employee",IF(H772="?","Unknown site",IF(G772&lt;=0,"Check times",IF(G772&gt;12,"Over 12h",IF(COUNTIFS($L$2:$L$2001,L772)&gt;1,"Duplicate?",IF(A772&gt;TODAY(),"Future date","OK"))))))))</f>
        <v/>
      </c>
      <c r="L772">
        <f>IF(A772="","",TEXT(A772,"yyyy-mm-dd")&amp;"|"&amp;B772&amp;"|"&amp;C772)</f>
        <v/>
      </c>
    </row>
    <row r="773">
      <c r="A773" s="4" t="n"/>
      <c r="D773" s="5" t="n"/>
      <c r="E773" s="5" t="n"/>
      <c r="G773" s="6">
        <f>IF(OR(A773="",D773="",E773=""),"",ROUND(MOD(E773-D773,1)*24-N(F773)/60,2))</f>
        <v/>
      </c>
      <c r="H773" s="7">
        <f>IF(C773="","",IFERROR(INDEX(Sites!$B$2:$B$501,MATCH(C773,Sites!$A$2:$A$501,0)),"?"))</f>
        <v/>
      </c>
      <c r="I773" s="8">
        <f>IF(A773="","",A773-WEEKDAY(A773,3))</f>
        <v/>
      </c>
      <c r="K773" s="7">
        <f>IF(A773="","",IF(OR(B773="",C773="",D773="",E773=""),"Missing info",IF(ISNA(MATCH(B773,Staff!$A$2:$A$101,0)),"Unknown employee",IF(H773="?","Unknown site",IF(G773&lt;=0,"Check times",IF(G773&gt;12,"Over 12h",IF(COUNTIFS($L$2:$L$2001,L773)&gt;1,"Duplicate?",IF(A773&gt;TODAY(),"Future date","OK"))))))))</f>
        <v/>
      </c>
      <c r="L773">
        <f>IF(A773="","",TEXT(A773,"yyyy-mm-dd")&amp;"|"&amp;B773&amp;"|"&amp;C773)</f>
        <v/>
      </c>
    </row>
    <row r="774">
      <c r="A774" s="4" t="n"/>
      <c r="D774" s="5" t="n"/>
      <c r="E774" s="5" t="n"/>
      <c r="G774" s="6">
        <f>IF(OR(A774="",D774="",E774=""),"",ROUND(MOD(E774-D774,1)*24-N(F774)/60,2))</f>
        <v/>
      </c>
      <c r="H774" s="7">
        <f>IF(C774="","",IFERROR(INDEX(Sites!$B$2:$B$501,MATCH(C774,Sites!$A$2:$A$501,0)),"?"))</f>
        <v/>
      </c>
      <c r="I774" s="8">
        <f>IF(A774="","",A774-WEEKDAY(A774,3))</f>
        <v/>
      </c>
      <c r="K774" s="7">
        <f>IF(A774="","",IF(OR(B774="",C774="",D774="",E774=""),"Missing info",IF(ISNA(MATCH(B774,Staff!$A$2:$A$101,0)),"Unknown employee",IF(H774="?","Unknown site",IF(G774&lt;=0,"Check times",IF(G774&gt;12,"Over 12h",IF(COUNTIFS($L$2:$L$2001,L774)&gt;1,"Duplicate?",IF(A774&gt;TODAY(),"Future date","OK"))))))))</f>
        <v/>
      </c>
      <c r="L774">
        <f>IF(A774="","",TEXT(A774,"yyyy-mm-dd")&amp;"|"&amp;B774&amp;"|"&amp;C774)</f>
        <v/>
      </c>
    </row>
    <row r="775">
      <c r="A775" s="4" t="n"/>
      <c r="D775" s="5" t="n"/>
      <c r="E775" s="5" t="n"/>
      <c r="G775" s="6">
        <f>IF(OR(A775="",D775="",E775=""),"",ROUND(MOD(E775-D775,1)*24-N(F775)/60,2))</f>
        <v/>
      </c>
      <c r="H775" s="7">
        <f>IF(C775="","",IFERROR(INDEX(Sites!$B$2:$B$501,MATCH(C775,Sites!$A$2:$A$501,0)),"?"))</f>
        <v/>
      </c>
      <c r="I775" s="8">
        <f>IF(A775="","",A775-WEEKDAY(A775,3))</f>
        <v/>
      </c>
      <c r="K775" s="7">
        <f>IF(A775="","",IF(OR(B775="",C775="",D775="",E775=""),"Missing info",IF(ISNA(MATCH(B775,Staff!$A$2:$A$101,0)),"Unknown employee",IF(H775="?","Unknown site",IF(G775&lt;=0,"Check times",IF(G775&gt;12,"Over 12h",IF(COUNTIFS($L$2:$L$2001,L775)&gt;1,"Duplicate?",IF(A775&gt;TODAY(),"Future date","OK"))))))))</f>
        <v/>
      </c>
      <c r="L775">
        <f>IF(A775="","",TEXT(A775,"yyyy-mm-dd")&amp;"|"&amp;B775&amp;"|"&amp;C775)</f>
        <v/>
      </c>
    </row>
    <row r="776">
      <c r="A776" s="4" t="n"/>
      <c r="D776" s="5" t="n"/>
      <c r="E776" s="5" t="n"/>
      <c r="G776" s="6">
        <f>IF(OR(A776="",D776="",E776=""),"",ROUND(MOD(E776-D776,1)*24-N(F776)/60,2))</f>
        <v/>
      </c>
      <c r="H776" s="7">
        <f>IF(C776="","",IFERROR(INDEX(Sites!$B$2:$B$501,MATCH(C776,Sites!$A$2:$A$501,0)),"?"))</f>
        <v/>
      </c>
      <c r="I776" s="8">
        <f>IF(A776="","",A776-WEEKDAY(A776,3))</f>
        <v/>
      </c>
      <c r="K776" s="7">
        <f>IF(A776="","",IF(OR(B776="",C776="",D776="",E776=""),"Missing info",IF(ISNA(MATCH(B776,Staff!$A$2:$A$101,0)),"Unknown employee",IF(H776="?","Unknown site",IF(G776&lt;=0,"Check times",IF(G776&gt;12,"Over 12h",IF(COUNTIFS($L$2:$L$2001,L776)&gt;1,"Duplicate?",IF(A776&gt;TODAY(),"Future date","OK"))))))))</f>
        <v/>
      </c>
      <c r="L776">
        <f>IF(A776="","",TEXT(A776,"yyyy-mm-dd")&amp;"|"&amp;B776&amp;"|"&amp;C776)</f>
        <v/>
      </c>
    </row>
    <row r="777">
      <c r="A777" s="4" t="n"/>
      <c r="D777" s="5" t="n"/>
      <c r="E777" s="5" t="n"/>
      <c r="G777" s="6">
        <f>IF(OR(A777="",D777="",E777=""),"",ROUND(MOD(E777-D777,1)*24-N(F777)/60,2))</f>
        <v/>
      </c>
      <c r="H777" s="7">
        <f>IF(C777="","",IFERROR(INDEX(Sites!$B$2:$B$501,MATCH(C777,Sites!$A$2:$A$501,0)),"?"))</f>
        <v/>
      </c>
      <c r="I777" s="8">
        <f>IF(A777="","",A777-WEEKDAY(A777,3))</f>
        <v/>
      </c>
      <c r="K777" s="7">
        <f>IF(A777="","",IF(OR(B777="",C777="",D777="",E777=""),"Missing info",IF(ISNA(MATCH(B777,Staff!$A$2:$A$101,0)),"Unknown employee",IF(H777="?","Unknown site",IF(G777&lt;=0,"Check times",IF(G777&gt;12,"Over 12h",IF(COUNTIFS($L$2:$L$2001,L777)&gt;1,"Duplicate?",IF(A777&gt;TODAY(),"Future date","OK"))))))))</f>
        <v/>
      </c>
      <c r="L777">
        <f>IF(A777="","",TEXT(A777,"yyyy-mm-dd")&amp;"|"&amp;B777&amp;"|"&amp;C777)</f>
        <v/>
      </c>
    </row>
    <row r="778">
      <c r="A778" s="4" t="n"/>
      <c r="D778" s="5" t="n"/>
      <c r="E778" s="5" t="n"/>
      <c r="G778" s="6">
        <f>IF(OR(A778="",D778="",E778=""),"",ROUND(MOD(E778-D778,1)*24-N(F778)/60,2))</f>
        <v/>
      </c>
      <c r="H778" s="7">
        <f>IF(C778="","",IFERROR(INDEX(Sites!$B$2:$B$501,MATCH(C778,Sites!$A$2:$A$501,0)),"?"))</f>
        <v/>
      </c>
      <c r="I778" s="8">
        <f>IF(A778="","",A778-WEEKDAY(A778,3))</f>
        <v/>
      </c>
      <c r="K778" s="7">
        <f>IF(A778="","",IF(OR(B778="",C778="",D778="",E778=""),"Missing info",IF(ISNA(MATCH(B778,Staff!$A$2:$A$101,0)),"Unknown employee",IF(H778="?","Unknown site",IF(G778&lt;=0,"Check times",IF(G778&gt;12,"Over 12h",IF(COUNTIFS($L$2:$L$2001,L778)&gt;1,"Duplicate?",IF(A778&gt;TODAY(),"Future date","OK"))))))))</f>
        <v/>
      </c>
      <c r="L778">
        <f>IF(A778="","",TEXT(A778,"yyyy-mm-dd")&amp;"|"&amp;B778&amp;"|"&amp;C778)</f>
        <v/>
      </c>
    </row>
    <row r="779">
      <c r="A779" s="4" t="n"/>
      <c r="D779" s="5" t="n"/>
      <c r="E779" s="5" t="n"/>
      <c r="G779" s="6">
        <f>IF(OR(A779="",D779="",E779=""),"",ROUND(MOD(E779-D779,1)*24-N(F779)/60,2))</f>
        <v/>
      </c>
      <c r="H779" s="7">
        <f>IF(C779="","",IFERROR(INDEX(Sites!$B$2:$B$501,MATCH(C779,Sites!$A$2:$A$501,0)),"?"))</f>
        <v/>
      </c>
      <c r="I779" s="8">
        <f>IF(A779="","",A779-WEEKDAY(A779,3))</f>
        <v/>
      </c>
      <c r="K779" s="7">
        <f>IF(A779="","",IF(OR(B779="",C779="",D779="",E779=""),"Missing info",IF(ISNA(MATCH(B779,Staff!$A$2:$A$101,0)),"Unknown employee",IF(H779="?","Unknown site",IF(G779&lt;=0,"Check times",IF(G779&gt;12,"Over 12h",IF(COUNTIFS($L$2:$L$2001,L779)&gt;1,"Duplicate?",IF(A779&gt;TODAY(),"Future date","OK"))))))))</f>
        <v/>
      </c>
      <c r="L779">
        <f>IF(A779="","",TEXT(A779,"yyyy-mm-dd")&amp;"|"&amp;B779&amp;"|"&amp;C779)</f>
        <v/>
      </c>
    </row>
    <row r="780">
      <c r="A780" s="4" t="n"/>
      <c r="D780" s="5" t="n"/>
      <c r="E780" s="5" t="n"/>
      <c r="G780" s="6">
        <f>IF(OR(A780="",D780="",E780=""),"",ROUND(MOD(E780-D780,1)*24-N(F780)/60,2))</f>
        <v/>
      </c>
      <c r="H780" s="7">
        <f>IF(C780="","",IFERROR(INDEX(Sites!$B$2:$B$501,MATCH(C780,Sites!$A$2:$A$501,0)),"?"))</f>
        <v/>
      </c>
      <c r="I780" s="8">
        <f>IF(A780="","",A780-WEEKDAY(A780,3))</f>
        <v/>
      </c>
      <c r="K780" s="7">
        <f>IF(A780="","",IF(OR(B780="",C780="",D780="",E780=""),"Missing info",IF(ISNA(MATCH(B780,Staff!$A$2:$A$101,0)),"Unknown employee",IF(H780="?","Unknown site",IF(G780&lt;=0,"Check times",IF(G780&gt;12,"Over 12h",IF(COUNTIFS($L$2:$L$2001,L780)&gt;1,"Duplicate?",IF(A780&gt;TODAY(),"Future date","OK"))))))))</f>
        <v/>
      </c>
      <c r="L780">
        <f>IF(A780="","",TEXT(A780,"yyyy-mm-dd")&amp;"|"&amp;B780&amp;"|"&amp;C780)</f>
        <v/>
      </c>
    </row>
    <row r="781">
      <c r="A781" s="4" t="n"/>
      <c r="D781" s="5" t="n"/>
      <c r="E781" s="5" t="n"/>
      <c r="G781" s="6">
        <f>IF(OR(A781="",D781="",E781=""),"",ROUND(MOD(E781-D781,1)*24-N(F781)/60,2))</f>
        <v/>
      </c>
      <c r="H781" s="7">
        <f>IF(C781="","",IFERROR(INDEX(Sites!$B$2:$B$501,MATCH(C781,Sites!$A$2:$A$501,0)),"?"))</f>
        <v/>
      </c>
      <c r="I781" s="8">
        <f>IF(A781="","",A781-WEEKDAY(A781,3))</f>
        <v/>
      </c>
      <c r="K781" s="7">
        <f>IF(A781="","",IF(OR(B781="",C781="",D781="",E781=""),"Missing info",IF(ISNA(MATCH(B781,Staff!$A$2:$A$101,0)),"Unknown employee",IF(H781="?","Unknown site",IF(G781&lt;=0,"Check times",IF(G781&gt;12,"Over 12h",IF(COUNTIFS($L$2:$L$2001,L781)&gt;1,"Duplicate?",IF(A781&gt;TODAY(),"Future date","OK"))))))))</f>
        <v/>
      </c>
      <c r="L781">
        <f>IF(A781="","",TEXT(A781,"yyyy-mm-dd")&amp;"|"&amp;B781&amp;"|"&amp;C781)</f>
        <v/>
      </c>
    </row>
    <row r="782">
      <c r="A782" s="4" t="n"/>
      <c r="D782" s="5" t="n"/>
      <c r="E782" s="5" t="n"/>
      <c r="G782" s="6">
        <f>IF(OR(A782="",D782="",E782=""),"",ROUND(MOD(E782-D782,1)*24-N(F782)/60,2))</f>
        <v/>
      </c>
      <c r="H782" s="7">
        <f>IF(C782="","",IFERROR(INDEX(Sites!$B$2:$B$501,MATCH(C782,Sites!$A$2:$A$501,0)),"?"))</f>
        <v/>
      </c>
      <c r="I782" s="8">
        <f>IF(A782="","",A782-WEEKDAY(A782,3))</f>
        <v/>
      </c>
      <c r="K782" s="7">
        <f>IF(A782="","",IF(OR(B782="",C782="",D782="",E782=""),"Missing info",IF(ISNA(MATCH(B782,Staff!$A$2:$A$101,0)),"Unknown employee",IF(H782="?","Unknown site",IF(G782&lt;=0,"Check times",IF(G782&gt;12,"Over 12h",IF(COUNTIFS($L$2:$L$2001,L782)&gt;1,"Duplicate?",IF(A782&gt;TODAY(),"Future date","OK"))))))))</f>
        <v/>
      </c>
      <c r="L782">
        <f>IF(A782="","",TEXT(A782,"yyyy-mm-dd")&amp;"|"&amp;B782&amp;"|"&amp;C782)</f>
        <v/>
      </c>
    </row>
    <row r="783">
      <c r="A783" s="4" t="n"/>
      <c r="D783" s="5" t="n"/>
      <c r="E783" s="5" t="n"/>
      <c r="G783" s="6">
        <f>IF(OR(A783="",D783="",E783=""),"",ROUND(MOD(E783-D783,1)*24-N(F783)/60,2))</f>
        <v/>
      </c>
      <c r="H783" s="7">
        <f>IF(C783="","",IFERROR(INDEX(Sites!$B$2:$B$501,MATCH(C783,Sites!$A$2:$A$501,0)),"?"))</f>
        <v/>
      </c>
      <c r="I783" s="8">
        <f>IF(A783="","",A783-WEEKDAY(A783,3))</f>
        <v/>
      </c>
      <c r="K783" s="7">
        <f>IF(A783="","",IF(OR(B783="",C783="",D783="",E783=""),"Missing info",IF(ISNA(MATCH(B783,Staff!$A$2:$A$101,0)),"Unknown employee",IF(H783="?","Unknown site",IF(G783&lt;=0,"Check times",IF(G783&gt;12,"Over 12h",IF(COUNTIFS($L$2:$L$2001,L783)&gt;1,"Duplicate?",IF(A783&gt;TODAY(),"Future date","OK"))))))))</f>
        <v/>
      </c>
      <c r="L783">
        <f>IF(A783="","",TEXT(A783,"yyyy-mm-dd")&amp;"|"&amp;B783&amp;"|"&amp;C783)</f>
        <v/>
      </c>
    </row>
    <row r="784">
      <c r="A784" s="4" t="n"/>
      <c r="D784" s="5" t="n"/>
      <c r="E784" s="5" t="n"/>
      <c r="G784" s="6">
        <f>IF(OR(A784="",D784="",E784=""),"",ROUND(MOD(E784-D784,1)*24-N(F784)/60,2))</f>
        <v/>
      </c>
      <c r="H784" s="7">
        <f>IF(C784="","",IFERROR(INDEX(Sites!$B$2:$B$501,MATCH(C784,Sites!$A$2:$A$501,0)),"?"))</f>
        <v/>
      </c>
      <c r="I784" s="8">
        <f>IF(A784="","",A784-WEEKDAY(A784,3))</f>
        <v/>
      </c>
      <c r="K784" s="7">
        <f>IF(A784="","",IF(OR(B784="",C784="",D784="",E784=""),"Missing info",IF(ISNA(MATCH(B784,Staff!$A$2:$A$101,0)),"Unknown employee",IF(H784="?","Unknown site",IF(G784&lt;=0,"Check times",IF(G784&gt;12,"Over 12h",IF(COUNTIFS($L$2:$L$2001,L784)&gt;1,"Duplicate?",IF(A784&gt;TODAY(),"Future date","OK"))))))))</f>
        <v/>
      </c>
      <c r="L784">
        <f>IF(A784="","",TEXT(A784,"yyyy-mm-dd")&amp;"|"&amp;B784&amp;"|"&amp;C784)</f>
        <v/>
      </c>
    </row>
    <row r="785">
      <c r="A785" s="4" t="n"/>
      <c r="D785" s="5" t="n"/>
      <c r="E785" s="5" t="n"/>
      <c r="G785" s="6">
        <f>IF(OR(A785="",D785="",E785=""),"",ROUND(MOD(E785-D785,1)*24-N(F785)/60,2))</f>
        <v/>
      </c>
      <c r="H785" s="7">
        <f>IF(C785="","",IFERROR(INDEX(Sites!$B$2:$B$501,MATCH(C785,Sites!$A$2:$A$501,0)),"?"))</f>
        <v/>
      </c>
      <c r="I785" s="8">
        <f>IF(A785="","",A785-WEEKDAY(A785,3))</f>
        <v/>
      </c>
      <c r="K785" s="7">
        <f>IF(A785="","",IF(OR(B785="",C785="",D785="",E785=""),"Missing info",IF(ISNA(MATCH(B785,Staff!$A$2:$A$101,0)),"Unknown employee",IF(H785="?","Unknown site",IF(G785&lt;=0,"Check times",IF(G785&gt;12,"Over 12h",IF(COUNTIFS($L$2:$L$2001,L785)&gt;1,"Duplicate?",IF(A785&gt;TODAY(),"Future date","OK"))))))))</f>
        <v/>
      </c>
      <c r="L785">
        <f>IF(A785="","",TEXT(A785,"yyyy-mm-dd")&amp;"|"&amp;B785&amp;"|"&amp;C785)</f>
        <v/>
      </c>
    </row>
    <row r="786">
      <c r="A786" s="4" t="n"/>
      <c r="D786" s="5" t="n"/>
      <c r="E786" s="5" t="n"/>
      <c r="G786" s="6">
        <f>IF(OR(A786="",D786="",E786=""),"",ROUND(MOD(E786-D786,1)*24-N(F786)/60,2))</f>
        <v/>
      </c>
      <c r="H786" s="7">
        <f>IF(C786="","",IFERROR(INDEX(Sites!$B$2:$B$501,MATCH(C786,Sites!$A$2:$A$501,0)),"?"))</f>
        <v/>
      </c>
      <c r="I786" s="8">
        <f>IF(A786="","",A786-WEEKDAY(A786,3))</f>
        <v/>
      </c>
      <c r="K786" s="7">
        <f>IF(A786="","",IF(OR(B786="",C786="",D786="",E786=""),"Missing info",IF(ISNA(MATCH(B786,Staff!$A$2:$A$101,0)),"Unknown employee",IF(H786="?","Unknown site",IF(G786&lt;=0,"Check times",IF(G786&gt;12,"Over 12h",IF(COUNTIFS($L$2:$L$2001,L786)&gt;1,"Duplicate?",IF(A786&gt;TODAY(),"Future date","OK"))))))))</f>
        <v/>
      </c>
      <c r="L786">
        <f>IF(A786="","",TEXT(A786,"yyyy-mm-dd")&amp;"|"&amp;B786&amp;"|"&amp;C786)</f>
        <v/>
      </c>
    </row>
    <row r="787">
      <c r="A787" s="4" t="n"/>
      <c r="D787" s="5" t="n"/>
      <c r="E787" s="5" t="n"/>
      <c r="G787" s="6">
        <f>IF(OR(A787="",D787="",E787=""),"",ROUND(MOD(E787-D787,1)*24-N(F787)/60,2))</f>
        <v/>
      </c>
      <c r="H787" s="7">
        <f>IF(C787="","",IFERROR(INDEX(Sites!$B$2:$B$501,MATCH(C787,Sites!$A$2:$A$501,0)),"?"))</f>
        <v/>
      </c>
      <c r="I787" s="8">
        <f>IF(A787="","",A787-WEEKDAY(A787,3))</f>
        <v/>
      </c>
      <c r="K787" s="7">
        <f>IF(A787="","",IF(OR(B787="",C787="",D787="",E787=""),"Missing info",IF(ISNA(MATCH(B787,Staff!$A$2:$A$101,0)),"Unknown employee",IF(H787="?","Unknown site",IF(G787&lt;=0,"Check times",IF(G787&gt;12,"Over 12h",IF(COUNTIFS($L$2:$L$2001,L787)&gt;1,"Duplicate?",IF(A787&gt;TODAY(),"Future date","OK"))))))))</f>
        <v/>
      </c>
      <c r="L787">
        <f>IF(A787="","",TEXT(A787,"yyyy-mm-dd")&amp;"|"&amp;B787&amp;"|"&amp;C787)</f>
        <v/>
      </c>
    </row>
    <row r="788">
      <c r="A788" s="4" t="n"/>
      <c r="D788" s="5" t="n"/>
      <c r="E788" s="5" t="n"/>
      <c r="G788" s="6">
        <f>IF(OR(A788="",D788="",E788=""),"",ROUND(MOD(E788-D788,1)*24-N(F788)/60,2))</f>
        <v/>
      </c>
      <c r="H788" s="7">
        <f>IF(C788="","",IFERROR(INDEX(Sites!$B$2:$B$501,MATCH(C788,Sites!$A$2:$A$501,0)),"?"))</f>
        <v/>
      </c>
      <c r="I788" s="8">
        <f>IF(A788="","",A788-WEEKDAY(A788,3))</f>
        <v/>
      </c>
      <c r="K788" s="7">
        <f>IF(A788="","",IF(OR(B788="",C788="",D788="",E788=""),"Missing info",IF(ISNA(MATCH(B788,Staff!$A$2:$A$101,0)),"Unknown employee",IF(H788="?","Unknown site",IF(G788&lt;=0,"Check times",IF(G788&gt;12,"Over 12h",IF(COUNTIFS($L$2:$L$2001,L788)&gt;1,"Duplicate?",IF(A788&gt;TODAY(),"Future date","OK"))))))))</f>
        <v/>
      </c>
      <c r="L788">
        <f>IF(A788="","",TEXT(A788,"yyyy-mm-dd")&amp;"|"&amp;B788&amp;"|"&amp;C788)</f>
        <v/>
      </c>
    </row>
    <row r="789">
      <c r="A789" s="4" t="n"/>
      <c r="D789" s="5" t="n"/>
      <c r="E789" s="5" t="n"/>
      <c r="G789" s="6">
        <f>IF(OR(A789="",D789="",E789=""),"",ROUND(MOD(E789-D789,1)*24-N(F789)/60,2))</f>
        <v/>
      </c>
      <c r="H789" s="7">
        <f>IF(C789="","",IFERROR(INDEX(Sites!$B$2:$B$501,MATCH(C789,Sites!$A$2:$A$501,0)),"?"))</f>
        <v/>
      </c>
      <c r="I789" s="8">
        <f>IF(A789="","",A789-WEEKDAY(A789,3))</f>
        <v/>
      </c>
      <c r="K789" s="7">
        <f>IF(A789="","",IF(OR(B789="",C789="",D789="",E789=""),"Missing info",IF(ISNA(MATCH(B789,Staff!$A$2:$A$101,0)),"Unknown employee",IF(H789="?","Unknown site",IF(G789&lt;=0,"Check times",IF(G789&gt;12,"Over 12h",IF(COUNTIFS($L$2:$L$2001,L789)&gt;1,"Duplicate?",IF(A789&gt;TODAY(),"Future date","OK"))))))))</f>
        <v/>
      </c>
      <c r="L789">
        <f>IF(A789="","",TEXT(A789,"yyyy-mm-dd")&amp;"|"&amp;B789&amp;"|"&amp;C789)</f>
        <v/>
      </c>
    </row>
    <row r="790">
      <c r="A790" s="4" t="n"/>
      <c r="D790" s="5" t="n"/>
      <c r="E790" s="5" t="n"/>
      <c r="G790" s="6">
        <f>IF(OR(A790="",D790="",E790=""),"",ROUND(MOD(E790-D790,1)*24-N(F790)/60,2))</f>
        <v/>
      </c>
      <c r="H790" s="7">
        <f>IF(C790="","",IFERROR(INDEX(Sites!$B$2:$B$501,MATCH(C790,Sites!$A$2:$A$501,0)),"?"))</f>
        <v/>
      </c>
      <c r="I790" s="8">
        <f>IF(A790="","",A790-WEEKDAY(A790,3))</f>
        <v/>
      </c>
      <c r="K790" s="7">
        <f>IF(A790="","",IF(OR(B790="",C790="",D790="",E790=""),"Missing info",IF(ISNA(MATCH(B790,Staff!$A$2:$A$101,0)),"Unknown employee",IF(H790="?","Unknown site",IF(G790&lt;=0,"Check times",IF(G790&gt;12,"Over 12h",IF(COUNTIFS($L$2:$L$2001,L790)&gt;1,"Duplicate?",IF(A790&gt;TODAY(),"Future date","OK"))))))))</f>
        <v/>
      </c>
      <c r="L790">
        <f>IF(A790="","",TEXT(A790,"yyyy-mm-dd")&amp;"|"&amp;B790&amp;"|"&amp;C790)</f>
        <v/>
      </c>
    </row>
    <row r="791">
      <c r="A791" s="4" t="n"/>
      <c r="D791" s="5" t="n"/>
      <c r="E791" s="5" t="n"/>
      <c r="G791" s="6">
        <f>IF(OR(A791="",D791="",E791=""),"",ROUND(MOD(E791-D791,1)*24-N(F791)/60,2))</f>
        <v/>
      </c>
      <c r="H791" s="7">
        <f>IF(C791="","",IFERROR(INDEX(Sites!$B$2:$B$501,MATCH(C791,Sites!$A$2:$A$501,0)),"?"))</f>
        <v/>
      </c>
      <c r="I791" s="8">
        <f>IF(A791="","",A791-WEEKDAY(A791,3))</f>
        <v/>
      </c>
      <c r="K791" s="7">
        <f>IF(A791="","",IF(OR(B791="",C791="",D791="",E791=""),"Missing info",IF(ISNA(MATCH(B791,Staff!$A$2:$A$101,0)),"Unknown employee",IF(H791="?","Unknown site",IF(G791&lt;=0,"Check times",IF(G791&gt;12,"Over 12h",IF(COUNTIFS($L$2:$L$2001,L791)&gt;1,"Duplicate?",IF(A791&gt;TODAY(),"Future date","OK"))))))))</f>
        <v/>
      </c>
      <c r="L791">
        <f>IF(A791="","",TEXT(A791,"yyyy-mm-dd")&amp;"|"&amp;B791&amp;"|"&amp;C791)</f>
        <v/>
      </c>
    </row>
    <row r="792">
      <c r="A792" s="4" t="n"/>
      <c r="D792" s="5" t="n"/>
      <c r="E792" s="5" t="n"/>
      <c r="G792" s="6">
        <f>IF(OR(A792="",D792="",E792=""),"",ROUND(MOD(E792-D792,1)*24-N(F792)/60,2))</f>
        <v/>
      </c>
      <c r="H792" s="7">
        <f>IF(C792="","",IFERROR(INDEX(Sites!$B$2:$B$501,MATCH(C792,Sites!$A$2:$A$501,0)),"?"))</f>
        <v/>
      </c>
      <c r="I792" s="8">
        <f>IF(A792="","",A792-WEEKDAY(A792,3))</f>
        <v/>
      </c>
      <c r="K792" s="7">
        <f>IF(A792="","",IF(OR(B792="",C792="",D792="",E792=""),"Missing info",IF(ISNA(MATCH(B792,Staff!$A$2:$A$101,0)),"Unknown employee",IF(H792="?","Unknown site",IF(G792&lt;=0,"Check times",IF(G792&gt;12,"Over 12h",IF(COUNTIFS($L$2:$L$2001,L792)&gt;1,"Duplicate?",IF(A792&gt;TODAY(),"Future date","OK"))))))))</f>
        <v/>
      </c>
      <c r="L792">
        <f>IF(A792="","",TEXT(A792,"yyyy-mm-dd")&amp;"|"&amp;B792&amp;"|"&amp;C792)</f>
        <v/>
      </c>
    </row>
    <row r="793">
      <c r="A793" s="4" t="n"/>
      <c r="D793" s="5" t="n"/>
      <c r="E793" s="5" t="n"/>
      <c r="G793" s="6">
        <f>IF(OR(A793="",D793="",E793=""),"",ROUND(MOD(E793-D793,1)*24-N(F793)/60,2))</f>
        <v/>
      </c>
      <c r="H793" s="7">
        <f>IF(C793="","",IFERROR(INDEX(Sites!$B$2:$B$501,MATCH(C793,Sites!$A$2:$A$501,0)),"?"))</f>
        <v/>
      </c>
      <c r="I793" s="8">
        <f>IF(A793="","",A793-WEEKDAY(A793,3))</f>
        <v/>
      </c>
      <c r="K793" s="7">
        <f>IF(A793="","",IF(OR(B793="",C793="",D793="",E793=""),"Missing info",IF(ISNA(MATCH(B793,Staff!$A$2:$A$101,0)),"Unknown employee",IF(H793="?","Unknown site",IF(G793&lt;=0,"Check times",IF(G793&gt;12,"Over 12h",IF(COUNTIFS($L$2:$L$2001,L793)&gt;1,"Duplicate?",IF(A793&gt;TODAY(),"Future date","OK"))))))))</f>
        <v/>
      </c>
      <c r="L793">
        <f>IF(A793="","",TEXT(A793,"yyyy-mm-dd")&amp;"|"&amp;B793&amp;"|"&amp;C793)</f>
        <v/>
      </c>
    </row>
    <row r="794">
      <c r="A794" s="4" t="n"/>
      <c r="D794" s="5" t="n"/>
      <c r="E794" s="5" t="n"/>
      <c r="G794" s="6">
        <f>IF(OR(A794="",D794="",E794=""),"",ROUND(MOD(E794-D794,1)*24-N(F794)/60,2))</f>
        <v/>
      </c>
      <c r="H794" s="7">
        <f>IF(C794="","",IFERROR(INDEX(Sites!$B$2:$B$501,MATCH(C794,Sites!$A$2:$A$501,0)),"?"))</f>
        <v/>
      </c>
      <c r="I794" s="8">
        <f>IF(A794="","",A794-WEEKDAY(A794,3))</f>
        <v/>
      </c>
      <c r="K794" s="7">
        <f>IF(A794="","",IF(OR(B794="",C794="",D794="",E794=""),"Missing info",IF(ISNA(MATCH(B794,Staff!$A$2:$A$101,0)),"Unknown employee",IF(H794="?","Unknown site",IF(G794&lt;=0,"Check times",IF(G794&gt;12,"Over 12h",IF(COUNTIFS($L$2:$L$2001,L794)&gt;1,"Duplicate?",IF(A794&gt;TODAY(),"Future date","OK"))))))))</f>
        <v/>
      </c>
      <c r="L794">
        <f>IF(A794="","",TEXT(A794,"yyyy-mm-dd")&amp;"|"&amp;B794&amp;"|"&amp;C794)</f>
        <v/>
      </c>
    </row>
    <row r="795">
      <c r="A795" s="4" t="n"/>
      <c r="D795" s="5" t="n"/>
      <c r="E795" s="5" t="n"/>
      <c r="G795" s="6">
        <f>IF(OR(A795="",D795="",E795=""),"",ROUND(MOD(E795-D795,1)*24-N(F795)/60,2))</f>
        <v/>
      </c>
      <c r="H795" s="7">
        <f>IF(C795="","",IFERROR(INDEX(Sites!$B$2:$B$501,MATCH(C795,Sites!$A$2:$A$501,0)),"?"))</f>
        <v/>
      </c>
      <c r="I795" s="8">
        <f>IF(A795="","",A795-WEEKDAY(A795,3))</f>
        <v/>
      </c>
      <c r="K795" s="7">
        <f>IF(A795="","",IF(OR(B795="",C795="",D795="",E795=""),"Missing info",IF(ISNA(MATCH(B795,Staff!$A$2:$A$101,0)),"Unknown employee",IF(H795="?","Unknown site",IF(G795&lt;=0,"Check times",IF(G795&gt;12,"Over 12h",IF(COUNTIFS($L$2:$L$2001,L795)&gt;1,"Duplicate?",IF(A795&gt;TODAY(),"Future date","OK"))))))))</f>
        <v/>
      </c>
      <c r="L795">
        <f>IF(A795="","",TEXT(A795,"yyyy-mm-dd")&amp;"|"&amp;B795&amp;"|"&amp;C795)</f>
        <v/>
      </c>
    </row>
    <row r="796">
      <c r="A796" s="4" t="n"/>
      <c r="D796" s="5" t="n"/>
      <c r="E796" s="5" t="n"/>
      <c r="G796" s="6">
        <f>IF(OR(A796="",D796="",E796=""),"",ROUND(MOD(E796-D796,1)*24-N(F796)/60,2))</f>
        <v/>
      </c>
      <c r="H796" s="7">
        <f>IF(C796="","",IFERROR(INDEX(Sites!$B$2:$B$501,MATCH(C796,Sites!$A$2:$A$501,0)),"?"))</f>
        <v/>
      </c>
      <c r="I796" s="8">
        <f>IF(A796="","",A796-WEEKDAY(A796,3))</f>
        <v/>
      </c>
      <c r="K796" s="7">
        <f>IF(A796="","",IF(OR(B796="",C796="",D796="",E796=""),"Missing info",IF(ISNA(MATCH(B796,Staff!$A$2:$A$101,0)),"Unknown employee",IF(H796="?","Unknown site",IF(G796&lt;=0,"Check times",IF(G796&gt;12,"Over 12h",IF(COUNTIFS($L$2:$L$2001,L796)&gt;1,"Duplicate?",IF(A796&gt;TODAY(),"Future date","OK"))))))))</f>
        <v/>
      </c>
      <c r="L796">
        <f>IF(A796="","",TEXT(A796,"yyyy-mm-dd")&amp;"|"&amp;B796&amp;"|"&amp;C796)</f>
        <v/>
      </c>
    </row>
    <row r="797">
      <c r="A797" s="4" t="n"/>
      <c r="D797" s="5" t="n"/>
      <c r="E797" s="5" t="n"/>
      <c r="G797" s="6">
        <f>IF(OR(A797="",D797="",E797=""),"",ROUND(MOD(E797-D797,1)*24-N(F797)/60,2))</f>
        <v/>
      </c>
      <c r="H797" s="7">
        <f>IF(C797="","",IFERROR(INDEX(Sites!$B$2:$B$501,MATCH(C797,Sites!$A$2:$A$501,0)),"?"))</f>
        <v/>
      </c>
      <c r="I797" s="8">
        <f>IF(A797="","",A797-WEEKDAY(A797,3))</f>
        <v/>
      </c>
      <c r="K797" s="7">
        <f>IF(A797="","",IF(OR(B797="",C797="",D797="",E797=""),"Missing info",IF(ISNA(MATCH(B797,Staff!$A$2:$A$101,0)),"Unknown employee",IF(H797="?","Unknown site",IF(G797&lt;=0,"Check times",IF(G797&gt;12,"Over 12h",IF(COUNTIFS($L$2:$L$2001,L797)&gt;1,"Duplicate?",IF(A797&gt;TODAY(),"Future date","OK"))))))))</f>
        <v/>
      </c>
      <c r="L797">
        <f>IF(A797="","",TEXT(A797,"yyyy-mm-dd")&amp;"|"&amp;B797&amp;"|"&amp;C797)</f>
        <v/>
      </c>
    </row>
    <row r="798">
      <c r="A798" s="4" t="n"/>
      <c r="D798" s="5" t="n"/>
      <c r="E798" s="5" t="n"/>
      <c r="G798" s="6">
        <f>IF(OR(A798="",D798="",E798=""),"",ROUND(MOD(E798-D798,1)*24-N(F798)/60,2))</f>
        <v/>
      </c>
      <c r="H798" s="7">
        <f>IF(C798="","",IFERROR(INDEX(Sites!$B$2:$B$501,MATCH(C798,Sites!$A$2:$A$501,0)),"?"))</f>
        <v/>
      </c>
      <c r="I798" s="8">
        <f>IF(A798="","",A798-WEEKDAY(A798,3))</f>
        <v/>
      </c>
      <c r="K798" s="7">
        <f>IF(A798="","",IF(OR(B798="",C798="",D798="",E798=""),"Missing info",IF(ISNA(MATCH(B798,Staff!$A$2:$A$101,0)),"Unknown employee",IF(H798="?","Unknown site",IF(G798&lt;=0,"Check times",IF(G798&gt;12,"Over 12h",IF(COUNTIFS($L$2:$L$2001,L798)&gt;1,"Duplicate?",IF(A798&gt;TODAY(),"Future date","OK"))))))))</f>
        <v/>
      </c>
      <c r="L798">
        <f>IF(A798="","",TEXT(A798,"yyyy-mm-dd")&amp;"|"&amp;B798&amp;"|"&amp;C798)</f>
        <v/>
      </c>
    </row>
    <row r="799">
      <c r="A799" s="4" t="n"/>
      <c r="D799" s="5" t="n"/>
      <c r="E799" s="5" t="n"/>
      <c r="G799" s="6">
        <f>IF(OR(A799="",D799="",E799=""),"",ROUND(MOD(E799-D799,1)*24-N(F799)/60,2))</f>
        <v/>
      </c>
      <c r="H799" s="7">
        <f>IF(C799="","",IFERROR(INDEX(Sites!$B$2:$B$501,MATCH(C799,Sites!$A$2:$A$501,0)),"?"))</f>
        <v/>
      </c>
      <c r="I799" s="8">
        <f>IF(A799="","",A799-WEEKDAY(A799,3))</f>
        <v/>
      </c>
      <c r="K799" s="7">
        <f>IF(A799="","",IF(OR(B799="",C799="",D799="",E799=""),"Missing info",IF(ISNA(MATCH(B799,Staff!$A$2:$A$101,0)),"Unknown employee",IF(H799="?","Unknown site",IF(G799&lt;=0,"Check times",IF(G799&gt;12,"Over 12h",IF(COUNTIFS($L$2:$L$2001,L799)&gt;1,"Duplicate?",IF(A799&gt;TODAY(),"Future date","OK"))))))))</f>
        <v/>
      </c>
      <c r="L799">
        <f>IF(A799="","",TEXT(A799,"yyyy-mm-dd")&amp;"|"&amp;B799&amp;"|"&amp;C799)</f>
        <v/>
      </c>
    </row>
    <row r="800">
      <c r="A800" s="4" t="n"/>
      <c r="D800" s="5" t="n"/>
      <c r="E800" s="5" t="n"/>
      <c r="G800" s="6">
        <f>IF(OR(A800="",D800="",E800=""),"",ROUND(MOD(E800-D800,1)*24-N(F800)/60,2))</f>
        <v/>
      </c>
      <c r="H800" s="7">
        <f>IF(C800="","",IFERROR(INDEX(Sites!$B$2:$B$501,MATCH(C800,Sites!$A$2:$A$501,0)),"?"))</f>
        <v/>
      </c>
      <c r="I800" s="8">
        <f>IF(A800="","",A800-WEEKDAY(A800,3))</f>
        <v/>
      </c>
      <c r="K800" s="7">
        <f>IF(A800="","",IF(OR(B800="",C800="",D800="",E800=""),"Missing info",IF(ISNA(MATCH(B800,Staff!$A$2:$A$101,0)),"Unknown employee",IF(H800="?","Unknown site",IF(G800&lt;=0,"Check times",IF(G800&gt;12,"Over 12h",IF(COUNTIFS($L$2:$L$2001,L800)&gt;1,"Duplicate?",IF(A800&gt;TODAY(),"Future date","OK"))))))))</f>
        <v/>
      </c>
      <c r="L800">
        <f>IF(A800="","",TEXT(A800,"yyyy-mm-dd")&amp;"|"&amp;B800&amp;"|"&amp;C800)</f>
        <v/>
      </c>
    </row>
    <row r="801">
      <c r="A801" s="4" t="n"/>
      <c r="D801" s="5" t="n"/>
      <c r="E801" s="5" t="n"/>
      <c r="G801" s="6">
        <f>IF(OR(A801="",D801="",E801=""),"",ROUND(MOD(E801-D801,1)*24-N(F801)/60,2))</f>
        <v/>
      </c>
      <c r="H801" s="7">
        <f>IF(C801="","",IFERROR(INDEX(Sites!$B$2:$B$501,MATCH(C801,Sites!$A$2:$A$501,0)),"?"))</f>
        <v/>
      </c>
      <c r="I801" s="8">
        <f>IF(A801="","",A801-WEEKDAY(A801,3))</f>
        <v/>
      </c>
      <c r="K801" s="7">
        <f>IF(A801="","",IF(OR(B801="",C801="",D801="",E801=""),"Missing info",IF(ISNA(MATCH(B801,Staff!$A$2:$A$101,0)),"Unknown employee",IF(H801="?","Unknown site",IF(G801&lt;=0,"Check times",IF(G801&gt;12,"Over 12h",IF(COUNTIFS($L$2:$L$2001,L801)&gt;1,"Duplicate?",IF(A801&gt;TODAY(),"Future date","OK"))))))))</f>
        <v/>
      </c>
      <c r="L801">
        <f>IF(A801="","",TEXT(A801,"yyyy-mm-dd")&amp;"|"&amp;B801&amp;"|"&amp;C801)</f>
        <v/>
      </c>
    </row>
    <row r="802">
      <c r="A802" s="4" t="n"/>
      <c r="D802" s="5" t="n"/>
      <c r="E802" s="5" t="n"/>
      <c r="G802" s="6">
        <f>IF(OR(A802="",D802="",E802=""),"",ROUND(MOD(E802-D802,1)*24-N(F802)/60,2))</f>
        <v/>
      </c>
      <c r="H802" s="7">
        <f>IF(C802="","",IFERROR(INDEX(Sites!$B$2:$B$501,MATCH(C802,Sites!$A$2:$A$501,0)),"?"))</f>
        <v/>
      </c>
      <c r="I802" s="8">
        <f>IF(A802="","",A802-WEEKDAY(A802,3))</f>
        <v/>
      </c>
      <c r="K802" s="7">
        <f>IF(A802="","",IF(OR(B802="",C802="",D802="",E802=""),"Missing info",IF(ISNA(MATCH(B802,Staff!$A$2:$A$101,0)),"Unknown employee",IF(H802="?","Unknown site",IF(G802&lt;=0,"Check times",IF(G802&gt;12,"Over 12h",IF(COUNTIFS($L$2:$L$2001,L802)&gt;1,"Duplicate?",IF(A802&gt;TODAY(),"Future date","OK"))))))))</f>
        <v/>
      </c>
      <c r="L802">
        <f>IF(A802="","",TEXT(A802,"yyyy-mm-dd")&amp;"|"&amp;B802&amp;"|"&amp;C802)</f>
        <v/>
      </c>
    </row>
    <row r="803">
      <c r="A803" s="4" t="n"/>
      <c r="D803" s="5" t="n"/>
      <c r="E803" s="5" t="n"/>
      <c r="G803" s="6">
        <f>IF(OR(A803="",D803="",E803=""),"",ROUND(MOD(E803-D803,1)*24-N(F803)/60,2))</f>
        <v/>
      </c>
      <c r="H803" s="7">
        <f>IF(C803="","",IFERROR(INDEX(Sites!$B$2:$B$501,MATCH(C803,Sites!$A$2:$A$501,0)),"?"))</f>
        <v/>
      </c>
      <c r="I803" s="8">
        <f>IF(A803="","",A803-WEEKDAY(A803,3))</f>
        <v/>
      </c>
      <c r="K803" s="7">
        <f>IF(A803="","",IF(OR(B803="",C803="",D803="",E803=""),"Missing info",IF(ISNA(MATCH(B803,Staff!$A$2:$A$101,0)),"Unknown employee",IF(H803="?","Unknown site",IF(G803&lt;=0,"Check times",IF(G803&gt;12,"Over 12h",IF(COUNTIFS($L$2:$L$2001,L803)&gt;1,"Duplicate?",IF(A803&gt;TODAY(),"Future date","OK"))))))))</f>
        <v/>
      </c>
      <c r="L803">
        <f>IF(A803="","",TEXT(A803,"yyyy-mm-dd")&amp;"|"&amp;B803&amp;"|"&amp;C803)</f>
        <v/>
      </c>
    </row>
    <row r="804">
      <c r="A804" s="4" t="n"/>
      <c r="D804" s="5" t="n"/>
      <c r="E804" s="5" t="n"/>
      <c r="G804" s="6">
        <f>IF(OR(A804="",D804="",E804=""),"",ROUND(MOD(E804-D804,1)*24-N(F804)/60,2))</f>
        <v/>
      </c>
      <c r="H804" s="7">
        <f>IF(C804="","",IFERROR(INDEX(Sites!$B$2:$B$501,MATCH(C804,Sites!$A$2:$A$501,0)),"?"))</f>
        <v/>
      </c>
      <c r="I804" s="8">
        <f>IF(A804="","",A804-WEEKDAY(A804,3))</f>
        <v/>
      </c>
      <c r="K804" s="7">
        <f>IF(A804="","",IF(OR(B804="",C804="",D804="",E804=""),"Missing info",IF(ISNA(MATCH(B804,Staff!$A$2:$A$101,0)),"Unknown employee",IF(H804="?","Unknown site",IF(G804&lt;=0,"Check times",IF(G804&gt;12,"Over 12h",IF(COUNTIFS($L$2:$L$2001,L804)&gt;1,"Duplicate?",IF(A804&gt;TODAY(),"Future date","OK"))))))))</f>
        <v/>
      </c>
      <c r="L804">
        <f>IF(A804="","",TEXT(A804,"yyyy-mm-dd")&amp;"|"&amp;B804&amp;"|"&amp;C804)</f>
        <v/>
      </c>
    </row>
    <row r="805">
      <c r="A805" s="4" t="n"/>
      <c r="D805" s="5" t="n"/>
      <c r="E805" s="5" t="n"/>
      <c r="G805" s="6">
        <f>IF(OR(A805="",D805="",E805=""),"",ROUND(MOD(E805-D805,1)*24-N(F805)/60,2))</f>
        <v/>
      </c>
      <c r="H805" s="7">
        <f>IF(C805="","",IFERROR(INDEX(Sites!$B$2:$B$501,MATCH(C805,Sites!$A$2:$A$501,0)),"?"))</f>
        <v/>
      </c>
      <c r="I805" s="8">
        <f>IF(A805="","",A805-WEEKDAY(A805,3))</f>
        <v/>
      </c>
      <c r="K805" s="7">
        <f>IF(A805="","",IF(OR(B805="",C805="",D805="",E805=""),"Missing info",IF(ISNA(MATCH(B805,Staff!$A$2:$A$101,0)),"Unknown employee",IF(H805="?","Unknown site",IF(G805&lt;=0,"Check times",IF(G805&gt;12,"Over 12h",IF(COUNTIFS($L$2:$L$2001,L805)&gt;1,"Duplicate?",IF(A805&gt;TODAY(),"Future date","OK"))))))))</f>
        <v/>
      </c>
      <c r="L805">
        <f>IF(A805="","",TEXT(A805,"yyyy-mm-dd")&amp;"|"&amp;B805&amp;"|"&amp;C805)</f>
        <v/>
      </c>
    </row>
    <row r="806">
      <c r="A806" s="4" t="n"/>
      <c r="D806" s="5" t="n"/>
      <c r="E806" s="5" t="n"/>
      <c r="G806" s="6">
        <f>IF(OR(A806="",D806="",E806=""),"",ROUND(MOD(E806-D806,1)*24-N(F806)/60,2))</f>
        <v/>
      </c>
      <c r="H806" s="7">
        <f>IF(C806="","",IFERROR(INDEX(Sites!$B$2:$B$501,MATCH(C806,Sites!$A$2:$A$501,0)),"?"))</f>
        <v/>
      </c>
      <c r="I806" s="8">
        <f>IF(A806="","",A806-WEEKDAY(A806,3))</f>
        <v/>
      </c>
      <c r="K806" s="7">
        <f>IF(A806="","",IF(OR(B806="",C806="",D806="",E806=""),"Missing info",IF(ISNA(MATCH(B806,Staff!$A$2:$A$101,0)),"Unknown employee",IF(H806="?","Unknown site",IF(G806&lt;=0,"Check times",IF(G806&gt;12,"Over 12h",IF(COUNTIFS($L$2:$L$2001,L806)&gt;1,"Duplicate?",IF(A806&gt;TODAY(),"Future date","OK"))))))))</f>
        <v/>
      </c>
      <c r="L806">
        <f>IF(A806="","",TEXT(A806,"yyyy-mm-dd")&amp;"|"&amp;B806&amp;"|"&amp;C806)</f>
        <v/>
      </c>
    </row>
    <row r="807">
      <c r="A807" s="4" t="n"/>
      <c r="D807" s="5" t="n"/>
      <c r="E807" s="5" t="n"/>
      <c r="G807" s="6">
        <f>IF(OR(A807="",D807="",E807=""),"",ROUND(MOD(E807-D807,1)*24-N(F807)/60,2))</f>
        <v/>
      </c>
      <c r="H807" s="7">
        <f>IF(C807="","",IFERROR(INDEX(Sites!$B$2:$B$501,MATCH(C807,Sites!$A$2:$A$501,0)),"?"))</f>
        <v/>
      </c>
      <c r="I807" s="8">
        <f>IF(A807="","",A807-WEEKDAY(A807,3))</f>
        <v/>
      </c>
      <c r="K807" s="7">
        <f>IF(A807="","",IF(OR(B807="",C807="",D807="",E807=""),"Missing info",IF(ISNA(MATCH(B807,Staff!$A$2:$A$101,0)),"Unknown employee",IF(H807="?","Unknown site",IF(G807&lt;=0,"Check times",IF(G807&gt;12,"Over 12h",IF(COUNTIFS($L$2:$L$2001,L807)&gt;1,"Duplicate?",IF(A807&gt;TODAY(),"Future date","OK"))))))))</f>
        <v/>
      </c>
      <c r="L807">
        <f>IF(A807="","",TEXT(A807,"yyyy-mm-dd")&amp;"|"&amp;B807&amp;"|"&amp;C807)</f>
        <v/>
      </c>
    </row>
    <row r="808">
      <c r="A808" s="4" t="n"/>
      <c r="D808" s="5" t="n"/>
      <c r="E808" s="5" t="n"/>
      <c r="G808" s="6">
        <f>IF(OR(A808="",D808="",E808=""),"",ROUND(MOD(E808-D808,1)*24-N(F808)/60,2))</f>
        <v/>
      </c>
      <c r="H808" s="7">
        <f>IF(C808="","",IFERROR(INDEX(Sites!$B$2:$B$501,MATCH(C808,Sites!$A$2:$A$501,0)),"?"))</f>
        <v/>
      </c>
      <c r="I808" s="8">
        <f>IF(A808="","",A808-WEEKDAY(A808,3))</f>
        <v/>
      </c>
      <c r="K808" s="7">
        <f>IF(A808="","",IF(OR(B808="",C808="",D808="",E808=""),"Missing info",IF(ISNA(MATCH(B808,Staff!$A$2:$A$101,0)),"Unknown employee",IF(H808="?","Unknown site",IF(G808&lt;=0,"Check times",IF(G808&gt;12,"Over 12h",IF(COUNTIFS($L$2:$L$2001,L808)&gt;1,"Duplicate?",IF(A808&gt;TODAY(),"Future date","OK"))))))))</f>
        <v/>
      </c>
      <c r="L808">
        <f>IF(A808="","",TEXT(A808,"yyyy-mm-dd")&amp;"|"&amp;B808&amp;"|"&amp;C808)</f>
        <v/>
      </c>
    </row>
    <row r="809">
      <c r="A809" s="4" t="n"/>
      <c r="D809" s="5" t="n"/>
      <c r="E809" s="5" t="n"/>
      <c r="G809" s="6">
        <f>IF(OR(A809="",D809="",E809=""),"",ROUND(MOD(E809-D809,1)*24-N(F809)/60,2))</f>
        <v/>
      </c>
      <c r="H809" s="7">
        <f>IF(C809="","",IFERROR(INDEX(Sites!$B$2:$B$501,MATCH(C809,Sites!$A$2:$A$501,0)),"?"))</f>
        <v/>
      </c>
      <c r="I809" s="8">
        <f>IF(A809="","",A809-WEEKDAY(A809,3))</f>
        <v/>
      </c>
      <c r="K809" s="7">
        <f>IF(A809="","",IF(OR(B809="",C809="",D809="",E809=""),"Missing info",IF(ISNA(MATCH(B809,Staff!$A$2:$A$101,0)),"Unknown employee",IF(H809="?","Unknown site",IF(G809&lt;=0,"Check times",IF(G809&gt;12,"Over 12h",IF(COUNTIFS($L$2:$L$2001,L809)&gt;1,"Duplicate?",IF(A809&gt;TODAY(),"Future date","OK"))))))))</f>
        <v/>
      </c>
      <c r="L809">
        <f>IF(A809="","",TEXT(A809,"yyyy-mm-dd")&amp;"|"&amp;B809&amp;"|"&amp;C809)</f>
        <v/>
      </c>
    </row>
    <row r="810">
      <c r="A810" s="4" t="n"/>
      <c r="D810" s="5" t="n"/>
      <c r="E810" s="5" t="n"/>
      <c r="G810" s="6">
        <f>IF(OR(A810="",D810="",E810=""),"",ROUND(MOD(E810-D810,1)*24-N(F810)/60,2))</f>
        <v/>
      </c>
      <c r="H810" s="7">
        <f>IF(C810="","",IFERROR(INDEX(Sites!$B$2:$B$501,MATCH(C810,Sites!$A$2:$A$501,0)),"?"))</f>
        <v/>
      </c>
      <c r="I810" s="8">
        <f>IF(A810="","",A810-WEEKDAY(A810,3))</f>
        <v/>
      </c>
      <c r="K810" s="7">
        <f>IF(A810="","",IF(OR(B810="",C810="",D810="",E810=""),"Missing info",IF(ISNA(MATCH(B810,Staff!$A$2:$A$101,0)),"Unknown employee",IF(H810="?","Unknown site",IF(G810&lt;=0,"Check times",IF(G810&gt;12,"Over 12h",IF(COUNTIFS($L$2:$L$2001,L810)&gt;1,"Duplicate?",IF(A810&gt;TODAY(),"Future date","OK"))))))))</f>
        <v/>
      </c>
      <c r="L810">
        <f>IF(A810="","",TEXT(A810,"yyyy-mm-dd")&amp;"|"&amp;B810&amp;"|"&amp;C810)</f>
        <v/>
      </c>
    </row>
    <row r="811">
      <c r="A811" s="4" t="n"/>
      <c r="D811" s="5" t="n"/>
      <c r="E811" s="5" t="n"/>
      <c r="G811" s="6">
        <f>IF(OR(A811="",D811="",E811=""),"",ROUND(MOD(E811-D811,1)*24-N(F811)/60,2))</f>
        <v/>
      </c>
      <c r="H811" s="7">
        <f>IF(C811="","",IFERROR(INDEX(Sites!$B$2:$B$501,MATCH(C811,Sites!$A$2:$A$501,0)),"?"))</f>
        <v/>
      </c>
      <c r="I811" s="8">
        <f>IF(A811="","",A811-WEEKDAY(A811,3))</f>
        <v/>
      </c>
      <c r="K811" s="7">
        <f>IF(A811="","",IF(OR(B811="",C811="",D811="",E811=""),"Missing info",IF(ISNA(MATCH(B811,Staff!$A$2:$A$101,0)),"Unknown employee",IF(H811="?","Unknown site",IF(G811&lt;=0,"Check times",IF(G811&gt;12,"Over 12h",IF(COUNTIFS($L$2:$L$2001,L811)&gt;1,"Duplicate?",IF(A811&gt;TODAY(),"Future date","OK"))))))))</f>
        <v/>
      </c>
      <c r="L811">
        <f>IF(A811="","",TEXT(A811,"yyyy-mm-dd")&amp;"|"&amp;B811&amp;"|"&amp;C811)</f>
        <v/>
      </c>
    </row>
    <row r="812">
      <c r="A812" s="4" t="n"/>
      <c r="D812" s="5" t="n"/>
      <c r="E812" s="5" t="n"/>
      <c r="G812" s="6">
        <f>IF(OR(A812="",D812="",E812=""),"",ROUND(MOD(E812-D812,1)*24-N(F812)/60,2))</f>
        <v/>
      </c>
      <c r="H812" s="7">
        <f>IF(C812="","",IFERROR(INDEX(Sites!$B$2:$B$501,MATCH(C812,Sites!$A$2:$A$501,0)),"?"))</f>
        <v/>
      </c>
      <c r="I812" s="8">
        <f>IF(A812="","",A812-WEEKDAY(A812,3))</f>
        <v/>
      </c>
      <c r="K812" s="7">
        <f>IF(A812="","",IF(OR(B812="",C812="",D812="",E812=""),"Missing info",IF(ISNA(MATCH(B812,Staff!$A$2:$A$101,0)),"Unknown employee",IF(H812="?","Unknown site",IF(G812&lt;=0,"Check times",IF(G812&gt;12,"Over 12h",IF(COUNTIFS($L$2:$L$2001,L812)&gt;1,"Duplicate?",IF(A812&gt;TODAY(),"Future date","OK"))))))))</f>
        <v/>
      </c>
      <c r="L812">
        <f>IF(A812="","",TEXT(A812,"yyyy-mm-dd")&amp;"|"&amp;B812&amp;"|"&amp;C812)</f>
        <v/>
      </c>
    </row>
    <row r="813">
      <c r="A813" s="4" t="n"/>
      <c r="D813" s="5" t="n"/>
      <c r="E813" s="5" t="n"/>
      <c r="G813" s="6">
        <f>IF(OR(A813="",D813="",E813=""),"",ROUND(MOD(E813-D813,1)*24-N(F813)/60,2))</f>
        <v/>
      </c>
      <c r="H813" s="7">
        <f>IF(C813="","",IFERROR(INDEX(Sites!$B$2:$B$501,MATCH(C813,Sites!$A$2:$A$501,0)),"?"))</f>
        <v/>
      </c>
      <c r="I813" s="8">
        <f>IF(A813="","",A813-WEEKDAY(A813,3))</f>
        <v/>
      </c>
      <c r="K813" s="7">
        <f>IF(A813="","",IF(OR(B813="",C813="",D813="",E813=""),"Missing info",IF(ISNA(MATCH(B813,Staff!$A$2:$A$101,0)),"Unknown employee",IF(H813="?","Unknown site",IF(G813&lt;=0,"Check times",IF(G813&gt;12,"Over 12h",IF(COUNTIFS($L$2:$L$2001,L813)&gt;1,"Duplicate?",IF(A813&gt;TODAY(),"Future date","OK"))))))))</f>
        <v/>
      </c>
      <c r="L813">
        <f>IF(A813="","",TEXT(A813,"yyyy-mm-dd")&amp;"|"&amp;B813&amp;"|"&amp;C813)</f>
        <v/>
      </c>
    </row>
    <row r="814">
      <c r="A814" s="4" t="n"/>
      <c r="D814" s="5" t="n"/>
      <c r="E814" s="5" t="n"/>
      <c r="G814" s="6">
        <f>IF(OR(A814="",D814="",E814=""),"",ROUND(MOD(E814-D814,1)*24-N(F814)/60,2))</f>
        <v/>
      </c>
      <c r="H814" s="7">
        <f>IF(C814="","",IFERROR(INDEX(Sites!$B$2:$B$501,MATCH(C814,Sites!$A$2:$A$501,0)),"?"))</f>
        <v/>
      </c>
      <c r="I814" s="8">
        <f>IF(A814="","",A814-WEEKDAY(A814,3))</f>
        <v/>
      </c>
      <c r="K814" s="7">
        <f>IF(A814="","",IF(OR(B814="",C814="",D814="",E814=""),"Missing info",IF(ISNA(MATCH(B814,Staff!$A$2:$A$101,0)),"Unknown employee",IF(H814="?","Unknown site",IF(G814&lt;=0,"Check times",IF(G814&gt;12,"Over 12h",IF(COUNTIFS($L$2:$L$2001,L814)&gt;1,"Duplicate?",IF(A814&gt;TODAY(),"Future date","OK"))))))))</f>
        <v/>
      </c>
      <c r="L814">
        <f>IF(A814="","",TEXT(A814,"yyyy-mm-dd")&amp;"|"&amp;B814&amp;"|"&amp;C814)</f>
        <v/>
      </c>
    </row>
    <row r="815">
      <c r="A815" s="4" t="n"/>
      <c r="D815" s="5" t="n"/>
      <c r="E815" s="5" t="n"/>
      <c r="G815" s="6">
        <f>IF(OR(A815="",D815="",E815=""),"",ROUND(MOD(E815-D815,1)*24-N(F815)/60,2))</f>
        <v/>
      </c>
      <c r="H815" s="7">
        <f>IF(C815="","",IFERROR(INDEX(Sites!$B$2:$B$501,MATCH(C815,Sites!$A$2:$A$501,0)),"?"))</f>
        <v/>
      </c>
      <c r="I815" s="8">
        <f>IF(A815="","",A815-WEEKDAY(A815,3))</f>
        <v/>
      </c>
      <c r="K815" s="7">
        <f>IF(A815="","",IF(OR(B815="",C815="",D815="",E815=""),"Missing info",IF(ISNA(MATCH(B815,Staff!$A$2:$A$101,0)),"Unknown employee",IF(H815="?","Unknown site",IF(G815&lt;=0,"Check times",IF(G815&gt;12,"Over 12h",IF(COUNTIFS($L$2:$L$2001,L815)&gt;1,"Duplicate?",IF(A815&gt;TODAY(),"Future date","OK"))))))))</f>
        <v/>
      </c>
      <c r="L815">
        <f>IF(A815="","",TEXT(A815,"yyyy-mm-dd")&amp;"|"&amp;B815&amp;"|"&amp;C815)</f>
        <v/>
      </c>
    </row>
    <row r="816">
      <c r="A816" s="4" t="n"/>
      <c r="D816" s="5" t="n"/>
      <c r="E816" s="5" t="n"/>
      <c r="G816" s="6">
        <f>IF(OR(A816="",D816="",E816=""),"",ROUND(MOD(E816-D816,1)*24-N(F816)/60,2))</f>
        <v/>
      </c>
      <c r="H816" s="7">
        <f>IF(C816="","",IFERROR(INDEX(Sites!$B$2:$B$501,MATCH(C816,Sites!$A$2:$A$501,0)),"?"))</f>
        <v/>
      </c>
      <c r="I816" s="8">
        <f>IF(A816="","",A816-WEEKDAY(A816,3))</f>
        <v/>
      </c>
      <c r="K816" s="7">
        <f>IF(A816="","",IF(OR(B816="",C816="",D816="",E816=""),"Missing info",IF(ISNA(MATCH(B816,Staff!$A$2:$A$101,0)),"Unknown employee",IF(H816="?","Unknown site",IF(G816&lt;=0,"Check times",IF(G816&gt;12,"Over 12h",IF(COUNTIFS($L$2:$L$2001,L816)&gt;1,"Duplicate?",IF(A816&gt;TODAY(),"Future date","OK"))))))))</f>
        <v/>
      </c>
      <c r="L816">
        <f>IF(A816="","",TEXT(A816,"yyyy-mm-dd")&amp;"|"&amp;B816&amp;"|"&amp;C816)</f>
        <v/>
      </c>
    </row>
    <row r="817">
      <c r="A817" s="4" t="n"/>
      <c r="D817" s="5" t="n"/>
      <c r="E817" s="5" t="n"/>
      <c r="G817" s="6">
        <f>IF(OR(A817="",D817="",E817=""),"",ROUND(MOD(E817-D817,1)*24-N(F817)/60,2))</f>
        <v/>
      </c>
      <c r="H817" s="7">
        <f>IF(C817="","",IFERROR(INDEX(Sites!$B$2:$B$501,MATCH(C817,Sites!$A$2:$A$501,0)),"?"))</f>
        <v/>
      </c>
      <c r="I817" s="8">
        <f>IF(A817="","",A817-WEEKDAY(A817,3))</f>
        <v/>
      </c>
      <c r="K817" s="7">
        <f>IF(A817="","",IF(OR(B817="",C817="",D817="",E817=""),"Missing info",IF(ISNA(MATCH(B817,Staff!$A$2:$A$101,0)),"Unknown employee",IF(H817="?","Unknown site",IF(G817&lt;=0,"Check times",IF(G817&gt;12,"Over 12h",IF(COUNTIFS($L$2:$L$2001,L817)&gt;1,"Duplicate?",IF(A817&gt;TODAY(),"Future date","OK"))))))))</f>
        <v/>
      </c>
      <c r="L817">
        <f>IF(A817="","",TEXT(A817,"yyyy-mm-dd")&amp;"|"&amp;B817&amp;"|"&amp;C817)</f>
        <v/>
      </c>
    </row>
    <row r="818">
      <c r="A818" s="4" t="n"/>
      <c r="D818" s="5" t="n"/>
      <c r="E818" s="5" t="n"/>
      <c r="G818" s="6">
        <f>IF(OR(A818="",D818="",E818=""),"",ROUND(MOD(E818-D818,1)*24-N(F818)/60,2))</f>
        <v/>
      </c>
      <c r="H818" s="7">
        <f>IF(C818="","",IFERROR(INDEX(Sites!$B$2:$B$501,MATCH(C818,Sites!$A$2:$A$501,0)),"?"))</f>
        <v/>
      </c>
      <c r="I818" s="8">
        <f>IF(A818="","",A818-WEEKDAY(A818,3))</f>
        <v/>
      </c>
      <c r="K818" s="7">
        <f>IF(A818="","",IF(OR(B818="",C818="",D818="",E818=""),"Missing info",IF(ISNA(MATCH(B818,Staff!$A$2:$A$101,0)),"Unknown employee",IF(H818="?","Unknown site",IF(G818&lt;=0,"Check times",IF(G818&gt;12,"Over 12h",IF(COUNTIFS($L$2:$L$2001,L818)&gt;1,"Duplicate?",IF(A818&gt;TODAY(),"Future date","OK"))))))))</f>
        <v/>
      </c>
      <c r="L818">
        <f>IF(A818="","",TEXT(A818,"yyyy-mm-dd")&amp;"|"&amp;B818&amp;"|"&amp;C818)</f>
        <v/>
      </c>
    </row>
    <row r="819">
      <c r="A819" s="4" t="n"/>
      <c r="D819" s="5" t="n"/>
      <c r="E819" s="5" t="n"/>
      <c r="G819" s="6">
        <f>IF(OR(A819="",D819="",E819=""),"",ROUND(MOD(E819-D819,1)*24-N(F819)/60,2))</f>
        <v/>
      </c>
      <c r="H819" s="7">
        <f>IF(C819="","",IFERROR(INDEX(Sites!$B$2:$B$501,MATCH(C819,Sites!$A$2:$A$501,0)),"?"))</f>
        <v/>
      </c>
      <c r="I819" s="8">
        <f>IF(A819="","",A819-WEEKDAY(A819,3))</f>
        <v/>
      </c>
      <c r="K819" s="7">
        <f>IF(A819="","",IF(OR(B819="",C819="",D819="",E819=""),"Missing info",IF(ISNA(MATCH(B819,Staff!$A$2:$A$101,0)),"Unknown employee",IF(H819="?","Unknown site",IF(G819&lt;=0,"Check times",IF(G819&gt;12,"Over 12h",IF(COUNTIFS($L$2:$L$2001,L819)&gt;1,"Duplicate?",IF(A819&gt;TODAY(),"Future date","OK"))))))))</f>
        <v/>
      </c>
      <c r="L819">
        <f>IF(A819="","",TEXT(A819,"yyyy-mm-dd")&amp;"|"&amp;B819&amp;"|"&amp;C819)</f>
        <v/>
      </c>
    </row>
    <row r="820">
      <c r="A820" s="4" t="n"/>
      <c r="D820" s="5" t="n"/>
      <c r="E820" s="5" t="n"/>
      <c r="G820" s="6">
        <f>IF(OR(A820="",D820="",E820=""),"",ROUND(MOD(E820-D820,1)*24-N(F820)/60,2))</f>
        <v/>
      </c>
      <c r="H820" s="7">
        <f>IF(C820="","",IFERROR(INDEX(Sites!$B$2:$B$501,MATCH(C820,Sites!$A$2:$A$501,0)),"?"))</f>
        <v/>
      </c>
      <c r="I820" s="8">
        <f>IF(A820="","",A820-WEEKDAY(A820,3))</f>
        <v/>
      </c>
      <c r="K820" s="7">
        <f>IF(A820="","",IF(OR(B820="",C820="",D820="",E820=""),"Missing info",IF(ISNA(MATCH(B820,Staff!$A$2:$A$101,0)),"Unknown employee",IF(H820="?","Unknown site",IF(G820&lt;=0,"Check times",IF(G820&gt;12,"Over 12h",IF(COUNTIFS($L$2:$L$2001,L820)&gt;1,"Duplicate?",IF(A820&gt;TODAY(),"Future date","OK"))))))))</f>
        <v/>
      </c>
      <c r="L820">
        <f>IF(A820="","",TEXT(A820,"yyyy-mm-dd")&amp;"|"&amp;B820&amp;"|"&amp;C820)</f>
        <v/>
      </c>
    </row>
    <row r="821">
      <c r="A821" s="4" t="n"/>
      <c r="D821" s="5" t="n"/>
      <c r="E821" s="5" t="n"/>
      <c r="G821" s="6">
        <f>IF(OR(A821="",D821="",E821=""),"",ROUND(MOD(E821-D821,1)*24-N(F821)/60,2))</f>
        <v/>
      </c>
      <c r="H821" s="7">
        <f>IF(C821="","",IFERROR(INDEX(Sites!$B$2:$B$501,MATCH(C821,Sites!$A$2:$A$501,0)),"?"))</f>
        <v/>
      </c>
      <c r="I821" s="8">
        <f>IF(A821="","",A821-WEEKDAY(A821,3))</f>
        <v/>
      </c>
      <c r="K821" s="7">
        <f>IF(A821="","",IF(OR(B821="",C821="",D821="",E821=""),"Missing info",IF(ISNA(MATCH(B821,Staff!$A$2:$A$101,0)),"Unknown employee",IF(H821="?","Unknown site",IF(G821&lt;=0,"Check times",IF(G821&gt;12,"Over 12h",IF(COUNTIFS($L$2:$L$2001,L821)&gt;1,"Duplicate?",IF(A821&gt;TODAY(),"Future date","OK"))))))))</f>
        <v/>
      </c>
      <c r="L821">
        <f>IF(A821="","",TEXT(A821,"yyyy-mm-dd")&amp;"|"&amp;B821&amp;"|"&amp;C821)</f>
        <v/>
      </c>
    </row>
    <row r="822">
      <c r="A822" s="4" t="n"/>
      <c r="D822" s="5" t="n"/>
      <c r="E822" s="5" t="n"/>
      <c r="G822" s="6">
        <f>IF(OR(A822="",D822="",E822=""),"",ROUND(MOD(E822-D822,1)*24-N(F822)/60,2))</f>
        <v/>
      </c>
      <c r="H822" s="7">
        <f>IF(C822="","",IFERROR(INDEX(Sites!$B$2:$B$501,MATCH(C822,Sites!$A$2:$A$501,0)),"?"))</f>
        <v/>
      </c>
      <c r="I822" s="8">
        <f>IF(A822="","",A822-WEEKDAY(A822,3))</f>
        <v/>
      </c>
      <c r="K822" s="7">
        <f>IF(A822="","",IF(OR(B822="",C822="",D822="",E822=""),"Missing info",IF(ISNA(MATCH(B822,Staff!$A$2:$A$101,0)),"Unknown employee",IF(H822="?","Unknown site",IF(G822&lt;=0,"Check times",IF(G822&gt;12,"Over 12h",IF(COUNTIFS($L$2:$L$2001,L822)&gt;1,"Duplicate?",IF(A822&gt;TODAY(),"Future date","OK"))))))))</f>
        <v/>
      </c>
      <c r="L822">
        <f>IF(A822="","",TEXT(A822,"yyyy-mm-dd")&amp;"|"&amp;B822&amp;"|"&amp;C822)</f>
        <v/>
      </c>
    </row>
    <row r="823">
      <c r="A823" s="4" t="n"/>
      <c r="D823" s="5" t="n"/>
      <c r="E823" s="5" t="n"/>
      <c r="G823" s="6">
        <f>IF(OR(A823="",D823="",E823=""),"",ROUND(MOD(E823-D823,1)*24-N(F823)/60,2))</f>
        <v/>
      </c>
      <c r="H823" s="7">
        <f>IF(C823="","",IFERROR(INDEX(Sites!$B$2:$B$501,MATCH(C823,Sites!$A$2:$A$501,0)),"?"))</f>
        <v/>
      </c>
      <c r="I823" s="8">
        <f>IF(A823="","",A823-WEEKDAY(A823,3))</f>
        <v/>
      </c>
      <c r="K823" s="7">
        <f>IF(A823="","",IF(OR(B823="",C823="",D823="",E823=""),"Missing info",IF(ISNA(MATCH(B823,Staff!$A$2:$A$101,0)),"Unknown employee",IF(H823="?","Unknown site",IF(G823&lt;=0,"Check times",IF(G823&gt;12,"Over 12h",IF(COUNTIFS($L$2:$L$2001,L823)&gt;1,"Duplicate?",IF(A823&gt;TODAY(),"Future date","OK"))))))))</f>
        <v/>
      </c>
      <c r="L823">
        <f>IF(A823="","",TEXT(A823,"yyyy-mm-dd")&amp;"|"&amp;B823&amp;"|"&amp;C823)</f>
        <v/>
      </c>
    </row>
    <row r="824">
      <c r="A824" s="4" t="n"/>
      <c r="D824" s="5" t="n"/>
      <c r="E824" s="5" t="n"/>
      <c r="G824" s="6">
        <f>IF(OR(A824="",D824="",E824=""),"",ROUND(MOD(E824-D824,1)*24-N(F824)/60,2))</f>
        <v/>
      </c>
      <c r="H824" s="7">
        <f>IF(C824="","",IFERROR(INDEX(Sites!$B$2:$B$501,MATCH(C824,Sites!$A$2:$A$501,0)),"?"))</f>
        <v/>
      </c>
      <c r="I824" s="8">
        <f>IF(A824="","",A824-WEEKDAY(A824,3))</f>
        <v/>
      </c>
      <c r="K824" s="7">
        <f>IF(A824="","",IF(OR(B824="",C824="",D824="",E824=""),"Missing info",IF(ISNA(MATCH(B824,Staff!$A$2:$A$101,0)),"Unknown employee",IF(H824="?","Unknown site",IF(G824&lt;=0,"Check times",IF(G824&gt;12,"Over 12h",IF(COUNTIFS($L$2:$L$2001,L824)&gt;1,"Duplicate?",IF(A824&gt;TODAY(),"Future date","OK"))))))))</f>
        <v/>
      </c>
      <c r="L824">
        <f>IF(A824="","",TEXT(A824,"yyyy-mm-dd")&amp;"|"&amp;B824&amp;"|"&amp;C824)</f>
        <v/>
      </c>
    </row>
    <row r="825">
      <c r="A825" s="4" t="n"/>
      <c r="D825" s="5" t="n"/>
      <c r="E825" s="5" t="n"/>
      <c r="G825" s="6">
        <f>IF(OR(A825="",D825="",E825=""),"",ROUND(MOD(E825-D825,1)*24-N(F825)/60,2))</f>
        <v/>
      </c>
      <c r="H825" s="7">
        <f>IF(C825="","",IFERROR(INDEX(Sites!$B$2:$B$501,MATCH(C825,Sites!$A$2:$A$501,0)),"?"))</f>
        <v/>
      </c>
      <c r="I825" s="8">
        <f>IF(A825="","",A825-WEEKDAY(A825,3))</f>
        <v/>
      </c>
      <c r="K825" s="7">
        <f>IF(A825="","",IF(OR(B825="",C825="",D825="",E825=""),"Missing info",IF(ISNA(MATCH(B825,Staff!$A$2:$A$101,0)),"Unknown employee",IF(H825="?","Unknown site",IF(G825&lt;=0,"Check times",IF(G825&gt;12,"Over 12h",IF(COUNTIFS($L$2:$L$2001,L825)&gt;1,"Duplicate?",IF(A825&gt;TODAY(),"Future date","OK"))))))))</f>
        <v/>
      </c>
      <c r="L825">
        <f>IF(A825="","",TEXT(A825,"yyyy-mm-dd")&amp;"|"&amp;B825&amp;"|"&amp;C825)</f>
        <v/>
      </c>
    </row>
    <row r="826">
      <c r="A826" s="4" t="n"/>
      <c r="D826" s="5" t="n"/>
      <c r="E826" s="5" t="n"/>
      <c r="G826" s="6">
        <f>IF(OR(A826="",D826="",E826=""),"",ROUND(MOD(E826-D826,1)*24-N(F826)/60,2))</f>
        <v/>
      </c>
      <c r="H826" s="7">
        <f>IF(C826="","",IFERROR(INDEX(Sites!$B$2:$B$501,MATCH(C826,Sites!$A$2:$A$501,0)),"?"))</f>
        <v/>
      </c>
      <c r="I826" s="8">
        <f>IF(A826="","",A826-WEEKDAY(A826,3))</f>
        <v/>
      </c>
      <c r="K826" s="7">
        <f>IF(A826="","",IF(OR(B826="",C826="",D826="",E826=""),"Missing info",IF(ISNA(MATCH(B826,Staff!$A$2:$A$101,0)),"Unknown employee",IF(H826="?","Unknown site",IF(G826&lt;=0,"Check times",IF(G826&gt;12,"Over 12h",IF(COUNTIFS($L$2:$L$2001,L826)&gt;1,"Duplicate?",IF(A826&gt;TODAY(),"Future date","OK"))))))))</f>
        <v/>
      </c>
      <c r="L826">
        <f>IF(A826="","",TEXT(A826,"yyyy-mm-dd")&amp;"|"&amp;B826&amp;"|"&amp;C826)</f>
        <v/>
      </c>
    </row>
    <row r="827">
      <c r="A827" s="4" t="n"/>
      <c r="D827" s="5" t="n"/>
      <c r="E827" s="5" t="n"/>
      <c r="G827" s="6">
        <f>IF(OR(A827="",D827="",E827=""),"",ROUND(MOD(E827-D827,1)*24-N(F827)/60,2))</f>
        <v/>
      </c>
      <c r="H827" s="7">
        <f>IF(C827="","",IFERROR(INDEX(Sites!$B$2:$B$501,MATCH(C827,Sites!$A$2:$A$501,0)),"?"))</f>
        <v/>
      </c>
      <c r="I827" s="8">
        <f>IF(A827="","",A827-WEEKDAY(A827,3))</f>
        <v/>
      </c>
      <c r="K827" s="7">
        <f>IF(A827="","",IF(OR(B827="",C827="",D827="",E827=""),"Missing info",IF(ISNA(MATCH(B827,Staff!$A$2:$A$101,0)),"Unknown employee",IF(H827="?","Unknown site",IF(G827&lt;=0,"Check times",IF(G827&gt;12,"Over 12h",IF(COUNTIFS($L$2:$L$2001,L827)&gt;1,"Duplicate?",IF(A827&gt;TODAY(),"Future date","OK"))))))))</f>
        <v/>
      </c>
      <c r="L827">
        <f>IF(A827="","",TEXT(A827,"yyyy-mm-dd")&amp;"|"&amp;B827&amp;"|"&amp;C827)</f>
        <v/>
      </c>
    </row>
    <row r="828">
      <c r="A828" s="4" t="n"/>
      <c r="D828" s="5" t="n"/>
      <c r="E828" s="5" t="n"/>
      <c r="G828" s="6">
        <f>IF(OR(A828="",D828="",E828=""),"",ROUND(MOD(E828-D828,1)*24-N(F828)/60,2))</f>
        <v/>
      </c>
      <c r="H828" s="7">
        <f>IF(C828="","",IFERROR(INDEX(Sites!$B$2:$B$501,MATCH(C828,Sites!$A$2:$A$501,0)),"?"))</f>
        <v/>
      </c>
      <c r="I828" s="8">
        <f>IF(A828="","",A828-WEEKDAY(A828,3))</f>
        <v/>
      </c>
      <c r="K828" s="7">
        <f>IF(A828="","",IF(OR(B828="",C828="",D828="",E828=""),"Missing info",IF(ISNA(MATCH(B828,Staff!$A$2:$A$101,0)),"Unknown employee",IF(H828="?","Unknown site",IF(G828&lt;=0,"Check times",IF(G828&gt;12,"Over 12h",IF(COUNTIFS($L$2:$L$2001,L828)&gt;1,"Duplicate?",IF(A828&gt;TODAY(),"Future date","OK"))))))))</f>
        <v/>
      </c>
      <c r="L828">
        <f>IF(A828="","",TEXT(A828,"yyyy-mm-dd")&amp;"|"&amp;B828&amp;"|"&amp;C828)</f>
        <v/>
      </c>
    </row>
    <row r="829">
      <c r="A829" s="4" t="n"/>
      <c r="D829" s="5" t="n"/>
      <c r="E829" s="5" t="n"/>
      <c r="G829" s="6">
        <f>IF(OR(A829="",D829="",E829=""),"",ROUND(MOD(E829-D829,1)*24-N(F829)/60,2))</f>
        <v/>
      </c>
      <c r="H829" s="7">
        <f>IF(C829="","",IFERROR(INDEX(Sites!$B$2:$B$501,MATCH(C829,Sites!$A$2:$A$501,0)),"?"))</f>
        <v/>
      </c>
      <c r="I829" s="8">
        <f>IF(A829="","",A829-WEEKDAY(A829,3))</f>
        <v/>
      </c>
      <c r="K829" s="7">
        <f>IF(A829="","",IF(OR(B829="",C829="",D829="",E829=""),"Missing info",IF(ISNA(MATCH(B829,Staff!$A$2:$A$101,0)),"Unknown employee",IF(H829="?","Unknown site",IF(G829&lt;=0,"Check times",IF(G829&gt;12,"Over 12h",IF(COUNTIFS($L$2:$L$2001,L829)&gt;1,"Duplicate?",IF(A829&gt;TODAY(),"Future date","OK"))))))))</f>
        <v/>
      </c>
      <c r="L829">
        <f>IF(A829="","",TEXT(A829,"yyyy-mm-dd")&amp;"|"&amp;B829&amp;"|"&amp;C829)</f>
        <v/>
      </c>
    </row>
    <row r="830">
      <c r="A830" s="4" t="n"/>
      <c r="D830" s="5" t="n"/>
      <c r="E830" s="5" t="n"/>
      <c r="G830" s="6">
        <f>IF(OR(A830="",D830="",E830=""),"",ROUND(MOD(E830-D830,1)*24-N(F830)/60,2))</f>
        <v/>
      </c>
      <c r="H830" s="7">
        <f>IF(C830="","",IFERROR(INDEX(Sites!$B$2:$B$501,MATCH(C830,Sites!$A$2:$A$501,0)),"?"))</f>
        <v/>
      </c>
      <c r="I830" s="8">
        <f>IF(A830="","",A830-WEEKDAY(A830,3))</f>
        <v/>
      </c>
      <c r="K830" s="7">
        <f>IF(A830="","",IF(OR(B830="",C830="",D830="",E830=""),"Missing info",IF(ISNA(MATCH(B830,Staff!$A$2:$A$101,0)),"Unknown employee",IF(H830="?","Unknown site",IF(G830&lt;=0,"Check times",IF(G830&gt;12,"Over 12h",IF(COUNTIFS($L$2:$L$2001,L830)&gt;1,"Duplicate?",IF(A830&gt;TODAY(),"Future date","OK"))))))))</f>
        <v/>
      </c>
      <c r="L830">
        <f>IF(A830="","",TEXT(A830,"yyyy-mm-dd")&amp;"|"&amp;B830&amp;"|"&amp;C830)</f>
        <v/>
      </c>
    </row>
    <row r="831">
      <c r="A831" s="4" t="n"/>
      <c r="D831" s="5" t="n"/>
      <c r="E831" s="5" t="n"/>
      <c r="G831" s="6">
        <f>IF(OR(A831="",D831="",E831=""),"",ROUND(MOD(E831-D831,1)*24-N(F831)/60,2))</f>
        <v/>
      </c>
      <c r="H831" s="7">
        <f>IF(C831="","",IFERROR(INDEX(Sites!$B$2:$B$501,MATCH(C831,Sites!$A$2:$A$501,0)),"?"))</f>
        <v/>
      </c>
      <c r="I831" s="8">
        <f>IF(A831="","",A831-WEEKDAY(A831,3))</f>
        <v/>
      </c>
      <c r="K831" s="7">
        <f>IF(A831="","",IF(OR(B831="",C831="",D831="",E831=""),"Missing info",IF(ISNA(MATCH(B831,Staff!$A$2:$A$101,0)),"Unknown employee",IF(H831="?","Unknown site",IF(G831&lt;=0,"Check times",IF(G831&gt;12,"Over 12h",IF(COUNTIFS($L$2:$L$2001,L831)&gt;1,"Duplicate?",IF(A831&gt;TODAY(),"Future date","OK"))))))))</f>
        <v/>
      </c>
      <c r="L831">
        <f>IF(A831="","",TEXT(A831,"yyyy-mm-dd")&amp;"|"&amp;B831&amp;"|"&amp;C831)</f>
        <v/>
      </c>
    </row>
    <row r="832">
      <c r="A832" s="4" t="n"/>
      <c r="D832" s="5" t="n"/>
      <c r="E832" s="5" t="n"/>
      <c r="G832" s="6">
        <f>IF(OR(A832="",D832="",E832=""),"",ROUND(MOD(E832-D832,1)*24-N(F832)/60,2))</f>
        <v/>
      </c>
      <c r="H832" s="7">
        <f>IF(C832="","",IFERROR(INDEX(Sites!$B$2:$B$501,MATCH(C832,Sites!$A$2:$A$501,0)),"?"))</f>
        <v/>
      </c>
      <c r="I832" s="8">
        <f>IF(A832="","",A832-WEEKDAY(A832,3))</f>
        <v/>
      </c>
      <c r="K832" s="7">
        <f>IF(A832="","",IF(OR(B832="",C832="",D832="",E832=""),"Missing info",IF(ISNA(MATCH(B832,Staff!$A$2:$A$101,0)),"Unknown employee",IF(H832="?","Unknown site",IF(G832&lt;=0,"Check times",IF(G832&gt;12,"Over 12h",IF(COUNTIFS($L$2:$L$2001,L832)&gt;1,"Duplicate?",IF(A832&gt;TODAY(),"Future date","OK"))))))))</f>
        <v/>
      </c>
      <c r="L832">
        <f>IF(A832="","",TEXT(A832,"yyyy-mm-dd")&amp;"|"&amp;B832&amp;"|"&amp;C832)</f>
        <v/>
      </c>
    </row>
    <row r="833">
      <c r="A833" s="4" t="n"/>
      <c r="D833" s="5" t="n"/>
      <c r="E833" s="5" t="n"/>
      <c r="G833" s="6">
        <f>IF(OR(A833="",D833="",E833=""),"",ROUND(MOD(E833-D833,1)*24-N(F833)/60,2))</f>
        <v/>
      </c>
      <c r="H833" s="7">
        <f>IF(C833="","",IFERROR(INDEX(Sites!$B$2:$B$501,MATCH(C833,Sites!$A$2:$A$501,0)),"?"))</f>
        <v/>
      </c>
      <c r="I833" s="8">
        <f>IF(A833="","",A833-WEEKDAY(A833,3))</f>
        <v/>
      </c>
      <c r="K833" s="7">
        <f>IF(A833="","",IF(OR(B833="",C833="",D833="",E833=""),"Missing info",IF(ISNA(MATCH(B833,Staff!$A$2:$A$101,0)),"Unknown employee",IF(H833="?","Unknown site",IF(G833&lt;=0,"Check times",IF(G833&gt;12,"Over 12h",IF(COUNTIFS($L$2:$L$2001,L833)&gt;1,"Duplicate?",IF(A833&gt;TODAY(),"Future date","OK"))))))))</f>
        <v/>
      </c>
      <c r="L833">
        <f>IF(A833="","",TEXT(A833,"yyyy-mm-dd")&amp;"|"&amp;B833&amp;"|"&amp;C833)</f>
        <v/>
      </c>
    </row>
    <row r="834">
      <c r="A834" s="4" t="n"/>
      <c r="D834" s="5" t="n"/>
      <c r="E834" s="5" t="n"/>
      <c r="G834" s="6">
        <f>IF(OR(A834="",D834="",E834=""),"",ROUND(MOD(E834-D834,1)*24-N(F834)/60,2))</f>
        <v/>
      </c>
      <c r="H834" s="7">
        <f>IF(C834="","",IFERROR(INDEX(Sites!$B$2:$B$501,MATCH(C834,Sites!$A$2:$A$501,0)),"?"))</f>
        <v/>
      </c>
      <c r="I834" s="8">
        <f>IF(A834="","",A834-WEEKDAY(A834,3))</f>
        <v/>
      </c>
      <c r="K834" s="7">
        <f>IF(A834="","",IF(OR(B834="",C834="",D834="",E834=""),"Missing info",IF(ISNA(MATCH(B834,Staff!$A$2:$A$101,0)),"Unknown employee",IF(H834="?","Unknown site",IF(G834&lt;=0,"Check times",IF(G834&gt;12,"Over 12h",IF(COUNTIFS($L$2:$L$2001,L834)&gt;1,"Duplicate?",IF(A834&gt;TODAY(),"Future date","OK"))))))))</f>
        <v/>
      </c>
      <c r="L834">
        <f>IF(A834="","",TEXT(A834,"yyyy-mm-dd")&amp;"|"&amp;B834&amp;"|"&amp;C834)</f>
        <v/>
      </c>
    </row>
    <row r="835">
      <c r="A835" s="4" t="n"/>
      <c r="D835" s="5" t="n"/>
      <c r="E835" s="5" t="n"/>
      <c r="G835" s="6">
        <f>IF(OR(A835="",D835="",E835=""),"",ROUND(MOD(E835-D835,1)*24-N(F835)/60,2))</f>
        <v/>
      </c>
      <c r="H835" s="7">
        <f>IF(C835="","",IFERROR(INDEX(Sites!$B$2:$B$501,MATCH(C835,Sites!$A$2:$A$501,0)),"?"))</f>
        <v/>
      </c>
      <c r="I835" s="8">
        <f>IF(A835="","",A835-WEEKDAY(A835,3))</f>
        <v/>
      </c>
      <c r="K835" s="7">
        <f>IF(A835="","",IF(OR(B835="",C835="",D835="",E835=""),"Missing info",IF(ISNA(MATCH(B835,Staff!$A$2:$A$101,0)),"Unknown employee",IF(H835="?","Unknown site",IF(G835&lt;=0,"Check times",IF(G835&gt;12,"Over 12h",IF(COUNTIFS($L$2:$L$2001,L835)&gt;1,"Duplicate?",IF(A835&gt;TODAY(),"Future date","OK"))))))))</f>
        <v/>
      </c>
      <c r="L835">
        <f>IF(A835="","",TEXT(A835,"yyyy-mm-dd")&amp;"|"&amp;B835&amp;"|"&amp;C835)</f>
        <v/>
      </c>
    </row>
    <row r="836">
      <c r="A836" s="4" t="n"/>
      <c r="D836" s="5" t="n"/>
      <c r="E836" s="5" t="n"/>
      <c r="G836" s="6">
        <f>IF(OR(A836="",D836="",E836=""),"",ROUND(MOD(E836-D836,1)*24-N(F836)/60,2))</f>
        <v/>
      </c>
      <c r="H836" s="7">
        <f>IF(C836="","",IFERROR(INDEX(Sites!$B$2:$B$501,MATCH(C836,Sites!$A$2:$A$501,0)),"?"))</f>
        <v/>
      </c>
      <c r="I836" s="8">
        <f>IF(A836="","",A836-WEEKDAY(A836,3))</f>
        <v/>
      </c>
      <c r="K836" s="7">
        <f>IF(A836="","",IF(OR(B836="",C836="",D836="",E836=""),"Missing info",IF(ISNA(MATCH(B836,Staff!$A$2:$A$101,0)),"Unknown employee",IF(H836="?","Unknown site",IF(G836&lt;=0,"Check times",IF(G836&gt;12,"Over 12h",IF(COUNTIFS($L$2:$L$2001,L836)&gt;1,"Duplicate?",IF(A836&gt;TODAY(),"Future date","OK"))))))))</f>
        <v/>
      </c>
      <c r="L836">
        <f>IF(A836="","",TEXT(A836,"yyyy-mm-dd")&amp;"|"&amp;B836&amp;"|"&amp;C836)</f>
        <v/>
      </c>
    </row>
    <row r="837">
      <c r="A837" s="4" t="n"/>
      <c r="D837" s="5" t="n"/>
      <c r="E837" s="5" t="n"/>
      <c r="G837" s="6">
        <f>IF(OR(A837="",D837="",E837=""),"",ROUND(MOD(E837-D837,1)*24-N(F837)/60,2))</f>
        <v/>
      </c>
      <c r="H837" s="7">
        <f>IF(C837="","",IFERROR(INDEX(Sites!$B$2:$B$501,MATCH(C837,Sites!$A$2:$A$501,0)),"?"))</f>
        <v/>
      </c>
      <c r="I837" s="8">
        <f>IF(A837="","",A837-WEEKDAY(A837,3))</f>
        <v/>
      </c>
      <c r="K837" s="7">
        <f>IF(A837="","",IF(OR(B837="",C837="",D837="",E837=""),"Missing info",IF(ISNA(MATCH(B837,Staff!$A$2:$A$101,0)),"Unknown employee",IF(H837="?","Unknown site",IF(G837&lt;=0,"Check times",IF(G837&gt;12,"Over 12h",IF(COUNTIFS($L$2:$L$2001,L837)&gt;1,"Duplicate?",IF(A837&gt;TODAY(),"Future date","OK"))))))))</f>
        <v/>
      </c>
      <c r="L837">
        <f>IF(A837="","",TEXT(A837,"yyyy-mm-dd")&amp;"|"&amp;B837&amp;"|"&amp;C837)</f>
        <v/>
      </c>
    </row>
    <row r="838">
      <c r="A838" s="4" t="n"/>
      <c r="D838" s="5" t="n"/>
      <c r="E838" s="5" t="n"/>
      <c r="G838" s="6">
        <f>IF(OR(A838="",D838="",E838=""),"",ROUND(MOD(E838-D838,1)*24-N(F838)/60,2))</f>
        <v/>
      </c>
      <c r="H838" s="7">
        <f>IF(C838="","",IFERROR(INDEX(Sites!$B$2:$B$501,MATCH(C838,Sites!$A$2:$A$501,0)),"?"))</f>
        <v/>
      </c>
      <c r="I838" s="8">
        <f>IF(A838="","",A838-WEEKDAY(A838,3))</f>
        <v/>
      </c>
      <c r="K838" s="7">
        <f>IF(A838="","",IF(OR(B838="",C838="",D838="",E838=""),"Missing info",IF(ISNA(MATCH(B838,Staff!$A$2:$A$101,0)),"Unknown employee",IF(H838="?","Unknown site",IF(G838&lt;=0,"Check times",IF(G838&gt;12,"Over 12h",IF(COUNTIFS($L$2:$L$2001,L838)&gt;1,"Duplicate?",IF(A838&gt;TODAY(),"Future date","OK"))))))))</f>
        <v/>
      </c>
      <c r="L838">
        <f>IF(A838="","",TEXT(A838,"yyyy-mm-dd")&amp;"|"&amp;B838&amp;"|"&amp;C838)</f>
        <v/>
      </c>
    </row>
    <row r="839">
      <c r="A839" s="4" t="n"/>
      <c r="D839" s="5" t="n"/>
      <c r="E839" s="5" t="n"/>
      <c r="G839" s="6">
        <f>IF(OR(A839="",D839="",E839=""),"",ROUND(MOD(E839-D839,1)*24-N(F839)/60,2))</f>
        <v/>
      </c>
      <c r="H839" s="7">
        <f>IF(C839="","",IFERROR(INDEX(Sites!$B$2:$B$501,MATCH(C839,Sites!$A$2:$A$501,0)),"?"))</f>
        <v/>
      </c>
      <c r="I839" s="8">
        <f>IF(A839="","",A839-WEEKDAY(A839,3))</f>
        <v/>
      </c>
      <c r="K839" s="7">
        <f>IF(A839="","",IF(OR(B839="",C839="",D839="",E839=""),"Missing info",IF(ISNA(MATCH(B839,Staff!$A$2:$A$101,0)),"Unknown employee",IF(H839="?","Unknown site",IF(G839&lt;=0,"Check times",IF(G839&gt;12,"Over 12h",IF(COUNTIFS($L$2:$L$2001,L839)&gt;1,"Duplicate?",IF(A839&gt;TODAY(),"Future date","OK"))))))))</f>
        <v/>
      </c>
      <c r="L839">
        <f>IF(A839="","",TEXT(A839,"yyyy-mm-dd")&amp;"|"&amp;B839&amp;"|"&amp;C839)</f>
        <v/>
      </c>
    </row>
    <row r="840">
      <c r="A840" s="4" t="n"/>
      <c r="D840" s="5" t="n"/>
      <c r="E840" s="5" t="n"/>
      <c r="G840" s="6">
        <f>IF(OR(A840="",D840="",E840=""),"",ROUND(MOD(E840-D840,1)*24-N(F840)/60,2))</f>
        <v/>
      </c>
      <c r="H840" s="7">
        <f>IF(C840="","",IFERROR(INDEX(Sites!$B$2:$B$501,MATCH(C840,Sites!$A$2:$A$501,0)),"?"))</f>
        <v/>
      </c>
      <c r="I840" s="8">
        <f>IF(A840="","",A840-WEEKDAY(A840,3))</f>
        <v/>
      </c>
      <c r="K840" s="7">
        <f>IF(A840="","",IF(OR(B840="",C840="",D840="",E840=""),"Missing info",IF(ISNA(MATCH(B840,Staff!$A$2:$A$101,0)),"Unknown employee",IF(H840="?","Unknown site",IF(G840&lt;=0,"Check times",IF(G840&gt;12,"Over 12h",IF(COUNTIFS($L$2:$L$2001,L840)&gt;1,"Duplicate?",IF(A840&gt;TODAY(),"Future date","OK"))))))))</f>
        <v/>
      </c>
      <c r="L840">
        <f>IF(A840="","",TEXT(A840,"yyyy-mm-dd")&amp;"|"&amp;B840&amp;"|"&amp;C840)</f>
        <v/>
      </c>
    </row>
    <row r="841">
      <c r="A841" s="4" t="n"/>
      <c r="D841" s="5" t="n"/>
      <c r="E841" s="5" t="n"/>
      <c r="G841" s="6">
        <f>IF(OR(A841="",D841="",E841=""),"",ROUND(MOD(E841-D841,1)*24-N(F841)/60,2))</f>
        <v/>
      </c>
      <c r="H841" s="7">
        <f>IF(C841="","",IFERROR(INDEX(Sites!$B$2:$B$501,MATCH(C841,Sites!$A$2:$A$501,0)),"?"))</f>
        <v/>
      </c>
      <c r="I841" s="8">
        <f>IF(A841="","",A841-WEEKDAY(A841,3))</f>
        <v/>
      </c>
      <c r="K841" s="7">
        <f>IF(A841="","",IF(OR(B841="",C841="",D841="",E841=""),"Missing info",IF(ISNA(MATCH(B841,Staff!$A$2:$A$101,0)),"Unknown employee",IF(H841="?","Unknown site",IF(G841&lt;=0,"Check times",IF(G841&gt;12,"Over 12h",IF(COUNTIFS($L$2:$L$2001,L841)&gt;1,"Duplicate?",IF(A841&gt;TODAY(),"Future date","OK"))))))))</f>
        <v/>
      </c>
      <c r="L841">
        <f>IF(A841="","",TEXT(A841,"yyyy-mm-dd")&amp;"|"&amp;B841&amp;"|"&amp;C841)</f>
        <v/>
      </c>
    </row>
    <row r="842">
      <c r="A842" s="4" t="n"/>
      <c r="D842" s="5" t="n"/>
      <c r="E842" s="5" t="n"/>
      <c r="G842" s="6">
        <f>IF(OR(A842="",D842="",E842=""),"",ROUND(MOD(E842-D842,1)*24-N(F842)/60,2))</f>
        <v/>
      </c>
      <c r="H842" s="7">
        <f>IF(C842="","",IFERROR(INDEX(Sites!$B$2:$B$501,MATCH(C842,Sites!$A$2:$A$501,0)),"?"))</f>
        <v/>
      </c>
      <c r="I842" s="8">
        <f>IF(A842="","",A842-WEEKDAY(A842,3))</f>
        <v/>
      </c>
      <c r="K842" s="7">
        <f>IF(A842="","",IF(OR(B842="",C842="",D842="",E842=""),"Missing info",IF(ISNA(MATCH(B842,Staff!$A$2:$A$101,0)),"Unknown employee",IF(H842="?","Unknown site",IF(G842&lt;=0,"Check times",IF(G842&gt;12,"Over 12h",IF(COUNTIFS($L$2:$L$2001,L842)&gt;1,"Duplicate?",IF(A842&gt;TODAY(),"Future date","OK"))))))))</f>
        <v/>
      </c>
      <c r="L842">
        <f>IF(A842="","",TEXT(A842,"yyyy-mm-dd")&amp;"|"&amp;B842&amp;"|"&amp;C842)</f>
        <v/>
      </c>
    </row>
    <row r="843">
      <c r="A843" s="4" t="n"/>
      <c r="D843" s="5" t="n"/>
      <c r="E843" s="5" t="n"/>
      <c r="G843" s="6">
        <f>IF(OR(A843="",D843="",E843=""),"",ROUND(MOD(E843-D843,1)*24-N(F843)/60,2))</f>
        <v/>
      </c>
      <c r="H843" s="7">
        <f>IF(C843="","",IFERROR(INDEX(Sites!$B$2:$B$501,MATCH(C843,Sites!$A$2:$A$501,0)),"?"))</f>
        <v/>
      </c>
      <c r="I843" s="8">
        <f>IF(A843="","",A843-WEEKDAY(A843,3))</f>
        <v/>
      </c>
      <c r="K843" s="7">
        <f>IF(A843="","",IF(OR(B843="",C843="",D843="",E843=""),"Missing info",IF(ISNA(MATCH(B843,Staff!$A$2:$A$101,0)),"Unknown employee",IF(H843="?","Unknown site",IF(G843&lt;=0,"Check times",IF(G843&gt;12,"Over 12h",IF(COUNTIFS($L$2:$L$2001,L843)&gt;1,"Duplicate?",IF(A843&gt;TODAY(),"Future date","OK"))))))))</f>
        <v/>
      </c>
      <c r="L843">
        <f>IF(A843="","",TEXT(A843,"yyyy-mm-dd")&amp;"|"&amp;B843&amp;"|"&amp;C843)</f>
        <v/>
      </c>
    </row>
    <row r="844">
      <c r="A844" s="4" t="n"/>
      <c r="D844" s="5" t="n"/>
      <c r="E844" s="5" t="n"/>
      <c r="G844" s="6">
        <f>IF(OR(A844="",D844="",E844=""),"",ROUND(MOD(E844-D844,1)*24-N(F844)/60,2))</f>
        <v/>
      </c>
      <c r="H844" s="7">
        <f>IF(C844="","",IFERROR(INDEX(Sites!$B$2:$B$501,MATCH(C844,Sites!$A$2:$A$501,0)),"?"))</f>
        <v/>
      </c>
      <c r="I844" s="8">
        <f>IF(A844="","",A844-WEEKDAY(A844,3))</f>
        <v/>
      </c>
      <c r="K844" s="7">
        <f>IF(A844="","",IF(OR(B844="",C844="",D844="",E844=""),"Missing info",IF(ISNA(MATCH(B844,Staff!$A$2:$A$101,0)),"Unknown employee",IF(H844="?","Unknown site",IF(G844&lt;=0,"Check times",IF(G844&gt;12,"Over 12h",IF(COUNTIFS($L$2:$L$2001,L844)&gt;1,"Duplicate?",IF(A844&gt;TODAY(),"Future date","OK"))))))))</f>
        <v/>
      </c>
      <c r="L844">
        <f>IF(A844="","",TEXT(A844,"yyyy-mm-dd")&amp;"|"&amp;B844&amp;"|"&amp;C844)</f>
        <v/>
      </c>
    </row>
    <row r="845">
      <c r="A845" s="4" t="n"/>
      <c r="D845" s="5" t="n"/>
      <c r="E845" s="5" t="n"/>
      <c r="G845" s="6">
        <f>IF(OR(A845="",D845="",E845=""),"",ROUND(MOD(E845-D845,1)*24-N(F845)/60,2))</f>
        <v/>
      </c>
      <c r="H845" s="7">
        <f>IF(C845="","",IFERROR(INDEX(Sites!$B$2:$B$501,MATCH(C845,Sites!$A$2:$A$501,0)),"?"))</f>
        <v/>
      </c>
      <c r="I845" s="8">
        <f>IF(A845="","",A845-WEEKDAY(A845,3))</f>
        <v/>
      </c>
      <c r="K845" s="7">
        <f>IF(A845="","",IF(OR(B845="",C845="",D845="",E845=""),"Missing info",IF(ISNA(MATCH(B845,Staff!$A$2:$A$101,0)),"Unknown employee",IF(H845="?","Unknown site",IF(G845&lt;=0,"Check times",IF(G845&gt;12,"Over 12h",IF(COUNTIFS($L$2:$L$2001,L845)&gt;1,"Duplicate?",IF(A845&gt;TODAY(),"Future date","OK"))))))))</f>
        <v/>
      </c>
      <c r="L845">
        <f>IF(A845="","",TEXT(A845,"yyyy-mm-dd")&amp;"|"&amp;B845&amp;"|"&amp;C845)</f>
        <v/>
      </c>
    </row>
    <row r="846">
      <c r="A846" s="4" t="n"/>
      <c r="D846" s="5" t="n"/>
      <c r="E846" s="5" t="n"/>
      <c r="G846" s="6">
        <f>IF(OR(A846="",D846="",E846=""),"",ROUND(MOD(E846-D846,1)*24-N(F846)/60,2))</f>
        <v/>
      </c>
      <c r="H846" s="7">
        <f>IF(C846="","",IFERROR(INDEX(Sites!$B$2:$B$501,MATCH(C846,Sites!$A$2:$A$501,0)),"?"))</f>
        <v/>
      </c>
      <c r="I846" s="8">
        <f>IF(A846="","",A846-WEEKDAY(A846,3))</f>
        <v/>
      </c>
      <c r="K846" s="7">
        <f>IF(A846="","",IF(OR(B846="",C846="",D846="",E846=""),"Missing info",IF(ISNA(MATCH(B846,Staff!$A$2:$A$101,0)),"Unknown employee",IF(H846="?","Unknown site",IF(G846&lt;=0,"Check times",IF(G846&gt;12,"Over 12h",IF(COUNTIFS($L$2:$L$2001,L846)&gt;1,"Duplicate?",IF(A846&gt;TODAY(),"Future date","OK"))))))))</f>
        <v/>
      </c>
      <c r="L846">
        <f>IF(A846="","",TEXT(A846,"yyyy-mm-dd")&amp;"|"&amp;B846&amp;"|"&amp;C846)</f>
        <v/>
      </c>
    </row>
    <row r="847">
      <c r="A847" s="4" t="n"/>
      <c r="D847" s="5" t="n"/>
      <c r="E847" s="5" t="n"/>
      <c r="G847" s="6">
        <f>IF(OR(A847="",D847="",E847=""),"",ROUND(MOD(E847-D847,1)*24-N(F847)/60,2))</f>
        <v/>
      </c>
      <c r="H847" s="7">
        <f>IF(C847="","",IFERROR(INDEX(Sites!$B$2:$B$501,MATCH(C847,Sites!$A$2:$A$501,0)),"?"))</f>
        <v/>
      </c>
      <c r="I847" s="8">
        <f>IF(A847="","",A847-WEEKDAY(A847,3))</f>
        <v/>
      </c>
      <c r="K847" s="7">
        <f>IF(A847="","",IF(OR(B847="",C847="",D847="",E847=""),"Missing info",IF(ISNA(MATCH(B847,Staff!$A$2:$A$101,0)),"Unknown employee",IF(H847="?","Unknown site",IF(G847&lt;=0,"Check times",IF(G847&gt;12,"Over 12h",IF(COUNTIFS($L$2:$L$2001,L847)&gt;1,"Duplicate?",IF(A847&gt;TODAY(),"Future date","OK"))))))))</f>
        <v/>
      </c>
      <c r="L847">
        <f>IF(A847="","",TEXT(A847,"yyyy-mm-dd")&amp;"|"&amp;B847&amp;"|"&amp;C847)</f>
        <v/>
      </c>
    </row>
    <row r="848">
      <c r="A848" s="4" t="n"/>
      <c r="D848" s="5" t="n"/>
      <c r="E848" s="5" t="n"/>
      <c r="G848" s="6">
        <f>IF(OR(A848="",D848="",E848=""),"",ROUND(MOD(E848-D848,1)*24-N(F848)/60,2))</f>
        <v/>
      </c>
      <c r="H848" s="7">
        <f>IF(C848="","",IFERROR(INDEX(Sites!$B$2:$B$501,MATCH(C848,Sites!$A$2:$A$501,0)),"?"))</f>
        <v/>
      </c>
      <c r="I848" s="8">
        <f>IF(A848="","",A848-WEEKDAY(A848,3))</f>
        <v/>
      </c>
      <c r="K848" s="7">
        <f>IF(A848="","",IF(OR(B848="",C848="",D848="",E848=""),"Missing info",IF(ISNA(MATCH(B848,Staff!$A$2:$A$101,0)),"Unknown employee",IF(H848="?","Unknown site",IF(G848&lt;=0,"Check times",IF(G848&gt;12,"Over 12h",IF(COUNTIFS($L$2:$L$2001,L848)&gt;1,"Duplicate?",IF(A848&gt;TODAY(),"Future date","OK"))))))))</f>
        <v/>
      </c>
      <c r="L848">
        <f>IF(A848="","",TEXT(A848,"yyyy-mm-dd")&amp;"|"&amp;B848&amp;"|"&amp;C848)</f>
        <v/>
      </c>
    </row>
    <row r="849">
      <c r="A849" s="4" t="n"/>
      <c r="D849" s="5" t="n"/>
      <c r="E849" s="5" t="n"/>
      <c r="G849" s="6">
        <f>IF(OR(A849="",D849="",E849=""),"",ROUND(MOD(E849-D849,1)*24-N(F849)/60,2))</f>
        <v/>
      </c>
      <c r="H849" s="7">
        <f>IF(C849="","",IFERROR(INDEX(Sites!$B$2:$B$501,MATCH(C849,Sites!$A$2:$A$501,0)),"?"))</f>
        <v/>
      </c>
      <c r="I849" s="8">
        <f>IF(A849="","",A849-WEEKDAY(A849,3))</f>
        <v/>
      </c>
      <c r="K849" s="7">
        <f>IF(A849="","",IF(OR(B849="",C849="",D849="",E849=""),"Missing info",IF(ISNA(MATCH(B849,Staff!$A$2:$A$101,0)),"Unknown employee",IF(H849="?","Unknown site",IF(G849&lt;=0,"Check times",IF(G849&gt;12,"Over 12h",IF(COUNTIFS($L$2:$L$2001,L849)&gt;1,"Duplicate?",IF(A849&gt;TODAY(),"Future date","OK"))))))))</f>
        <v/>
      </c>
      <c r="L849">
        <f>IF(A849="","",TEXT(A849,"yyyy-mm-dd")&amp;"|"&amp;B849&amp;"|"&amp;C849)</f>
        <v/>
      </c>
    </row>
    <row r="850">
      <c r="A850" s="4" t="n"/>
      <c r="D850" s="5" t="n"/>
      <c r="E850" s="5" t="n"/>
      <c r="G850" s="6">
        <f>IF(OR(A850="",D850="",E850=""),"",ROUND(MOD(E850-D850,1)*24-N(F850)/60,2))</f>
        <v/>
      </c>
      <c r="H850" s="7">
        <f>IF(C850="","",IFERROR(INDEX(Sites!$B$2:$B$501,MATCH(C850,Sites!$A$2:$A$501,0)),"?"))</f>
        <v/>
      </c>
      <c r="I850" s="8">
        <f>IF(A850="","",A850-WEEKDAY(A850,3))</f>
        <v/>
      </c>
      <c r="K850" s="7">
        <f>IF(A850="","",IF(OR(B850="",C850="",D850="",E850=""),"Missing info",IF(ISNA(MATCH(B850,Staff!$A$2:$A$101,0)),"Unknown employee",IF(H850="?","Unknown site",IF(G850&lt;=0,"Check times",IF(G850&gt;12,"Over 12h",IF(COUNTIFS($L$2:$L$2001,L850)&gt;1,"Duplicate?",IF(A850&gt;TODAY(),"Future date","OK"))))))))</f>
        <v/>
      </c>
      <c r="L850">
        <f>IF(A850="","",TEXT(A850,"yyyy-mm-dd")&amp;"|"&amp;B850&amp;"|"&amp;C850)</f>
        <v/>
      </c>
    </row>
    <row r="851">
      <c r="A851" s="4" t="n"/>
      <c r="D851" s="5" t="n"/>
      <c r="E851" s="5" t="n"/>
      <c r="G851" s="6">
        <f>IF(OR(A851="",D851="",E851=""),"",ROUND(MOD(E851-D851,1)*24-N(F851)/60,2))</f>
        <v/>
      </c>
      <c r="H851" s="7">
        <f>IF(C851="","",IFERROR(INDEX(Sites!$B$2:$B$501,MATCH(C851,Sites!$A$2:$A$501,0)),"?"))</f>
        <v/>
      </c>
      <c r="I851" s="8">
        <f>IF(A851="","",A851-WEEKDAY(A851,3))</f>
        <v/>
      </c>
      <c r="K851" s="7">
        <f>IF(A851="","",IF(OR(B851="",C851="",D851="",E851=""),"Missing info",IF(ISNA(MATCH(B851,Staff!$A$2:$A$101,0)),"Unknown employee",IF(H851="?","Unknown site",IF(G851&lt;=0,"Check times",IF(G851&gt;12,"Over 12h",IF(COUNTIFS($L$2:$L$2001,L851)&gt;1,"Duplicate?",IF(A851&gt;TODAY(),"Future date","OK"))))))))</f>
        <v/>
      </c>
      <c r="L851">
        <f>IF(A851="","",TEXT(A851,"yyyy-mm-dd")&amp;"|"&amp;B851&amp;"|"&amp;C851)</f>
        <v/>
      </c>
    </row>
    <row r="852">
      <c r="A852" s="4" t="n"/>
      <c r="D852" s="5" t="n"/>
      <c r="E852" s="5" t="n"/>
      <c r="G852" s="6">
        <f>IF(OR(A852="",D852="",E852=""),"",ROUND(MOD(E852-D852,1)*24-N(F852)/60,2))</f>
        <v/>
      </c>
      <c r="H852" s="7">
        <f>IF(C852="","",IFERROR(INDEX(Sites!$B$2:$B$501,MATCH(C852,Sites!$A$2:$A$501,0)),"?"))</f>
        <v/>
      </c>
      <c r="I852" s="8">
        <f>IF(A852="","",A852-WEEKDAY(A852,3))</f>
        <v/>
      </c>
      <c r="K852" s="7">
        <f>IF(A852="","",IF(OR(B852="",C852="",D852="",E852=""),"Missing info",IF(ISNA(MATCH(B852,Staff!$A$2:$A$101,0)),"Unknown employee",IF(H852="?","Unknown site",IF(G852&lt;=0,"Check times",IF(G852&gt;12,"Over 12h",IF(COUNTIFS($L$2:$L$2001,L852)&gt;1,"Duplicate?",IF(A852&gt;TODAY(),"Future date","OK"))))))))</f>
        <v/>
      </c>
      <c r="L852">
        <f>IF(A852="","",TEXT(A852,"yyyy-mm-dd")&amp;"|"&amp;B852&amp;"|"&amp;C852)</f>
        <v/>
      </c>
    </row>
    <row r="853">
      <c r="A853" s="4" t="n"/>
      <c r="D853" s="5" t="n"/>
      <c r="E853" s="5" t="n"/>
      <c r="G853" s="6">
        <f>IF(OR(A853="",D853="",E853=""),"",ROUND(MOD(E853-D853,1)*24-N(F853)/60,2))</f>
        <v/>
      </c>
      <c r="H853" s="7">
        <f>IF(C853="","",IFERROR(INDEX(Sites!$B$2:$B$501,MATCH(C853,Sites!$A$2:$A$501,0)),"?"))</f>
        <v/>
      </c>
      <c r="I853" s="8">
        <f>IF(A853="","",A853-WEEKDAY(A853,3))</f>
        <v/>
      </c>
      <c r="K853" s="7">
        <f>IF(A853="","",IF(OR(B853="",C853="",D853="",E853=""),"Missing info",IF(ISNA(MATCH(B853,Staff!$A$2:$A$101,0)),"Unknown employee",IF(H853="?","Unknown site",IF(G853&lt;=0,"Check times",IF(G853&gt;12,"Over 12h",IF(COUNTIFS($L$2:$L$2001,L853)&gt;1,"Duplicate?",IF(A853&gt;TODAY(),"Future date","OK"))))))))</f>
        <v/>
      </c>
      <c r="L853">
        <f>IF(A853="","",TEXT(A853,"yyyy-mm-dd")&amp;"|"&amp;B853&amp;"|"&amp;C853)</f>
        <v/>
      </c>
    </row>
    <row r="854">
      <c r="A854" s="4" t="n"/>
      <c r="D854" s="5" t="n"/>
      <c r="E854" s="5" t="n"/>
      <c r="G854" s="6">
        <f>IF(OR(A854="",D854="",E854=""),"",ROUND(MOD(E854-D854,1)*24-N(F854)/60,2))</f>
        <v/>
      </c>
      <c r="H854" s="7">
        <f>IF(C854="","",IFERROR(INDEX(Sites!$B$2:$B$501,MATCH(C854,Sites!$A$2:$A$501,0)),"?"))</f>
        <v/>
      </c>
      <c r="I854" s="8">
        <f>IF(A854="","",A854-WEEKDAY(A854,3))</f>
        <v/>
      </c>
      <c r="K854" s="7">
        <f>IF(A854="","",IF(OR(B854="",C854="",D854="",E854=""),"Missing info",IF(ISNA(MATCH(B854,Staff!$A$2:$A$101,0)),"Unknown employee",IF(H854="?","Unknown site",IF(G854&lt;=0,"Check times",IF(G854&gt;12,"Over 12h",IF(COUNTIFS($L$2:$L$2001,L854)&gt;1,"Duplicate?",IF(A854&gt;TODAY(),"Future date","OK"))))))))</f>
        <v/>
      </c>
      <c r="L854">
        <f>IF(A854="","",TEXT(A854,"yyyy-mm-dd")&amp;"|"&amp;B854&amp;"|"&amp;C854)</f>
        <v/>
      </c>
    </row>
    <row r="855">
      <c r="A855" s="4" t="n"/>
      <c r="D855" s="5" t="n"/>
      <c r="E855" s="5" t="n"/>
      <c r="G855" s="6">
        <f>IF(OR(A855="",D855="",E855=""),"",ROUND(MOD(E855-D855,1)*24-N(F855)/60,2))</f>
        <v/>
      </c>
      <c r="H855" s="7">
        <f>IF(C855="","",IFERROR(INDEX(Sites!$B$2:$B$501,MATCH(C855,Sites!$A$2:$A$501,0)),"?"))</f>
        <v/>
      </c>
      <c r="I855" s="8">
        <f>IF(A855="","",A855-WEEKDAY(A855,3))</f>
        <v/>
      </c>
      <c r="K855" s="7">
        <f>IF(A855="","",IF(OR(B855="",C855="",D855="",E855=""),"Missing info",IF(ISNA(MATCH(B855,Staff!$A$2:$A$101,0)),"Unknown employee",IF(H855="?","Unknown site",IF(G855&lt;=0,"Check times",IF(G855&gt;12,"Over 12h",IF(COUNTIFS($L$2:$L$2001,L855)&gt;1,"Duplicate?",IF(A855&gt;TODAY(),"Future date","OK"))))))))</f>
        <v/>
      </c>
      <c r="L855">
        <f>IF(A855="","",TEXT(A855,"yyyy-mm-dd")&amp;"|"&amp;B855&amp;"|"&amp;C855)</f>
        <v/>
      </c>
    </row>
    <row r="856">
      <c r="A856" s="4" t="n"/>
      <c r="D856" s="5" t="n"/>
      <c r="E856" s="5" t="n"/>
      <c r="G856" s="6">
        <f>IF(OR(A856="",D856="",E856=""),"",ROUND(MOD(E856-D856,1)*24-N(F856)/60,2))</f>
        <v/>
      </c>
      <c r="H856" s="7">
        <f>IF(C856="","",IFERROR(INDEX(Sites!$B$2:$B$501,MATCH(C856,Sites!$A$2:$A$501,0)),"?"))</f>
        <v/>
      </c>
      <c r="I856" s="8">
        <f>IF(A856="","",A856-WEEKDAY(A856,3))</f>
        <v/>
      </c>
      <c r="K856" s="7">
        <f>IF(A856="","",IF(OR(B856="",C856="",D856="",E856=""),"Missing info",IF(ISNA(MATCH(B856,Staff!$A$2:$A$101,0)),"Unknown employee",IF(H856="?","Unknown site",IF(G856&lt;=0,"Check times",IF(G856&gt;12,"Over 12h",IF(COUNTIFS($L$2:$L$2001,L856)&gt;1,"Duplicate?",IF(A856&gt;TODAY(),"Future date","OK"))))))))</f>
        <v/>
      </c>
      <c r="L856">
        <f>IF(A856="","",TEXT(A856,"yyyy-mm-dd")&amp;"|"&amp;B856&amp;"|"&amp;C856)</f>
        <v/>
      </c>
    </row>
    <row r="857">
      <c r="A857" s="4" t="n"/>
      <c r="D857" s="5" t="n"/>
      <c r="E857" s="5" t="n"/>
      <c r="G857" s="6">
        <f>IF(OR(A857="",D857="",E857=""),"",ROUND(MOD(E857-D857,1)*24-N(F857)/60,2))</f>
        <v/>
      </c>
      <c r="H857" s="7">
        <f>IF(C857="","",IFERROR(INDEX(Sites!$B$2:$B$501,MATCH(C857,Sites!$A$2:$A$501,0)),"?"))</f>
        <v/>
      </c>
      <c r="I857" s="8">
        <f>IF(A857="","",A857-WEEKDAY(A857,3))</f>
        <v/>
      </c>
      <c r="K857" s="7">
        <f>IF(A857="","",IF(OR(B857="",C857="",D857="",E857=""),"Missing info",IF(ISNA(MATCH(B857,Staff!$A$2:$A$101,0)),"Unknown employee",IF(H857="?","Unknown site",IF(G857&lt;=0,"Check times",IF(G857&gt;12,"Over 12h",IF(COUNTIFS($L$2:$L$2001,L857)&gt;1,"Duplicate?",IF(A857&gt;TODAY(),"Future date","OK"))))))))</f>
        <v/>
      </c>
      <c r="L857">
        <f>IF(A857="","",TEXT(A857,"yyyy-mm-dd")&amp;"|"&amp;B857&amp;"|"&amp;C857)</f>
        <v/>
      </c>
    </row>
    <row r="858">
      <c r="A858" s="4" t="n"/>
      <c r="D858" s="5" t="n"/>
      <c r="E858" s="5" t="n"/>
      <c r="G858" s="6">
        <f>IF(OR(A858="",D858="",E858=""),"",ROUND(MOD(E858-D858,1)*24-N(F858)/60,2))</f>
        <v/>
      </c>
      <c r="H858" s="7">
        <f>IF(C858="","",IFERROR(INDEX(Sites!$B$2:$B$501,MATCH(C858,Sites!$A$2:$A$501,0)),"?"))</f>
        <v/>
      </c>
      <c r="I858" s="8">
        <f>IF(A858="","",A858-WEEKDAY(A858,3))</f>
        <v/>
      </c>
      <c r="K858" s="7">
        <f>IF(A858="","",IF(OR(B858="",C858="",D858="",E858=""),"Missing info",IF(ISNA(MATCH(B858,Staff!$A$2:$A$101,0)),"Unknown employee",IF(H858="?","Unknown site",IF(G858&lt;=0,"Check times",IF(G858&gt;12,"Over 12h",IF(COUNTIFS($L$2:$L$2001,L858)&gt;1,"Duplicate?",IF(A858&gt;TODAY(),"Future date","OK"))))))))</f>
        <v/>
      </c>
      <c r="L858">
        <f>IF(A858="","",TEXT(A858,"yyyy-mm-dd")&amp;"|"&amp;B858&amp;"|"&amp;C858)</f>
        <v/>
      </c>
    </row>
    <row r="859">
      <c r="A859" s="4" t="n"/>
      <c r="D859" s="5" t="n"/>
      <c r="E859" s="5" t="n"/>
      <c r="G859" s="6">
        <f>IF(OR(A859="",D859="",E859=""),"",ROUND(MOD(E859-D859,1)*24-N(F859)/60,2))</f>
        <v/>
      </c>
      <c r="H859" s="7">
        <f>IF(C859="","",IFERROR(INDEX(Sites!$B$2:$B$501,MATCH(C859,Sites!$A$2:$A$501,0)),"?"))</f>
        <v/>
      </c>
      <c r="I859" s="8">
        <f>IF(A859="","",A859-WEEKDAY(A859,3))</f>
        <v/>
      </c>
      <c r="K859" s="7">
        <f>IF(A859="","",IF(OR(B859="",C859="",D859="",E859=""),"Missing info",IF(ISNA(MATCH(B859,Staff!$A$2:$A$101,0)),"Unknown employee",IF(H859="?","Unknown site",IF(G859&lt;=0,"Check times",IF(G859&gt;12,"Over 12h",IF(COUNTIFS($L$2:$L$2001,L859)&gt;1,"Duplicate?",IF(A859&gt;TODAY(),"Future date","OK"))))))))</f>
        <v/>
      </c>
      <c r="L859">
        <f>IF(A859="","",TEXT(A859,"yyyy-mm-dd")&amp;"|"&amp;B859&amp;"|"&amp;C859)</f>
        <v/>
      </c>
    </row>
    <row r="860">
      <c r="A860" s="4" t="n"/>
      <c r="D860" s="5" t="n"/>
      <c r="E860" s="5" t="n"/>
      <c r="G860" s="6">
        <f>IF(OR(A860="",D860="",E860=""),"",ROUND(MOD(E860-D860,1)*24-N(F860)/60,2))</f>
        <v/>
      </c>
      <c r="H860" s="7">
        <f>IF(C860="","",IFERROR(INDEX(Sites!$B$2:$B$501,MATCH(C860,Sites!$A$2:$A$501,0)),"?"))</f>
        <v/>
      </c>
      <c r="I860" s="8">
        <f>IF(A860="","",A860-WEEKDAY(A860,3))</f>
        <v/>
      </c>
      <c r="K860" s="7">
        <f>IF(A860="","",IF(OR(B860="",C860="",D860="",E860=""),"Missing info",IF(ISNA(MATCH(B860,Staff!$A$2:$A$101,0)),"Unknown employee",IF(H860="?","Unknown site",IF(G860&lt;=0,"Check times",IF(G860&gt;12,"Over 12h",IF(COUNTIFS($L$2:$L$2001,L860)&gt;1,"Duplicate?",IF(A860&gt;TODAY(),"Future date","OK"))))))))</f>
        <v/>
      </c>
      <c r="L860">
        <f>IF(A860="","",TEXT(A860,"yyyy-mm-dd")&amp;"|"&amp;B860&amp;"|"&amp;C860)</f>
        <v/>
      </c>
    </row>
    <row r="861">
      <c r="A861" s="4" t="n"/>
      <c r="D861" s="5" t="n"/>
      <c r="E861" s="5" t="n"/>
      <c r="G861" s="6">
        <f>IF(OR(A861="",D861="",E861=""),"",ROUND(MOD(E861-D861,1)*24-N(F861)/60,2))</f>
        <v/>
      </c>
      <c r="H861" s="7">
        <f>IF(C861="","",IFERROR(INDEX(Sites!$B$2:$B$501,MATCH(C861,Sites!$A$2:$A$501,0)),"?"))</f>
        <v/>
      </c>
      <c r="I861" s="8">
        <f>IF(A861="","",A861-WEEKDAY(A861,3))</f>
        <v/>
      </c>
      <c r="K861" s="7">
        <f>IF(A861="","",IF(OR(B861="",C861="",D861="",E861=""),"Missing info",IF(ISNA(MATCH(B861,Staff!$A$2:$A$101,0)),"Unknown employee",IF(H861="?","Unknown site",IF(G861&lt;=0,"Check times",IF(G861&gt;12,"Over 12h",IF(COUNTIFS($L$2:$L$2001,L861)&gt;1,"Duplicate?",IF(A861&gt;TODAY(),"Future date","OK"))))))))</f>
        <v/>
      </c>
      <c r="L861">
        <f>IF(A861="","",TEXT(A861,"yyyy-mm-dd")&amp;"|"&amp;B861&amp;"|"&amp;C861)</f>
        <v/>
      </c>
    </row>
    <row r="862">
      <c r="A862" s="4" t="n"/>
      <c r="D862" s="5" t="n"/>
      <c r="E862" s="5" t="n"/>
      <c r="G862" s="6">
        <f>IF(OR(A862="",D862="",E862=""),"",ROUND(MOD(E862-D862,1)*24-N(F862)/60,2))</f>
        <v/>
      </c>
      <c r="H862" s="7">
        <f>IF(C862="","",IFERROR(INDEX(Sites!$B$2:$B$501,MATCH(C862,Sites!$A$2:$A$501,0)),"?"))</f>
        <v/>
      </c>
      <c r="I862" s="8">
        <f>IF(A862="","",A862-WEEKDAY(A862,3))</f>
        <v/>
      </c>
      <c r="K862" s="7">
        <f>IF(A862="","",IF(OR(B862="",C862="",D862="",E862=""),"Missing info",IF(ISNA(MATCH(B862,Staff!$A$2:$A$101,0)),"Unknown employee",IF(H862="?","Unknown site",IF(G862&lt;=0,"Check times",IF(G862&gt;12,"Over 12h",IF(COUNTIFS($L$2:$L$2001,L862)&gt;1,"Duplicate?",IF(A862&gt;TODAY(),"Future date","OK"))))))))</f>
        <v/>
      </c>
      <c r="L862">
        <f>IF(A862="","",TEXT(A862,"yyyy-mm-dd")&amp;"|"&amp;B862&amp;"|"&amp;C862)</f>
        <v/>
      </c>
    </row>
    <row r="863">
      <c r="A863" s="4" t="n"/>
      <c r="D863" s="5" t="n"/>
      <c r="E863" s="5" t="n"/>
      <c r="G863" s="6">
        <f>IF(OR(A863="",D863="",E863=""),"",ROUND(MOD(E863-D863,1)*24-N(F863)/60,2))</f>
        <v/>
      </c>
      <c r="H863" s="7">
        <f>IF(C863="","",IFERROR(INDEX(Sites!$B$2:$B$501,MATCH(C863,Sites!$A$2:$A$501,0)),"?"))</f>
        <v/>
      </c>
      <c r="I863" s="8">
        <f>IF(A863="","",A863-WEEKDAY(A863,3))</f>
        <v/>
      </c>
      <c r="K863" s="7">
        <f>IF(A863="","",IF(OR(B863="",C863="",D863="",E863=""),"Missing info",IF(ISNA(MATCH(B863,Staff!$A$2:$A$101,0)),"Unknown employee",IF(H863="?","Unknown site",IF(G863&lt;=0,"Check times",IF(G863&gt;12,"Over 12h",IF(COUNTIFS($L$2:$L$2001,L863)&gt;1,"Duplicate?",IF(A863&gt;TODAY(),"Future date","OK"))))))))</f>
        <v/>
      </c>
      <c r="L863">
        <f>IF(A863="","",TEXT(A863,"yyyy-mm-dd")&amp;"|"&amp;B863&amp;"|"&amp;C863)</f>
        <v/>
      </c>
    </row>
    <row r="864">
      <c r="A864" s="4" t="n"/>
      <c r="D864" s="5" t="n"/>
      <c r="E864" s="5" t="n"/>
      <c r="G864" s="6">
        <f>IF(OR(A864="",D864="",E864=""),"",ROUND(MOD(E864-D864,1)*24-N(F864)/60,2))</f>
        <v/>
      </c>
      <c r="H864" s="7">
        <f>IF(C864="","",IFERROR(INDEX(Sites!$B$2:$B$501,MATCH(C864,Sites!$A$2:$A$501,0)),"?"))</f>
        <v/>
      </c>
      <c r="I864" s="8">
        <f>IF(A864="","",A864-WEEKDAY(A864,3))</f>
        <v/>
      </c>
      <c r="K864" s="7">
        <f>IF(A864="","",IF(OR(B864="",C864="",D864="",E864=""),"Missing info",IF(ISNA(MATCH(B864,Staff!$A$2:$A$101,0)),"Unknown employee",IF(H864="?","Unknown site",IF(G864&lt;=0,"Check times",IF(G864&gt;12,"Over 12h",IF(COUNTIFS($L$2:$L$2001,L864)&gt;1,"Duplicate?",IF(A864&gt;TODAY(),"Future date","OK"))))))))</f>
        <v/>
      </c>
      <c r="L864">
        <f>IF(A864="","",TEXT(A864,"yyyy-mm-dd")&amp;"|"&amp;B864&amp;"|"&amp;C864)</f>
        <v/>
      </c>
    </row>
    <row r="865">
      <c r="A865" s="4" t="n"/>
      <c r="D865" s="5" t="n"/>
      <c r="E865" s="5" t="n"/>
      <c r="G865" s="6">
        <f>IF(OR(A865="",D865="",E865=""),"",ROUND(MOD(E865-D865,1)*24-N(F865)/60,2))</f>
        <v/>
      </c>
      <c r="H865" s="7">
        <f>IF(C865="","",IFERROR(INDEX(Sites!$B$2:$B$501,MATCH(C865,Sites!$A$2:$A$501,0)),"?"))</f>
        <v/>
      </c>
      <c r="I865" s="8">
        <f>IF(A865="","",A865-WEEKDAY(A865,3))</f>
        <v/>
      </c>
      <c r="K865" s="7">
        <f>IF(A865="","",IF(OR(B865="",C865="",D865="",E865=""),"Missing info",IF(ISNA(MATCH(B865,Staff!$A$2:$A$101,0)),"Unknown employee",IF(H865="?","Unknown site",IF(G865&lt;=0,"Check times",IF(G865&gt;12,"Over 12h",IF(COUNTIFS($L$2:$L$2001,L865)&gt;1,"Duplicate?",IF(A865&gt;TODAY(),"Future date","OK"))))))))</f>
        <v/>
      </c>
      <c r="L865">
        <f>IF(A865="","",TEXT(A865,"yyyy-mm-dd")&amp;"|"&amp;B865&amp;"|"&amp;C865)</f>
        <v/>
      </c>
    </row>
    <row r="866">
      <c r="A866" s="4" t="n"/>
      <c r="D866" s="5" t="n"/>
      <c r="E866" s="5" t="n"/>
      <c r="G866" s="6">
        <f>IF(OR(A866="",D866="",E866=""),"",ROUND(MOD(E866-D866,1)*24-N(F866)/60,2))</f>
        <v/>
      </c>
      <c r="H866" s="7">
        <f>IF(C866="","",IFERROR(INDEX(Sites!$B$2:$B$501,MATCH(C866,Sites!$A$2:$A$501,0)),"?"))</f>
        <v/>
      </c>
      <c r="I866" s="8">
        <f>IF(A866="","",A866-WEEKDAY(A866,3))</f>
        <v/>
      </c>
      <c r="K866" s="7">
        <f>IF(A866="","",IF(OR(B866="",C866="",D866="",E866=""),"Missing info",IF(ISNA(MATCH(B866,Staff!$A$2:$A$101,0)),"Unknown employee",IF(H866="?","Unknown site",IF(G866&lt;=0,"Check times",IF(G866&gt;12,"Over 12h",IF(COUNTIFS($L$2:$L$2001,L866)&gt;1,"Duplicate?",IF(A866&gt;TODAY(),"Future date","OK"))))))))</f>
        <v/>
      </c>
      <c r="L866">
        <f>IF(A866="","",TEXT(A866,"yyyy-mm-dd")&amp;"|"&amp;B866&amp;"|"&amp;C866)</f>
        <v/>
      </c>
    </row>
    <row r="867">
      <c r="A867" s="4" t="n"/>
      <c r="D867" s="5" t="n"/>
      <c r="E867" s="5" t="n"/>
      <c r="G867" s="6">
        <f>IF(OR(A867="",D867="",E867=""),"",ROUND(MOD(E867-D867,1)*24-N(F867)/60,2))</f>
        <v/>
      </c>
      <c r="H867" s="7">
        <f>IF(C867="","",IFERROR(INDEX(Sites!$B$2:$B$501,MATCH(C867,Sites!$A$2:$A$501,0)),"?"))</f>
        <v/>
      </c>
      <c r="I867" s="8">
        <f>IF(A867="","",A867-WEEKDAY(A867,3))</f>
        <v/>
      </c>
      <c r="K867" s="7">
        <f>IF(A867="","",IF(OR(B867="",C867="",D867="",E867=""),"Missing info",IF(ISNA(MATCH(B867,Staff!$A$2:$A$101,0)),"Unknown employee",IF(H867="?","Unknown site",IF(G867&lt;=0,"Check times",IF(G867&gt;12,"Over 12h",IF(COUNTIFS($L$2:$L$2001,L867)&gt;1,"Duplicate?",IF(A867&gt;TODAY(),"Future date","OK"))))))))</f>
        <v/>
      </c>
      <c r="L867">
        <f>IF(A867="","",TEXT(A867,"yyyy-mm-dd")&amp;"|"&amp;B867&amp;"|"&amp;C867)</f>
        <v/>
      </c>
    </row>
    <row r="868">
      <c r="A868" s="4" t="n"/>
      <c r="D868" s="5" t="n"/>
      <c r="E868" s="5" t="n"/>
      <c r="G868" s="6">
        <f>IF(OR(A868="",D868="",E868=""),"",ROUND(MOD(E868-D868,1)*24-N(F868)/60,2))</f>
        <v/>
      </c>
      <c r="H868" s="7">
        <f>IF(C868="","",IFERROR(INDEX(Sites!$B$2:$B$501,MATCH(C868,Sites!$A$2:$A$501,0)),"?"))</f>
        <v/>
      </c>
      <c r="I868" s="8">
        <f>IF(A868="","",A868-WEEKDAY(A868,3))</f>
        <v/>
      </c>
      <c r="K868" s="7">
        <f>IF(A868="","",IF(OR(B868="",C868="",D868="",E868=""),"Missing info",IF(ISNA(MATCH(B868,Staff!$A$2:$A$101,0)),"Unknown employee",IF(H868="?","Unknown site",IF(G868&lt;=0,"Check times",IF(G868&gt;12,"Over 12h",IF(COUNTIFS($L$2:$L$2001,L868)&gt;1,"Duplicate?",IF(A868&gt;TODAY(),"Future date","OK"))))))))</f>
        <v/>
      </c>
      <c r="L868">
        <f>IF(A868="","",TEXT(A868,"yyyy-mm-dd")&amp;"|"&amp;B868&amp;"|"&amp;C868)</f>
        <v/>
      </c>
    </row>
    <row r="869">
      <c r="A869" s="4" t="n"/>
      <c r="D869" s="5" t="n"/>
      <c r="E869" s="5" t="n"/>
      <c r="G869" s="6">
        <f>IF(OR(A869="",D869="",E869=""),"",ROUND(MOD(E869-D869,1)*24-N(F869)/60,2))</f>
        <v/>
      </c>
      <c r="H869" s="7">
        <f>IF(C869="","",IFERROR(INDEX(Sites!$B$2:$B$501,MATCH(C869,Sites!$A$2:$A$501,0)),"?"))</f>
        <v/>
      </c>
      <c r="I869" s="8">
        <f>IF(A869="","",A869-WEEKDAY(A869,3))</f>
        <v/>
      </c>
      <c r="K869" s="7">
        <f>IF(A869="","",IF(OR(B869="",C869="",D869="",E869=""),"Missing info",IF(ISNA(MATCH(B869,Staff!$A$2:$A$101,0)),"Unknown employee",IF(H869="?","Unknown site",IF(G869&lt;=0,"Check times",IF(G869&gt;12,"Over 12h",IF(COUNTIFS($L$2:$L$2001,L869)&gt;1,"Duplicate?",IF(A869&gt;TODAY(),"Future date","OK"))))))))</f>
        <v/>
      </c>
      <c r="L869">
        <f>IF(A869="","",TEXT(A869,"yyyy-mm-dd")&amp;"|"&amp;B869&amp;"|"&amp;C869)</f>
        <v/>
      </c>
    </row>
    <row r="870">
      <c r="A870" s="4" t="n"/>
      <c r="D870" s="5" t="n"/>
      <c r="E870" s="5" t="n"/>
      <c r="G870" s="6">
        <f>IF(OR(A870="",D870="",E870=""),"",ROUND(MOD(E870-D870,1)*24-N(F870)/60,2))</f>
        <v/>
      </c>
      <c r="H870" s="7">
        <f>IF(C870="","",IFERROR(INDEX(Sites!$B$2:$B$501,MATCH(C870,Sites!$A$2:$A$501,0)),"?"))</f>
        <v/>
      </c>
      <c r="I870" s="8">
        <f>IF(A870="","",A870-WEEKDAY(A870,3))</f>
        <v/>
      </c>
      <c r="K870" s="7">
        <f>IF(A870="","",IF(OR(B870="",C870="",D870="",E870=""),"Missing info",IF(ISNA(MATCH(B870,Staff!$A$2:$A$101,0)),"Unknown employee",IF(H870="?","Unknown site",IF(G870&lt;=0,"Check times",IF(G870&gt;12,"Over 12h",IF(COUNTIFS($L$2:$L$2001,L870)&gt;1,"Duplicate?",IF(A870&gt;TODAY(),"Future date","OK"))))))))</f>
        <v/>
      </c>
      <c r="L870">
        <f>IF(A870="","",TEXT(A870,"yyyy-mm-dd")&amp;"|"&amp;B870&amp;"|"&amp;C870)</f>
        <v/>
      </c>
    </row>
    <row r="871">
      <c r="A871" s="4" t="n"/>
      <c r="D871" s="5" t="n"/>
      <c r="E871" s="5" t="n"/>
      <c r="G871" s="6">
        <f>IF(OR(A871="",D871="",E871=""),"",ROUND(MOD(E871-D871,1)*24-N(F871)/60,2))</f>
        <v/>
      </c>
      <c r="H871" s="7">
        <f>IF(C871="","",IFERROR(INDEX(Sites!$B$2:$B$501,MATCH(C871,Sites!$A$2:$A$501,0)),"?"))</f>
        <v/>
      </c>
      <c r="I871" s="8">
        <f>IF(A871="","",A871-WEEKDAY(A871,3))</f>
        <v/>
      </c>
      <c r="K871" s="7">
        <f>IF(A871="","",IF(OR(B871="",C871="",D871="",E871=""),"Missing info",IF(ISNA(MATCH(B871,Staff!$A$2:$A$101,0)),"Unknown employee",IF(H871="?","Unknown site",IF(G871&lt;=0,"Check times",IF(G871&gt;12,"Over 12h",IF(COUNTIFS($L$2:$L$2001,L871)&gt;1,"Duplicate?",IF(A871&gt;TODAY(),"Future date","OK"))))))))</f>
        <v/>
      </c>
      <c r="L871">
        <f>IF(A871="","",TEXT(A871,"yyyy-mm-dd")&amp;"|"&amp;B871&amp;"|"&amp;C871)</f>
        <v/>
      </c>
    </row>
    <row r="872">
      <c r="A872" s="4" t="n"/>
      <c r="D872" s="5" t="n"/>
      <c r="E872" s="5" t="n"/>
      <c r="G872" s="6">
        <f>IF(OR(A872="",D872="",E872=""),"",ROUND(MOD(E872-D872,1)*24-N(F872)/60,2))</f>
        <v/>
      </c>
      <c r="H872" s="7">
        <f>IF(C872="","",IFERROR(INDEX(Sites!$B$2:$B$501,MATCH(C872,Sites!$A$2:$A$501,0)),"?"))</f>
        <v/>
      </c>
      <c r="I872" s="8">
        <f>IF(A872="","",A872-WEEKDAY(A872,3))</f>
        <v/>
      </c>
      <c r="K872" s="7">
        <f>IF(A872="","",IF(OR(B872="",C872="",D872="",E872=""),"Missing info",IF(ISNA(MATCH(B872,Staff!$A$2:$A$101,0)),"Unknown employee",IF(H872="?","Unknown site",IF(G872&lt;=0,"Check times",IF(G872&gt;12,"Over 12h",IF(COUNTIFS($L$2:$L$2001,L872)&gt;1,"Duplicate?",IF(A872&gt;TODAY(),"Future date","OK"))))))))</f>
        <v/>
      </c>
      <c r="L872">
        <f>IF(A872="","",TEXT(A872,"yyyy-mm-dd")&amp;"|"&amp;B872&amp;"|"&amp;C872)</f>
        <v/>
      </c>
    </row>
    <row r="873">
      <c r="A873" s="4" t="n"/>
      <c r="D873" s="5" t="n"/>
      <c r="E873" s="5" t="n"/>
      <c r="G873" s="6">
        <f>IF(OR(A873="",D873="",E873=""),"",ROUND(MOD(E873-D873,1)*24-N(F873)/60,2))</f>
        <v/>
      </c>
      <c r="H873" s="7">
        <f>IF(C873="","",IFERROR(INDEX(Sites!$B$2:$B$501,MATCH(C873,Sites!$A$2:$A$501,0)),"?"))</f>
        <v/>
      </c>
      <c r="I873" s="8">
        <f>IF(A873="","",A873-WEEKDAY(A873,3))</f>
        <v/>
      </c>
      <c r="K873" s="7">
        <f>IF(A873="","",IF(OR(B873="",C873="",D873="",E873=""),"Missing info",IF(ISNA(MATCH(B873,Staff!$A$2:$A$101,0)),"Unknown employee",IF(H873="?","Unknown site",IF(G873&lt;=0,"Check times",IF(G873&gt;12,"Over 12h",IF(COUNTIFS($L$2:$L$2001,L873)&gt;1,"Duplicate?",IF(A873&gt;TODAY(),"Future date","OK"))))))))</f>
        <v/>
      </c>
      <c r="L873">
        <f>IF(A873="","",TEXT(A873,"yyyy-mm-dd")&amp;"|"&amp;B873&amp;"|"&amp;C873)</f>
        <v/>
      </c>
    </row>
    <row r="874">
      <c r="A874" s="4" t="n"/>
      <c r="D874" s="5" t="n"/>
      <c r="E874" s="5" t="n"/>
      <c r="G874" s="6">
        <f>IF(OR(A874="",D874="",E874=""),"",ROUND(MOD(E874-D874,1)*24-N(F874)/60,2))</f>
        <v/>
      </c>
      <c r="H874" s="7">
        <f>IF(C874="","",IFERROR(INDEX(Sites!$B$2:$B$501,MATCH(C874,Sites!$A$2:$A$501,0)),"?"))</f>
        <v/>
      </c>
      <c r="I874" s="8">
        <f>IF(A874="","",A874-WEEKDAY(A874,3))</f>
        <v/>
      </c>
      <c r="K874" s="7">
        <f>IF(A874="","",IF(OR(B874="",C874="",D874="",E874=""),"Missing info",IF(ISNA(MATCH(B874,Staff!$A$2:$A$101,0)),"Unknown employee",IF(H874="?","Unknown site",IF(G874&lt;=0,"Check times",IF(G874&gt;12,"Over 12h",IF(COUNTIFS($L$2:$L$2001,L874)&gt;1,"Duplicate?",IF(A874&gt;TODAY(),"Future date","OK"))))))))</f>
        <v/>
      </c>
      <c r="L874">
        <f>IF(A874="","",TEXT(A874,"yyyy-mm-dd")&amp;"|"&amp;B874&amp;"|"&amp;C874)</f>
        <v/>
      </c>
    </row>
    <row r="875">
      <c r="A875" s="4" t="n"/>
      <c r="D875" s="5" t="n"/>
      <c r="E875" s="5" t="n"/>
      <c r="G875" s="6">
        <f>IF(OR(A875="",D875="",E875=""),"",ROUND(MOD(E875-D875,1)*24-N(F875)/60,2))</f>
        <v/>
      </c>
      <c r="H875" s="7">
        <f>IF(C875="","",IFERROR(INDEX(Sites!$B$2:$B$501,MATCH(C875,Sites!$A$2:$A$501,0)),"?"))</f>
        <v/>
      </c>
      <c r="I875" s="8">
        <f>IF(A875="","",A875-WEEKDAY(A875,3))</f>
        <v/>
      </c>
      <c r="K875" s="7">
        <f>IF(A875="","",IF(OR(B875="",C875="",D875="",E875=""),"Missing info",IF(ISNA(MATCH(B875,Staff!$A$2:$A$101,0)),"Unknown employee",IF(H875="?","Unknown site",IF(G875&lt;=0,"Check times",IF(G875&gt;12,"Over 12h",IF(COUNTIFS($L$2:$L$2001,L875)&gt;1,"Duplicate?",IF(A875&gt;TODAY(),"Future date","OK"))))))))</f>
        <v/>
      </c>
      <c r="L875">
        <f>IF(A875="","",TEXT(A875,"yyyy-mm-dd")&amp;"|"&amp;B875&amp;"|"&amp;C875)</f>
        <v/>
      </c>
    </row>
    <row r="876">
      <c r="A876" s="4" t="n"/>
      <c r="D876" s="5" t="n"/>
      <c r="E876" s="5" t="n"/>
      <c r="G876" s="6">
        <f>IF(OR(A876="",D876="",E876=""),"",ROUND(MOD(E876-D876,1)*24-N(F876)/60,2))</f>
        <v/>
      </c>
      <c r="H876" s="7">
        <f>IF(C876="","",IFERROR(INDEX(Sites!$B$2:$B$501,MATCH(C876,Sites!$A$2:$A$501,0)),"?"))</f>
        <v/>
      </c>
      <c r="I876" s="8">
        <f>IF(A876="","",A876-WEEKDAY(A876,3))</f>
        <v/>
      </c>
      <c r="K876" s="7">
        <f>IF(A876="","",IF(OR(B876="",C876="",D876="",E876=""),"Missing info",IF(ISNA(MATCH(B876,Staff!$A$2:$A$101,0)),"Unknown employee",IF(H876="?","Unknown site",IF(G876&lt;=0,"Check times",IF(G876&gt;12,"Over 12h",IF(COUNTIFS($L$2:$L$2001,L876)&gt;1,"Duplicate?",IF(A876&gt;TODAY(),"Future date","OK"))))))))</f>
        <v/>
      </c>
      <c r="L876">
        <f>IF(A876="","",TEXT(A876,"yyyy-mm-dd")&amp;"|"&amp;B876&amp;"|"&amp;C876)</f>
        <v/>
      </c>
    </row>
    <row r="877">
      <c r="A877" s="4" t="n"/>
      <c r="D877" s="5" t="n"/>
      <c r="E877" s="5" t="n"/>
      <c r="G877" s="6">
        <f>IF(OR(A877="",D877="",E877=""),"",ROUND(MOD(E877-D877,1)*24-N(F877)/60,2))</f>
        <v/>
      </c>
      <c r="H877" s="7">
        <f>IF(C877="","",IFERROR(INDEX(Sites!$B$2:$B$501,MATCH(C877,Sites!$A$2:$A$501,0)),"?"))</f>
        <v/>
      </c>
      <c r="I877" s="8">
        <f>IF(A877="","",A877-WEEKDAY(A877,3))</f>
        <v/>
      </c>
      <c r="K877" s="7">
        <f>IF(A877="","",IF(OR(B877="",C877="",D877="",E877=""),"Missing info",IF(ISNA(MATCH(B877,Staff!$A$2:$A$101,0)),"Unknown employee",IF(H877="?","Unknown site",IF(G877&lt;=0,"Check times",IF(G877&gt;12,"Over 12h",IF(COUNTIFS($L$2:$L$2001,L877)&gt;1,"Duplicate?",IF(A877&gt;TODAY(),"Future date","OK"))))))))</f>
        <v/>
      </c>
      <c r="L877">
        <f>IF(A877="","",TEXT(A877,"yyyy-mm-dd")&amp;"|"&amp;B877&amp;"|"&amp;C877)</f>
        <v/>
      </c>
    </row>
    <row r="878">
      <c r="A878" s="4" t="n"/>
      <c r="D878" s="5" t="n"/>
      <c r="E878" s="5" t="n"/>
      <c r="G878" s="6">
        <f>IF(OR(A878="",D878="",E878=""),"",ROUND(MOD(E878-D878,1)*24-N(F878)/60,2))</f>
        <v/>
      </c>
      <c r="H878" s="7">
        <f>IF(C878="","",IFERROR(INDEX(Sites!$B$2:$B$501,MATCH(C878,Sites!$A$2:$A$501,0)),"?"))</f>
        <v/>
      </c>
      <c r="I878" s="8">
        <f>IF(A878="","",A878-WEEKDAY(A878,3))</f>
        <v/>
      </c>
      <c r="K878" s="7">
        <f>IF(A878="","",IF(OR(B878="",C878="",D878="",E878=""),"Missing info",IF(ISNA(MATCH(B878,Staff!$A$2:$A$101,0)),"Unknown employee",IF(H878="?","Unknown site",IF(G878&lt;=0,"Check times",IF(G878&gt;12,"Over 12h",IF(COUNTIFS($L$2:$L$2001,L878)&gt;1,"Duplicate?",IF(A878&gt;TODAY(),"Future date","OK"))))))))</f>
        <v/>
      </c>
      <c r="L878">
        <f>IF(A878="","",TEXT(A878,"yyyy-mm-dd")&amp;"|"&amp;B878&amp;"|"&amp;C878)</f>
        <v/>
      </c>
    </row>
    <row r="879">
      <c r="A879" s="4" t="n"/>
      <c r="D879" s="5" t="n"/>
      <c r="E879" s="5" t="n"/>
      <c r="G879" s="6">
        <f>IF(OR(A879="",D879="",E879=""),"",ROUND(MOD(E879-D879,1)*24-N(F879)/60,2))</f>
        <v/>
      </c>
      <c r="H879" s="7">
        <f>IF(C879="","",IFERROR(INDEX(Sites!$B$2:$B$501,MATCH(C879,Sites!$A$2:$A$501,0)),"?"))</f>
        <v/>
      </c>
      <c r="I879" s="8">
        <f>IF(A879="","",A879-WEEKDAY(A879,3))</f>
        <v/>
      </c>
      <c r="K879" s="7">
        <f>IF(A879="","",IF(OR(B879="",C879="",D879="",E879=""),"Missing info",IF(ISNA(MATCH(B879,Staff!$A$2:$A$101,0)),"Unknown employee",IF(H879="?","Unknown site",IF(G879&lt;=0,"Check times",IF(G879&gt;12,"Over 12h",IF(COUNTIFS($L$2:$L$2001,L879)&gt;1,"Duplicate?",IF(A879&gt;TODAY(),"Future date","OK"))))))))</f>
        <v/>
      </c>
      <c r="L879">
        <f>IF(A879="","",TEXT(A879,"yyyy-mm-dd")&amp;"|"&amp;B879&amp;"|"&amp;C879)</f>
        <v/>
      </c>
    </row>
    <row r="880">
      <c r="A880" s="4" t="n"/>
      <c r="D880" s="5" t="n"/>
      <c r="E880" s="5" t="n"/>
      <c r="G880" s="6">
        <f>IF(OR(A880="",D880="",E880=""),"",ROUND(MOD(E880-D880,1)*24-N(F880)/60,2))</f>
        <v/>
      </c>
      <c r="H880" s="7">
        <f>IF(C880="","",IFERROR(INDEX(Sites!$B$2:$B$501,MATCH(C880,Sites!$A$2:$A$501,0)),"?"))</f>
        <v/>
      </c>
      <c r="I880" s="8">
        <f>IF(A880="","",A880-WEEKDAY(A880,3))</f>
        <v/>
      </c>
      <c r="K880" s="7">
        <f>IF(A880="","",IF(OR(B880="",C880="",D880="",E880=""),"Missing info",IF(ISNA(MATCH(B880,Staff!$A$2:$A$101,0)),"Unknown employee",IF(H880="?","Unknown site",IF(G880&lt;=0,"Check times",IF(G880&gt;12,"Over 12h",IF(COUNTIFS($L$2:$L$2001,L880)&gt;1,"Duplicate?",IF(A880&gt;TODAY(),"Future date","OK"))))))))</f>
        <v/>
      </c>
      <c r="L880">
        <f>IF(A880="","",TEXT(A880,"yyyy-mm-dd")&amp;"|"&amp;B880&amp;"|"&amp;C880)</f>
        <v/>
      </c>
    </row>
    <row r="881">
      <c r="A881" s="4" t="n"/>
      <c r="D881" s="5" t="n"/>
      <c r="E881" s="5" t="n"/>
      <c r="G881" s="6">
        <f>IF(OR(A881="",D881="",E881=""),"",ROUND(MOD(E881-D881,1)*24-N(F881)/60,2))</f>
        <v/>
      </c>
      <c r="H881" s="7">
        <f>IF(C881="","",IFERROR(INDEX(Sites!$B$2:$B$501,MATCH(C881,Sites!$A$2:$A$501,0)),"?"))</f>
        <v/>
      </c>
      <c r="I881" s="8">
        <f>IF(A881="","",A881-WEEKDAY(A881,3))</f>
        <v/>
      </c>
      <c r="K881" s="7">
        <f>IF(A881="","",IF(OR(B881="",C881="",D881="",E881=""),"Missing info",IF(ISNA(MATCH(B881,Staff!$A$2:$A$101,0)),"Unknown employee",IF(H881="?","Unknown site",IF(G881&lt;=0,"Check times",IF(G881&gt;12,"Over 12h",IF(COUNTIFS($L$2:$L$2001,L881)&gt;1,"Duplicate?",IF(A881&gt;TODAY(),"Future date","OK"))))))))</f>
        <v/>
      </c>
      <c r="L881">
        <f>IF(A881="","",TEXT(A881,"yyyy-mm-dd")&amp;"|"&amp;B881&amp;"|"&amp;C881)</f>
        <v/>
      </c>
    </row>
    <row r="882">
      <c r="A882" s="4" t="n"/>
      <c r="D882" s="5" t="n"/>
      <c r="E882" s="5" t="n"/>
      <c r="G882" s="6">
        <f>IF(OR(A882="",D882="",E882=""),"",ROUND(MOD(E882-D882,1)*24-N(F882)/60,2))</f>
        <v/>
      </c>
      <c r="H882" s="7">
        <f>IF(C882="","",IFERROR(INDEX(Sites!$B$2:$B$501,MATCH(C882,Sites!$A$2:$A$501,0)),"?"))</f>
        <v/>
      </c>
      <c r="I882" s="8">
        <f>IF(A882="","",A882-WEEKDAY(A882,3))</f>
        <v/>
      </c>
      <c r="K882" s="7">
        <f>IF(A882="","",IF(OR(B882="",C882="",D882="",E882=""),"Missing info",IF(ISNA(MATCH(B882,Staff!$A$2:$A$101,0)),"Unknown employee",IF(H882="?","Unknown site",IF(G882&lt;=0,"Check times",IF(G882&gt;12,"Over 12h",IF(COUNTIFS($L$2:$L$2001,L882)&gt;1,"Duplicate?",IF(A882&gt;TODAY(),"Future date","OK"))))))))</f>
        <v/>
      </c>
      <c r="L882">
        <f>IF(A882="","",TEXT(A882,"yyyy-mm-dd")&amp;"|"&amp;B882&amp;"|"&amp;C882)</f>
        <v/>
      </c>
    </row>
    <row r="883">
      <c r="A883" s="4" t="n"/>
      <c r="D883" s="5" t="n"/>
      <c r="E883" s="5" t="n"/>
      <c r="G883" s="6">
        <f>IF(OR(A883="",D883="",E883=""),"",ROUND(MOD(E883-D883,1)*24-N(F883)/60,2))</f>
        <v/>
      </c>
      <c r="H883" s="7">
        <f>IF(C883="","",IFERROR(INDEX(Sites!$B$2:$B$501,MATCH(C883,Sites!$A$2:$A$501,0)),"?"))</f>
        <v/>
      </c>
      <c r="I883" s="8">
        <f>IF(A883="","",A883-WEEKDAY(A883,3))</f>
        <v/>
      </c>
      <c r="K883" s="7">
        <f>IF(A883="","",IF(OR(B883="",C883="",D883="",E883=""),"Missing info",IF(ISNA(MATCH(B883,Staff!$A$2:$A$101,0)),"Unknown employee",IF(H883="?","Unknown site",IF(G883&lt;=0,"Check times",IF(G883&gt;12,"Over 12h",IF(COUNTIFS($L$2:$L$2001,L883)&gt;1,"Duplicate?",IF(A883&gt;TODAY(),"Future date","OK"))))))))</f>
        <v/>
      </c>
      <c r="L883">
        <f>IF(A883="","",TEXT(A883,"yyyy-mm-dd")&amp;"|"&amp;B883&amp;"|"&amp;C883)</f>
        <v/>
      </c>
    </row>
    <row r="884">
      <c r="A884" s="4" t="n"/>
      <c r="D884" s="5" t="n"/>
      <c r="E884" s="5" t="n"/>
      <c r="G884" s="6">
        <f>IF(OR(A884="",D884="",E884=""),"",ROUND(MOD(E884-D884,1)*24-N(F884)/60,2))</f>
        <v/>
      </c>
      <c r="H884" s="7">
        <f>IF(C884="","",IFERROR(INDEX(Sites!$B$2:$B$501,MATCH(C884,Sites!$A$2:$A$501,0)),"?"))</f>
        <v/>
      </c>
      <c r="I884" s="8">
        <f>IF(A884="","",A884-WEEKDAY(A884,3))</f>
        <v/>
      </c>
      <c r="K884" s="7">
        <f>IF(A884="","",IF(OR(B884="",C884="",D884="",E884=""),"Missing info",IF(ISNA(MATCH(B884,Staff!$A$2:$A$101,0)),"Unknown employee",IF(H884="?","Unknown site",IF(G884&lt;=0,"Check times",IF(G884&gt;12,"Over 12h",IF(COUNTIFS($L$2:$L$2001,L884)&gt;1,"Duplicate?",IF(A884&gt;TODAY(),"Future date","OK"))))))))</f>
        <v/>
      </c>
      <c r="L884">
        <f>IF(A884="","",TEXT(A884,"yyyy-mm-dd")&amp;"|"&amp;B884&amp;"|"&amp;C884)</f>
        <v/>
      </c>
    </row>
    <row r="885">
      <c r="A885" s="4" t="n"/>
      <c r="D885" s="5" t="n"/>
      <c r="E885" s="5" t="n"/>
      <c r="G885" s="6">
        <f>IF(OR(A885="",D885="",E885=""),"",ROUND(MOD(E885-D885,1)*24-N(F885)/60,2))</f>
        <v/>
      </c>
      <c r="H885" s="7">
        <f>IF(C885="","",IFERROR(INDEX(Sites!$B$2:$B$501,MATCH(C885,Sites!$A$2:$A$501,0)),"?"))</f>
        <v/>
      </c>
      <c r="I885" s="8">
        <f>IF(A885="","",A885-WEEKDAY(A885,3))</f>
        <v/>
      </c>
      <c r="K885" s="7">
        <f>IF(A885="","",IF(OR(B885="",C885="",D885="",E885=""),"Missing info",IF(ISNA(MATCH(B885,Staff!$A$2:$A$101,0)),"Unknown employee",IF(H885="?","Unknown site",IF(G885&lt;=0,"Check times",IF(G885&gt;12,"Over 12h",IF(COUNTIFS($L$2:$L$2001,L885)&gt;1,"Duplicate?",IF(A885&gt;TODAY(),"Future date","OK"))))))))</f>
        <v/>
      </c>
      <c r="L885">
        <f>IF(A885="","",TEXT(A885,"yyyy-mm-dd")&amp;"|"&amp;B885&amp;"|"&amp;C885)</f>
        <v/>
      </c>
    </row>
    <row r="886">
      <c r="A886" s="4" t="n"/>
      <c r="D886" s="5" t="n"/>
      <c r="E886" s="5" t="n"/>
      <c r="G886" s="6">
        <f>IF(OR(A886="",D886="",E886=""),"",ROUND(MOD(E886-D886,1)*24-N(F886)/60,2))</f>
        <v/>
      </c>
      <c r="H886" s="7">
        <f>IF(C886="","",IFERROR(INDEX(Sites!$B$2:$B$501,MATCH(C886,Sites!$A$2:$A$501,0)),"?"))</f>
        <v/>
      </c>
      <c r="I886" s="8">
        <f>IF(A886="","",A886-WEEKDAY(A886,3))</f>
        <v/>
      </c>
      <c r="K886" s="7">
        <f>IF(A886="","",IF(OR(B886="",C886="",D886="",E886=""),"Missing info",IF(ISNA(MATCH(B886,Staff!$A$2:$A$101,0)),"Unknown employee",IF(H886="?","Unknown site",IF(G886&lt;=0,"Check times",IF(G886&gt;12,"Over 12h",IF(COUNTIFS($L$2:$L$2001,L886)&gt;1,"Duplicate?",IF(A886&gt;TODAY(),"Future date","OK"))))))))</f>
        <v/>
      </c>
      <c r="L886">
        <f>IF(A886="","",TEXT(A886,"yyyy-mm-dd")&amp;"|"&amp;B886&amp;"|"&amp;C886)</f>
        <v/>
      </c>
    </row>
    <row r="887">
      <c r="A887" s="4" t="n"/>
      <c r="D887" s="5" t="n"/>
      <c r="E887" s="5" t="n"/>
      <c r="G887" s="6">
        <f>IF(OR(A887="",D887="",E887=""),"",ROUND(MOD(E887-D887,1)*24-N(F887)/60,2))</f>
        <v/>
      </c>
      <c r="H887" s="7">
        <f>IF(C887="","",IFERROR(INDEX(Sites!$B$2:$B$501,MATCH(C887,Sites!$A$2:$A$501,0)),"?"))</f>
        <v/>
      </c>
      <c r="I887" s="8">
        <f>IF(A887="","",A887-WEEKDAY(A887,3))</f>
        <v/>
      </c>
      <c r="K887" s="7">
        <f>IF(A887="","",IF(OR(B887="",C887="",D887="",E887=""),"Missing info",IF(ISNA(MATCH(B887,Staff!$A$2:$A$101,0)),"Unknown employee",IF(H887="?","Unknown site",IF(G887&lt;=0,"Check times",IF(G887&gt;12,"Over 12h",IF(COUNTIFS($L$2:$L$2001,L887)&gt;1,"Duplicate?",IF(A887&gt;TODAY(),"Future date","OK"))))))))</f>
        <v/>
      </c>
      <c r="L887">
        <f>IF(A887="","",TEXT(A887,"yyyy-mm-dd")&amp;"|"&amp;B887&amp;"|"&amp;C887)</f>
        <v/>
      </c>
    </row>
    <row r="888">
      <c r="A888" s="4" t="n"/>
      <c r="D888" s="5" t="n"/>
      <c r="E888" s="5" t="n"/>
      <c r="G888" s="6">
        <f>IF(OR(A888="",D888="",E888=""),"",ROUND(MOD(E888-D888,1)*24-N(F888)/60,2))</f>
        <v/>
      </c>
      <c r="H888" s="7">
        <f>IF(C888="","",IFERROR(INDEX(Sites!$B$2:$B$501,MATCH(C888,Sites!$A$2:$A$501,0)),"?"))</f>
        <v/>
      </c>
      <c r="I888" s="8">
        <f>IF(A888="","",A888-WEEKDAY(A888,3))</f>
        <v/>
      </c>
      <c r="K888" s="7">
        <f>IF(A888="","",IF(OR(B888="",C888="",D888="",E888=""),"Missing info",IF(ISNA(MATCH(B888,Staff!$A$2:$A$101,0)),"Unknown employee",IF(H888="?","Unknown site",IF(G888&lt;=0,"Check times",IF(G888&gt;12,"Over 12h",IF(COUNTIFS($L$2:$L$2001,L888)&gt;1,"Duplicate?",IF(A888&gt;TODAY(),"Future date","OK"))))))))</f>
        <v/>
      </c>
      <c r="L888">
        <f>IF(A888="","",TEXT(A888,"yyyy-mm-dd")&amp;"|"&amp;B888&amp;"|"&amp;C888)</f>
        <v/>
      </c>
    </row>
    <row r="889">
      <c r="A889" s="4" t="n"/>
      <c r="D889" s="5" t="n"/>
      <c r="E889" s="5" t="n"/>
      <c r="G889" s="6">
        <f>IF(OR(A889="",D889="",E889=""),"",ROUND(MOD(E889-D889,1)*24-N(F889)/60,2))</f>
        <v/>
      </c>
      <c r="H889" s="7">
        <f>IF(C889="","",IFERROR(INDEX(Sites!$B$2:$B$501,MATCH(C889,Sites!$A$2:$A$501,0)),"?"))</f>
        <v/>
      </c>
      <c r="I889" s="8">
        <f>IF(A889="","",A889-WEEKDAY(A889,3))</f>
        <v/>
      </c>
      <c r="K889" s="7">
        <f>IF(A889="","",IF(OR(B889="",C889="",D889="",E889=""),"Missing info",IF(ISNA(MATCH(B889,Staff!$A$2:$A$101,0)),"Unknown employee",IF(H889="?","Unknown site",IF(G889&lt;=0,"Check times",IF(G889&gt;12,"Over 12h",IF(COUNTIFS($L$2:$L$2001,L889)&gt;1,"Duplicate?",IF(A889&gt;TODAY(),"Future date","OK"))))))))</f>
        <v/>
      </c>
      <c r="L889">
        <f>IF(A889="","",TEXT(A889,"yyyy-mm-dd")&amp;"|"&amp;B889&amp;"|"&amp;C889)</f>
        <v/>
      </c>
    </row>
    <row r="890">
      <c r="A890" s="4" t="n"/>
      <c r="D890" s="5" t="n"/>
      <c r="E890" s="5" t="n"/>
      <c r="G890" s="6">
        <f>IF(OR(A890="",D890="",E890=""),"",ROUND(MOD(E890-D890,1)*24-N(F890)/60,2))</f>
        <v/>
      </c>
      <c r="H890" s="7">
        <f>IF(C890="","",IFERROR(INDEX(Sites!$B$2:$B$501,MATCH(C890,Sites!$A$2:$A$501,0)),"?"))</f>
        <v/>
      </c>
      <c r="I890" s="8">
        <f>IF(A890="","",A890-WEEKDAY(A890,3))</f>
        <v/>
      </c>
      <c r="K890" s="7">
        <f>IF(A890="","",IF(OR(B890="",C890="",D890="",E890=""),"Missing info",IF(ISNA(MATCH(B890,Staff!$A$2:$A$101,0)),"Unknown employee",IF(H890="?","Unknown site",IF(G890&lt;=0,"Check times",IF(G890&gt;12,"Over 12h",IF(COUNTIFS($L$2:$L$2001,L890)&gt;1,"Duplicate?",IF(A890&gt;TODAY(),"Future date","OK"))))))))</f>
        <v/>
      </c>
      <c r="L890">
        <f>IF(A890="","",TEXT(A890,"yyyy-mm-dd")&amp;"|"&amp;B890&amp;"|"&amp;C890)</f>
        <v/>
      </c>
    </row>
    <row r="891">
      <c r="A891" s="4" t="n"/>
      <c r="D891" s="5" t="n"/>
      <c r="E891" s="5" t="n"/>
      <c r="G891" s="6">
        <f>IF(OR(A891="",D891="",E891=""),"",ROUND(MOD(E891-D891,1)*24-N(F891)/60,2))</f>
        <v/>
      </c>
      <c r="H891" s="7">
        <f>IF(C891="","",IFERROR(INDEX(Sites!$B$2:$B$501,MATCH(C891,Sites!$A$2:$A$501,0)),"?"))</f>
        <v/>
      </c>
      <c r="I891" s="8">
        <f>IF(A891="","",A891-WEEKDAY(A891,3))</f>
        <v/>
      </c>
      <c r="K891" s="7">
        <f>IF(A891="","",IF(OR(B891="",C891="",D891="",E891=""),"Missing info",IF(ISNA(MATCH(B891,Staff!$A$2:$A$101,0)),"Unknown employee",IF(H891="?","Unknown site",IF(G891&lt;=0,"Check times",IF(G891&gt;12,"Over 12h",IF(COUNTIFS($L$2:$L$2001,L891)&gt;1,"Duplicate?",IF(A891&gt;TODAY(),"Future date","OK"))))))))</f>
        <v/>
      </c>
      <c r="L891">
        <f>IF(A891="","",TEXT(A891,"yyyy-mm-dd")&amp;"|"&amp;B891&amp;"|"&amp;C891)</f>
        <v/>
      </c>
    </row>
    <row r="892">
      <c r="A892" s="4" t="n"/>
      <c r="D892" s="5" t="n"/>
      <c r="E892" s="5" t="n"/>
      <c r="G892" s="6">
        <f>IF(OR(A892="",D892="",E892=""),"",ROUND(MOD(E892-D892,1)*24-N(F892)/60,2))</f>
        <v/>
      </c>
      <c r="H892" s="7">
        <f>IF(C892="","",IFERROR(INDEX(Sites!$B$2:$B$501,MATCH(C892,Sites!$A$2:$A$501,0)),"?"))</f>
        <v/>
      </c>
      <c r="I892" s="8">
        <f>IF(A892="","",A892-WEEKDAY(A892,3))</f>
        <v/>
      </c>
      <c r="K892" s="7">
        <f>IF(A892="","",IF(OR(B892="",C892="",D892="",E892=""),"Missing info",IF(ISNA(MATCH(B892,Staff!$A$2:$A$101,0)),"Unknown employee",IF(H892="?","Unknown site",IF(G892&lt;=0,"Check times",IF(G892&gt;12,"Over 12h",IF(COUNTIFS($L$2:$L$2001,L892)&gt;1,"Duplicate?",IF(A892&gt;TODAY(),"Future date","OK"))))))))</f>
        <v/>
      </c>
      <c r="L892">
        <f>IF(A892="","",TEXT(A892,"yyyy-mm-dd")&amp;"|"&amp;B892&amp;"|"&amp;C892)</f>
        <v/>
      </c>
    </row>
    <row r="893">
      <c r="A893" s="4" t="n"/>
      <c r="D893" s="5" t="n"/>
      <c r="E893" s="5" t="n"/>
      <c r="G893" s="6">
        <f>IF(OR(A893="",D893="",E893=""),"",ROUND(MOD(E893-D893,1)*24-N(F893)/60,2))</f>
        <v/>
      </c>
      <c r="H893" s="7">
        <f>IF(C893="","",IFERROR(INDEX(Sites!$B$2:$B$501,MATCH(C893,Sites!$A$2:$A$501,0)),"?"))</f>
        <v/>
      </c>
      <c r="I893" s="8">
        <f>IF(A893="","",A893-WEEKDAY(A893,3))</f>
        <v/>
      </c>
      <c r="K893" s="7">
        <f>IF(A893="","",IF(OR(B893="",C893="",D893="",E893=""),"Missing info",IF(ISNA(MATCH(B893,Staff!$A$2:$A$101,0)),"Unknown employee",IF(H893="?","Unknown site",IF(G893&lt;=0,"Check times",IF(G893&gt;12,"Over 12h",IF(COUNTIFS($L$2:$L$2001,L893)&gt;1,"Duplicate?",IF(A893&gt;TODAY(),"Future date","OK"))))))))</f>
        <v/>
      </c>
      <c r="L893">
        <f>IF(A893="","",TEXT(A893,"yyyy-mm-dd")&amp;"|"&amp;B893&amp;"|"&amp;C893)</f>
        <v/>
      </c>
    </row>
    <row r="894">
      <c r="A894" s="4" t="n"/>
      <c r="D894" s="5" t="n"/>
      <c r="E894" s="5" t="n"/>
      <c r="G894" s="6">
        <f>IF(OR(A894="",D894="",E894=""),"",ROUND(MOD(E894-D894,1)*24-N(F894)/60,2))</f>
        <v/>
      </c>
      <c r="H894" s="7">
        <f>IF(C894="","",IFERROR(INDEX(Sites!$B$2:$B$501,MATCH(C894,Sites!$A$2:$A$501,0)),"?"))</f>
        <v/>
      </c>
      <c r="I894" s="8">
        <f>IF(A894="","",A894-WEEKDAY(A894,3))</f>
        <v/>
      </c>
      <c r="K894" s="7">
        <f>IF(A894="","",IF(OR(B894="",C894="",D894="",E894=""),"Missing info",IF(ISNA(MATCH(B894,Staff!$A$2:$A$101,0)),"Unknown employee",IF(H894="?","Unknown site",IF(G894&lt;=0,"Check times",IF(G894&gt;12,"Over 12h",IF(COUNTIFS($L$2:$L$2001,L894)&gt;1,"Duplicate?",IF(A894&gt;TODAY(),"Future date","OK"))))))))</f>
        <v/>
      </c>
      <c r="L894">
        <f>IF(A894="","",TEXT(A894,"yyyy-mm-dd")&amp;"|"&amp;B894&amp;"|"&amp;C894)</f>
        <v/>
      </c>
    </row>
    <row r="895">
      <c r="A895" s="4" t="n"/>
      <c r="D895" s="5" t="n"/>
      <c r="E895" s="5" t="n"/>
      <c r="G895" s="6">
        <f>IF(OR(A895="",D895="",E895=""),"",ROUND(MOD(E895-D895,1)*24-N(F895)/60,2))</f>
        <v/>
      </c>
      <c r="H895" s="7">
        <f>IF(C895="","",IFERROR(INDEX(Sites!$B$2:$B$501,MATCH(C895,Sites!$A$2:$A$501,0)),"?"))</f>
        <v/>
      </c>
      <c r="I895" s="8">
        <f>IF(A895="","",A895-WEEKDAY(A895,3))</f>
        <v/>
      </c>
      <c r="K895" s="7">
        <f>IF(A895="","",IF(OR(B895="",C895="",D895="",E895=""),"Missing info",IF(ISNA(MATCH(B895,Staff!$A$2:$A$101,0)),"Unknown employee",IF(H895="?","Unknown site",IF(G895&lt;=0,"Check times",IF(G895&gt;12,"Over 12h",IF(COUNTIFS($L$2:$L$2001,L895)&gt;1,"Duplicate?",IF(A895&gt;TODAY(),"Future date","OK"))))))))</f>
        <v/>
      </c>
      <c r="L895">
        <f>IF(A895="","",TEXT(A895,"yyyy-mm-dd")&amp;"|"&amp;B895&amp;"|"&amp;C895)</f>
        <v/>
      </c>
    </row>
    <row r="896">
      <c r="A896" s="4" t="n"/>
      <c r="D896" s="5" t="n"/>
      <c r="E896" s="5" t="n"/>
      <c r="G896" s="6">
        <f>IF(OR(A896="",D896="",E896=""),"",ROUND(MOD(E896-D896,1)*24-N(F896)/60,2))</f>
        <v/>
      </c>
      <c r="H896" s="7">
        <f>IF(C896="","",IFERROR(INDEX(Sites!$B$2:$B$501,MATCH(C896,Sites!$A$2:$A$501,0)),"?"))</f>
        <v/>
      </c>
      <c r="I896" s="8">
        <f>IF(A896="","",A896-WEEKDAY(A896,3))</f>
        <v/>
      </c>
      <c r="K896" s="7">
        <f>IF(A896="","",IF(OR(B896="",C896="",D896="",E896=""),"Missing info",IF(ISNA(MATCH(B896,Staff!$A$2:$A$101,0)),"Unknown employee",IF(H896="?","Unknown site",IF(G896&lt;=0,"Check times",IF(G896&gt;12,"Over 12h",IF(COUNTIFS($L$2:$L$2001,L896)&gt;1,"Duplicate?",IF(A896&gt;TODAY(),"Future date","OK"))))))))</f>
        <v/>
      </c>
      <c r="L896">
        <f>IF(A896="","",TEXT(A896,"yyyy-mm-dd")&amp;"|"&amp;B896&amp;"|"&amp;C896)</f>
        <v/>
      </c>
    </row>
    <row r="897">
      <c r="A897" s="4" t="n"/>
      <c r="D897" s="5" t="n"/>
      <c r="E897" s="5" t="n"/>
      <c r="G897" s="6">
        <f>IF(OR(A897="",D897="",E897=""),"",ROUND(MOD(E897-D897,1)*24-N(F897)/60,2))</f>
        <v/>
      </c>
      <c r="H897" s="7">
        <f>IF(C897="","",IFERROR(INDEX(Sites!$B$2:$B$501,MATCH(C897,Sites!$A$2:$A$501,0)),"?"))</f>
        <v/>
      </c>
      <c r="I897" s="8">
        <f>IF(A897="","",A897-WEEKDAY(A897,3))</f>
        <v/>
      </c>
      <c r="K897" s="7">
        <f>IF(A897="","",IF(OR(B897="",C897="",D897="",E897=""),"Missing info",IF(ISNA(MATCH(B897,Staff!$A$2:$A$101,0)),"Unknown employee",IF(H897="?","Unknown site",IF(G897&lt;=0,"Check times",IF(G897&gt;12,"Over 12h",IF(COUNTIFS($L$2:$L$2001,L897)&gt;1,"Duplicate?",IF(A897&gt;TODAY(),"Future date","OK"))))))))</f>
        <v/>
      </c>
      <c r="L897">
        <f>IF(A897="","",TEXT(A897,"yyyy-mm-dd")&amp;"|"&amp;B897&amp;"|"&amp;C897)</f>
        <v/>
      </c>
    </row>
    <row r="898">
      <c r="A898" s="4" t="n"/>
      <c r="D898" s="5" t="n"/>
      <c r="E898" s="5" t="n"/>
      <c r="G898" s="6">
        <f>IF(OR(A898="",D898="",E898=""),"",ROUND(MOD(E898-D898,1)*24-N(F898)/60,2))</f>
        <v/>
      </c>
      <c r="H898" s="7">
        <f>IF(C898="","",IFERROR(INDEX(Sites!$B$2:$B$501,MATCH(C898,Sites!$A$2:$A$501,0)),"?"))</f>
        <v/>
      </c>
      <c r="I898" s="8">
        <f>IF(A898="","",A898-WEEKDAY(A898,3))</f>
        <v/>
      </c>
      <c r="K898" s="7">
        <f>IF(A898="","",IF(OR(B898="",C898="",D898="",E898=""),"Missing info",IF(ISNA(MATCH(B898,Staff!$A$2:$A$101,0)),"Unknown employee",IF(H898="?","Unknown site",IF(G898&lt;=0,"Check times",IF(G898&gt;12,"Over 12h",IF(COUNTIFS($L$2:$L$2001,L898)&gt;1,"Duplicate?",IF(A898&gt;TODAY(),"Future date","OK"))))))))</f>
        <v/>
      </c>
      <c r="L898">
        <f>IF(A898="","",TEXT(A898,"yyyy-mm-dd")&amp;"|"&amp;B898&amp;"|"&amp;C898)</f>
        <v/>
      </c>
    </row>
    <row r="899">
      <c r="A899" s="4" t="n"/>
      <c r="D899" s="5" t="n"/>
      <c r="E899" s="5" t="n"/>
      <c r="G899" s="6">
        <f>IF(OR(A899="",D899="",E899=""),"",ROUND(MOD(E899-D899,1)*24-N(F899)/60,2))</f>
        <v/>
      </c>
      <c r="H899" s="7">
        <f>IF(C899="","",IFERROR(INDEX(Sites!$B$2:$B$501,MATCH(C899,Sites!$A$2:$A$501,0)),"?"))</f>
        <v/>
      </c>
      <c r="I899" s="8">
        <f>IF(A899="","",A899-WEEKDAY(A899,3))</f>
        <v/>
      </c>
      <c r="K899" s="7">
        <f>IF(A899="","",IF(OR(B899="",C899="",D899="",E899=""),"Missing info",IF(ISNA(MATCH(B899,Staff!$A$2:$A$101,0)),"Unknown employee",IF(H899="?","Unknown site",IF(G899&lt;=0,"Check times",IF(G899&gt;12,"Over 12h",IF(COUNTIFS($L$2:$L$2001,L899)&gt;1,"Duplicate?",IF(A899&gt;TODAY(),"Future date","OK"))))))))</f>
        <v/>
      </c>
      <c r="L899">
        <f>IF(A899="","",TEXT(A899,"yyyy-mm-dd")&amp;"|"&amp;B899&amp;"|"&amp;C899)</f>
        <v/>
      </c>
    </row>
    <row r="900">
      <c r="A900" s="4" t="n"/>
      <c r="D900" s="5" t="n"/>
      <c r="E900" s="5" t="n"/>
      <c r="G900" s="6">
        <f>IF(OR(A900="",D900="",E900=""),"",ROUND(MOD(E900-D900,1)*24-N(F900)/60,2))</f>
        <v/>
      </c>
      <c r="H900" s="7">
        <f>IF(C900="","",IFERROR(INDEX(Sites!$B$2:$B$501,MATCH(C900,Sites!$A$2:$A$501,0)),"?"))</f>
        <v/>
      </c>
      <c r="I900" s="8">
        <f>IF(A900="","",A900-WEEKDAY(A900,3))</f>
        <v/>
      </c>
      <c r="K900" s="7">
        <f>IF(A900="","",IF(OR(B900="",C900="",D900="",E900=""),"Missing info",IF(ISNA(MATCH(B900,Staff!$A$2:$A$101,0)),"Unknown employee",IF(H900="?","Unknown site",IF(G900&lt;=0,"Check times",IF(G900&gt;12,"Over 12h",IF(COUNTIFS($L$2:$L$2001,L900)&gt;1,"Duplicate?",IF(A900&gt;TODAY(),"Future date","OK"))))))))</f>
        <v/>
      </c>
      <c r="L900">
        <f>IF(A900="","",TEXT(A900,"yyyy-mm-dd")&amp;"|"&amp;B900&amp;"|"&amp;C900)</f>
        <v/>
      </c>
    </row>
    <row r="901">
      <c r="A901" s="4" t="n"/>
      <c r="D901" s="5" t="n"/>
      <c r="E901" s="5" t="n"/>
      <c r="G901" s="6">
        <f>IF(OR(A901="",D901="",E901=""),"",ROUND(MOD(E901-D901,1)*24-N(F901)/60,2))</f>
        <v/>
      </c>
      <c r="H901" s="7">
        <f>IF(C901="","",IFERROR(INDEX(Sites!$B$2:$B$501,MATCH(C901,Sites!$A$2:$A$501,0)),"?"))</f>
        <v/>
      </c>
      <c r="I901" s="8">
        <f>IF(A901="","",A901-WEEKDAY(A901,3))</f>
        <v/>
      </c>
      <c r="K901" s="7">
        <f>IF(A901="","",IF(OR(B901="",C901="",D901="",E901=""),"Missing info",IF(ISNA(MATCH(B901,Staff!$A$2:$A$101,0)),"Unknown employee",IF(H901="?","Unknown site",IF(G901&lt;=0,"Check times",IF(G901&gt;12,"Over 12h",IF(COUNTIFS($L$2:$L$2001,L901)&gt;1,"Duplicate?",IF(A901&gt;TODAY(),"Future date","OK"))))))))</f>
        <v/>
      </c>
      <c r="L901">
        <f>IF(A901="","",TEXT(A901,"yyyy-mm-dd")&amp;"|"&amp;B901&amp;"|"&amp;C901)</f>
        <v/>
      </c>
    </row>
    <row r="902">
      <c r="A902" s="4" t="n"/>
      <c r="D902" s="5" t="n"/>
      <c r="E902" s="5" t="n"/>
      <c r="G902" s="6">
        <f>IF(OR(A902="",D902="",E902=""),"",ROUND(MOD(E902-D902,1)*24-N(F902)/60,2))</f>
        <v/>
      </c>
      <c r="H902" s="7">
        <f>IF(C902="","",IFERROR(INDEX(Sites!$B$2:$B$501,MATCH(C902,Sites!$A$2:$A$501,0)),"?"))</f>
        <v/>
      </c>
      <c r="I902" s="8">
        <f>IF(A902="","",A902-WEEKDAY(A902,3))</f>
        <v/>
      </c>
      <c r="K902" s="7">
        <f>IF(A902="","",IF(OR(B902="",C902="",D902="",E902=""),"Missing info",IF(ISNA(MATCH(B902,Staff!$A$2:$A$101,0)),"Unknown employee",IF(H902="?","Unknown site",IF(G902&lt;=0,"Check times",IF(G902&gt;12,"Over 12h",IF(COUNTIFS($L$2:$L$2001,L902)&gt;1,"Duplicate?",IF(A902&gt;TODAY(),"Future date","OK"))))))))</f>
        <v/>
      </c>
      <c r="L902">
        <f>IF(A902="","",TEXT(A902,"yyyy-mm-dd")&amp;"|"&amp;B902&amp;"|"&amp;C902)</f>
        <v/>
      </c>
    </row>
    <row r="903">
      <c r="A903" s="4" t="n"/>
      <c r="D903" s="5" t="n"/>
      <c r="E903" s="5" t="n"/>
      <c r="G903" s="6">
        <f>IF(OR(A903="",D903="",E903=""),"",ROUND(MOD(E903-D903,1)*24-N(F903)/60,2))</f>
        <v/>
      </c>
      <c r="H903" s="7">
        <f>IF(C903="","",IFERROR(INDEX(Sites!$B$2:$B$501,MATCH(C903,Sites!$A$2:$A$501,0)),"?"))</f>
        <v/>
      </c>
      <c r="I903" s="8">
        <f>IF(A903="","",A903-WEEKDAY(A903,3))</f>
        <v/>
      </c>
      <c r="K903" s="7">
        <f>IF(A903="","",IF(OR(B903="",C903="",D903="",E903=""),"Missing info",IF(ISNA(MATCH(B903,Staff!$A$2:$A$101,0)),"Unknown employee",IF(H903="?","Unknown site",IF(G903&lt;=0,"Check times",IF(G903&gt;12,"Over 12h",IF(COUNTIFS($L$2:$L$2001,L903)&gt;1,"Duplicate?",IF(A903&gt;TODAY(),"Future date","OK"))))))))</f>
        <v/>
      </c>
      <c r="L903">
        <f>IF(A903="","",TEXT(A903,"yyyy-mm-dd")&amp;"|"&amp;B903&amp;"|"&amp;C903)</f>
        <v/>
      </c>
    </row>
    <row r="904">
      <c r="A904" s="4" t="n"/>
      <c r="D904" s="5" t="n"/>
      <c r="E904" s="5" t="n"/>
      <c r="G904" s="6">
        <f>IF(OR(A904="",D904="",E904=""),"",ROUND(MOD(E904-D904,1)*24-N(F904)/60,2))</f>
        <v/>
      </c>
      <c r="H904" s="7">
        <f>IF(C904="","",IFERROR(INDEX(Sites!$B$2:$B$501,MATCH(C904,Sites!$A$2:$A$501,0)),"?"))</f>
        <v/>
      </c>
      <c r="I904" s="8">
        <f>IF(A904="","",A904-WEEKDAY(A904,3))</f>
        <v/>
      </c>
      <c r="K904" s="7">
        <f>IF(A904="","",IF(OR(B904="",C904="",D904="",E904=""),"Missing info",IF(ISNA(MATCH(B904,Staff!$A$2:$A$101,0)),"Unknown employee",IF(H904="?","Unknown site",IF(G904&lt;=0,"Check times",IF(G904&gt;12,"Over 12h",IF(COUNTIFS($L$2:$L$2001,L904)&gt;1,"Duplicate?",IF(A904&gt;TODAY(),"Future date","OK"))))))))</f>
        <v/>
      </c>
      <c r="L904">
        <f>IF(A904="","",TEXT(A904,"yyyy-mm-dd")&amp;"|"&amp;B904&amp;"|"&amp;C904)</f>
        <v/>
      </c>
    </row>
    <row r="905">
      <c r="A905" s="4" t="n"/>
      <c r="D905" s="5" t="n"/>
      <c r="E905" s="5" t="n"/>
      <c r="G905" s="6">
        <f>IF(OR(A905="",D905="",E905=""),"",ROUND(MOD(E905-D905,1)*24-N(F905)/60,2))</f>
        <v/>
      </c>
      <c r="H905" s="7">
        <f>IF(C905="","",IFERROR(INDEX(Sites!$B$2:$B$501,MATCH(C905,Sites!$A$2:$A$501,0)),"?"))</f>
        <v/>
      </c>
      <c r="I905" s="8">
        <f>IF(A905="","",A905-WEEKDAY(A905,3))</f>
        <v/>
      </c>
      <c r="K905" s="7">
        <f>IF(A905="","",IF(OR(B905="",C905="",D905="",E905=""),"Missing info",IF(ISNA(MATCH(B905,Staff!$A$2:$A$101,0)),"Unknown employee",IF(H905="?","Unknown site",IF(G905&lt;=0,"Check times",IF(G905&gt;12,"Over 12h",IF(COUNTIFS($L$2:$L$2001,L905)&gt;1,"Duplicate?",IF(A905&gt;TODAY(),"Future date","OK"))))))))</f>
        <v/>
      </c>
      <c r="L905">
        <f>IF(A905="","",TEXT(A905,"yyyy-mm-dd")&amp;"|"&amp;B905&amp;"|"&amp;C905)</f>
        <v/>
      </c>
    </row>
    <row r="906">
      <c r="A906" s="4" t="n"/>
      <c r="D906" s="5" t="n"/>
      <c r="E906" s="5" t="n"/>
      <c r="G906" s="6">
        <f>IF(OR(A906="",D906="",E906=""),"",ROUND(MOD(E906-D906,1)*24-N(F906)/60,2))</f>
        <v/>
      </c>
      <c r="H906" s="7">
        <f>IF(C906="","",IFERROR(INDEX(Sites!$B$2:$B$501,MATCH(C906,Sites!$A$2:$A$501,0)),"?"))</f>
        <v/>
      </c>
      <c r="I906" s="8">
        <f>IF(A906="","",A906-WEEKDAY(A906,3))</f>
        <v/>
      </c>
      <c r="K906" s="7">
        <f>IF(A906="","",IF(OR(B906="",C906="",D906="",E906=""),"Missing info",IF(ISNA(MATCH(B906,Staff!$A$2:$A$101,0)),"Unknown employee",IF(H906="?","Unknown site",IF(G906&lt;=0,"Check times",IF(G906&gt;12,"Over 12h",IF(COUNTIFS($L$2:$L$2001,L906)&gt;1,"Duplicate?",IF(A906&gt;TODAY(),"Future date","OK"))))))))</f>
        <v/>
      </c>
      <c r="L906">
        <f>IF(A906="","",TEXT(A906,"yyyy-mm-dd")&amp;"|"&amp;B906&amp;"|"&amp;C906)</f>
        <v/>
      </c>
    </row>
    <row r="907">
      <c r="A907" s="4" t="n"/>
      <c r="D907" s="5" t="n"/>
      <c r="E907" s="5" t="n"/>
      <c r="G907" s="6">
        <f>IF(OR(A907="",D907="",E907=""),"",ROUND(MOD(E907-D907,1)*24-N(F907)/60,2))</f>
        <v/>
      </c>
      <c r="H907" s="7">
        <f>IF(C907="","",IFERROR(INDEX(Sites!$B$2:$B$501,MATCH(C907,Sites!$A$2:$A$501,0)),"?"))</f>
        <v/>
      </c>
      <c r="I907" s="8">
        <f>IF(A907="","",A907-WEEKDAY(A907,3))</f>
        <v/>
      </c>
      <c r="K907" s="7">
        <f>IF(A907="","",IF(OR(B907="",C907="",D907="",E907=""),"Missing info",IF(ISNA(MATCH(B907,Staff!$A$2:$A$101,0)),"Unknown employee",IF(H907="?","Unknown site",IF(G907&lt;=0,"Check times",IF(G907&gt;12,"Over 12h",IF(COUNTIFS($L$2:$L$2001,L907)&gt;1,"Duplicate?",IF(A907&gt;TODAY(),"Future date","OK"))))))))</f>
        <v/>
      </c>
      <c r="L907">
        <f>IF(A907="","",TEXT(A907,"yyyy-mm-dd")&amp;"|"&amp;B907&amp;"|"&amp;C907)</f>
        <v/>
      </c>
    </row>
    <row r="908">
      <c r="A908" s="4" t="n"/>
      <c r="D908" s="5" t="n"/>
      <c r="E908" s="5" t="n"/>
      <c r="G908" s="6">
        <f>IF(OR(A908="",D908="",E908=""),"",ROUND(MOD(E908-D908,1)*24-N(F908)/60,2))</f>
        <v/>
      </c>
      <c r="H908" s="7">
        <f>IF(C908="","",IFERROR(INDEX(Sites!$B$2:$B$501,MATCH(C908,Sites!$A$2:$A$501,0)),"?"))</f>
        <v/>
      </c>
      <c r="I908" s="8">
        <f>IF(A908="","",A908-WEEKDAY(A908,3))</f>
        <v/>
      </c>
      <c r="K908" s="7">
        <f>IF(A908="","",IF(OR(B908="",C908="",D908="",E908=""),"Missing info",IF(ISNA(MATCH(B908,Staff!$A$2:$A$101,0)),"Unknown employee",IF(H908="?","Unknown site",IF(G908&lt;=0,"Check times",IF(G908&gt;12,"Over 12h",IF(COUNTIFS($L$2:$L$2001,L908)&gt;1,"Duplicate?",IF(A908&gt;TODAY(),"Future date","OK"))))))))</f>
        <v/>
      </c>
      <c r="L908">
        <f>IF(A908="","",TEXT(A908,"yyyy-mm-dd")&amp;"|"&amp;B908&amp;"|"&amp;C908)</f>
        <v/>
      </c>
    </row>
    <row r="909">
      <c r="A909" s="4" t="n"/>
      <c r="D909" s="5" t="n"/>
      <c r="E909" s="5" t="n"/>
      <c r="G909" s="6">
        <f>IF(OR(A909="",D909="",E909=""),"",ROUND(MOD(E909-D909,1)*24-N(F909)/60,2))</f>
        <v/>
      </c>
      <c r="H909" s="7">
        <f>IF(C909="","",IFERROR(INDEX(Sites!$B$2:$B$501,MATCH(C909,Sites!$A$2:$A$501,0)),"?"))</f>
        <v/>
      </c>
      <c r="I909" s="8">
        <f>IF(A909="","",A909-WEEKDAY(A909,3))</f>
        <v/>
      </c>
      <c r="K909" s="7">
        <f>IF(A909="","",IF(OR(B909="",C909="",D909="",E909=""),"Missing info",IF(ISNA(MATCH(B909,Staff!$A$2:$A$101,0)),"Unknown employee",IF(H909="?","Unknown site",IF(G909&lt;=0,"Check times",IF(G909&gt;12,"Over 12h",IF(COUNTIFS($L$2:$L$2001,L909)&gt;1,"Duplicate?",IF(A909&gt;TODAY(),"Future date","OK"))))))))</f>
        <v/>
      </c>
      <c r="L909">
        <f>IF(A909="","",TEXT(A909,"yyyy-mm-dd")&amp;"|"&amp;B909&amp;"|"&amp;C909)</f>
        <v/>
      </c>
    </row>
    <row r="910">
      <c r="A910" s="4" t="n"/>
      <c r="D910" s="5" t="n"/>
      <c r="E910" s="5" t="n"/>
      <c r="G910" s="6">
        <f>IF(OR(A910="",D910="",E910=""),"",ROUND(MOD(E910-D910,1)*24-N(F910)/60,2))</f>
        <v/>
      </c>
      <c r="H910" s="7">
        <f>IF(C910="","",IFERROR(INDEX(Sites!$B$2:$B$501,MATCH(C910,Sites!$A$2:$A$501,0)),"?"))</f>
        <v/>
      </c>
      <c r="I910" s="8">
        <f>IF(A910="","",A910-WEEKDAY(A910,3))</f>
        <v/>
      </c>
      <c r="K910" s="7">
        <f>IF(A910="","",IF(OR(B910="",C910="",D910="",E910=""),"Missing info",IF(ISNA(MATCH(B910,Staff!$A$2:$A$101,0)),"Unknown employee",IF(H910="?","Unknown site",IF(G910&lt;=0,"Check times",IF(G910&gt;12,"Over 12h",IF(COUNTIFS($L$2:$L$2001,L910)&gt;1,"Duplicate?",IF(A910&gt;TODAY(),"Future date","OK"))))))))</f>
        <v/>
      </c>
      <c r="L910">
        <f>IF(A910="","",TEXT(A910,"yyyy-mm-dd")&amp;"|"&amp;B910&amp;"|"&amp;C910)</f>
        <v/>
      </c>
    </row>
    <row r="911">
      <c r="A911" s="4" t="n"/>
      <c r="D911" s="5" t="n"/>
      <c r="E911" s="5" t="n"/>
      <c r="G911" s="6">
        <f>IF(OR(A911="",D911="",E911=""),"",ROUND(MOD(E911-D911,1)*24-N(F911)/60,2))</f>
        <v/>
      </c>
      <c r="H911" s="7">
        <f>IF(C911="","",IFERROR(INDEX(Sites!$B$2:$B$501,MATCH(C911,Sites!$A$2:$A$501,0)),"?"))</f>
        <v/>
      </c>
      <c r="I911" s="8">
        <f>IF(A911="","",A911-WEEKDAY(A911,3))</f>
        <v/>
      </c>
      <c r="K911" s="7">
        <f>IF(A911="","",IF(OR(B911="",C911="",D911="",E911=""),"Missing info",IF(ISNA(MATCH(B911,Staff!$A$2:$A$101,0)),"Unknown employee",IF(H911="?","Unknown site",IF(G911&lt;=0,"Check times",IF(G911&gt;12,"Over 12h",IF(COUNTIFS($L$2:$L$2001,L911)&gt;1,"Duplicate?",IF(A911&gt;TODAY(),"Future date","OK"))))))))</f>
        <v/>
      </c>
      <c r="L911">
        <f>IF(A911="","",TEXT(A911,"yyyy-mm-dd")&amp;"|"&amp;B911&amp;"|"&amp;C911)</f>
        <v/>
      </c>
    </row>
    <row r="912">
      <c r="A912" s="4" t="n"/>
      <c r="D912" s="5" t="n"/>
      <c r="E912" s="5" t="n"/>
      <c r="G912" s="6">
        <f>IF(OR(A912="",D912="",E912=""),"",ROUND(MOD(E912-D912,1)*24-N(F912)/60,2))</f>
        <v/>
      </c>
      <c r="H912" s="7">
        <f>IF(C912="","",IFERROR(INDEX(Sites!$B$2:$B$501,MATCH(C912,Sites!$A$2:$A$501,0)),"?"))</f>
        <v/>
      </c>
      <c r="I912" s="8">
        <f>IF(A912="","",A912-WEEKDAY(A912,3))</f>
        <v/>
      </c>
      <c r="K912" s="7">
        <f>IF(A912="","",IF(OR(B912="",C912="",D912="",E912=""),"Missing info",IF(ISNA(MATCH(B912,Staff!$A$2:$A$101,0)),"Unknown employee",IF(H912="?","Unknown site",IF(G912&lt;=0,"Check times",IF(G912&gt;12,"Over 12h",IF(COUNTIFS($L$2:$L$2001,L912)&gt;1,"Duplicate?",IF(A912&gt;TODAY(),"Future date","OK"))))))))</f>
        <v/>
      </c>
      <c r="L912">
        <f>IF(A912="","",TEXT(A912,"yyyy-mm-dd")&amp;"|"&amp;B912&amp;"|"&amp;C912)</f>
        <v/>
      </c>
    </row>
    <row r="913">
      <c r="A913" s="4" t="n"/>
      <c r="D913" s="5" t="n"/>
      <c r="E913" s="5" t="n"/>
      <c r="G913" s="6">
        <f>IF(OR(A913="",D913="",E913=""),"",ROUND(MOD(E913-D913,1)*24-N(F913)/60,2))</f>
        <v/>
      </c>
      <c r="H913" s="7">
        <f>IF(C913="","",IFERROR(INDEX(Sites!$B$2:$B$501,MATCH(C913,Sites!$A$2:$A$501,0)),"?"))</f>
        <v/>
      </c>
      <c r="I913" s="8">
        <f>IF(A913="","",A913-WEEKDAY(A913,3))</f>
        <v/>
      </c>
      <c r="K913" s="7">
        <f>IF(A913="","",IF(OR(B913="",C913="",D913="",E913=""),"Missing info",IF(ISNA(MATCH(B913,Staff!$A$2:$A$101,0)),"Unknown employee",IF(H913="?","Unknown site",IF(G913&lt;=0,"Check times",IF(G913&gt;12,"Over 12h",IF(COUNTIFS($L$2:$L$2001,L913)&gt;1,"Duplicate?",IF(A913&gt;TODAY(),"Future date","OK"))))))))</f>
        <v/>
      </c>
      <c r="L913">
        <f>IF(A913="","",TEXT(A913,"yyyy-mm-dd")&amp;"|"&amp;B913&amp;"|"&amp;C913)</f>
        <v/>
      </c>
    </row>
    <row r="914">
      <c r="A914" s="4" t="n"/>
      <c r="D914" s="5" t="n"/>
      <c r="E914" s="5" t="n"/>
      <c r="G914" s="6">
        <f>IF(OR(A914="",D914="",E914=""),"",ROUND(MOD(E914-D914,1)*24-N(F914)/60,2))</f>
        <v/>
      </c>
      <c r="H914" s="7">
        <f>IF(C914="","",IFERROR(INDEX(Sites!$B$2:$B$501,MATCH(C914,Sites!$A$2:$A$501,0)),"?"))</f>
        <v/>
      </c>
      <c r="I914" s="8">
        <f>IF(A914="","",A914-WEEKDAY(A914,3))</f>
        <v/>
      </c>
      <c r="K914" s="7">
        <f>IF(A914="","",IF(OR(B914="",C914="",D914="",E914=""),"Missing info",IF(ISNA(MATCH(B914,Staff!$A$2:$A$101,0)),"Unknown employee",IF(H914="?","Unknown site",IF(G914&lt;=0,"Check times",IF(G914&gt;12,"Over 12h",IF(COUNTIFS($L$2:$L$2001,L914)&gt;1,"Duplicate?",IF(A914&gt;TODAY(),"Future date","OK"))))))))</f>
        <v/>
      </c>
      <c r="L914">
        <f>IF(A914="","",TEXT(A914,"yyyy-mm-dd")&amp;"|"&amp;B914&amp;"|"&amp;C914)</f>
        <v/>
      </c>
    </row>
    <row r="915">
      <c r="A915" s="4" t="n"/>
      <c r="D915" s="5" t="n"/>
      <c r="E915" s="5" t="n"/>
      <c r="G915" s="6">
        <f>IF(OR(A915="",D915="",E915=""),"",ROUND(MOD(E915-D915,1)*24-N(F915)/60,2))</f>
        <v/>
      </c>
      <c r="H915" s="7">
        <f>IF(C915="","",IFERROR(INDEX(Sites!$B$2:$B$501,MATCH(C915,Sites!$A$2:$A$501,0)),"?"))</f>
        <v/>
      </c>
      <c r="I915" s="8">
        <f>IF(A915="","",A915-WEEKDAY(A915,3))</f>
        <v/>
      </c>
      <c r="K915" s="7">
        <f>IF(A915="","",IF(OR(B915="",C915="",D915="",E915=""),"Missing info",IF(ISNA(MATCH(B915,Staff!$A$2:$A$101,0)),"Unknown employee",IF(H915="?","Unknown site",IF(G915&lt;=0,"Check times",IF(G915&gt;12,"Over 12h",IF(COUNTIFS($L$2:$L$2001,L915)&gt;1,"Duplicate?",IF(A915&gt;TODAY(),"Future date","OK"))))))))</f>
        <v/>
      </c>
      <c r="L915">
        <f>IF(A915="","",TEXT(A915,"yyyy-mm-dd")&amp;"|"&amp;B915&amp;"|"&amp;C915)</f>
        <v/>
      </c>
    </row>
    <row r="916">
      <c r="A916" s="4" t="n"/>
      <c r="D916" s="5" t="n"/>
      <c r="E916" s="5" t="n"/>
      <c r="G916" s="6">
        <f>IF(OR(A916="",D916="",E916=""),"",ROUND(MOD(E916-D916,1)*24-N(F916)/60,2))</f>
        <v/>
      </c>
      <c r="H916" s="7">
        <f>IF(C916="","",IFERROR(INDEX(Sites!$B$2:$B$501,MATCH(C916,Sites!$A$2:$A$501,0)),"?"))</f>
        <v/>
      </c>
      <c r="I916" s="8">
        <f>IF(A916="","",A916-WEEKDAY(A916,3))</f>
        <v/>
      </c>
      <c r="K916" s="7">
        <f>IF(A916="","",IF(OR(B916="",C916="",D916="",E916=""),"Missing info",IF(ISNA(MATCH(B916,Staff!$A$2:$A$101,0)),"Unknown employee",IF(H916="?","Unknown site",IF(G916&lt;=0,"Check times",IF(G916&gt;12,"Over 12h",IF(COUNTIFS($L$2:$L$2001,L916)&gt;1,"Duplicate?",IF(A916&gt;TODAY(),"Future date","OK"))))))))</f>
        <v/>
      </c>
      <c r="L916">
        <f>IF(A916="","",TEXT(A916,"yyyy-mm-dd")&amp;"|"&amp;B916&amp;"|"&amp;C916)</f>
        <v/>
      </c>
    </row>
    <row r="917">
      <c r="A917" s="4" t="n"/>
      <c r="D917" s="5" t="n"/>
      <c r="E917" s="5" t="n"/>
      <c r="G917" s="6">
        <f>IF(OR(A917="",D917="",E917=""),"",ROUND(MOD(E917-D917,1)*24-N(F917)/60,2))</f>
        <v/>
      </c>
      <c r="H917" s="7">
        <f>IF(C917="","",IFERROR(INDEX(Sites!$B$2:$B$501,MATCH(C917,Sites!$A$2:$A$501,0)),"?"))</f>
        <v/>
      </c>
      <c r="I917" s="8">
        <f>IF(A917="","",A917-WEEKDAY(A917,3))</f>
        <v/>
      </c>
      <c r="K917" s="7">
        <f>IF(A917="","",IF(OR(B917="",C917="",D917="",E917=""),"Missing info",IF(ISNA(MATCH(B917,Staff!$A$2:$A$101,0)),"Unknown employee",IF(H917="?","Unknown site",IF(G917&lt;=0,"Check times",IF(G917&gt;12,"Over 12h",IF(COUNTIFS($L$2:$L$2001,L917)&gt;1,"Duplicate?",IF(A917&gt;TODAY(),"Future date","OK"))))))))</f>
        <v/>
      </c>
      <c r="L917">
        <f>IF(A917="","",TEXT(A917,"yyyy-mm-dd")&amp;"|"&amp;B917&amp;"|"&amp;C917)</f>
        <v/>
      </c>
    </row>
    <row r="918">
      <c r="A918" s="4" t="n"/>
      <c r="D918" s="5" t="n"/>
      <c r="E918" s="5" t="n"/>
      <c r="G918" s="6">
        <f>IF(OR(A918="",D918="",E918=""),"",ROUND(MOD(E918-D918,1)*24-N(F918)/60,2))</f>
        <v/>
      </c>
      <c r="H918" s="7">
        <f>IF(C918="","",IFERROR(INDEX(Sites!$B$2:$B$501,MATCH(C918,Sites!$A$2:$A$501,0)),"?"))</f>
        <v/>
      </c>
      <c r="I918" s="8">
        <f>IF(A918="","",A918-WEEKDAY(A918,3))</f>
        <v/>
      </c>
      <c r="K918" s="7">
        <f>IF(A918="","",IF(OR(B918="",C918="",D918="",E918=""),"Missing info",IF(ISNA(MATCH(B918,Staff!$A$2:$A$101,0)),"Unknown employee",IF(H918="?","Unknown site",IF(G918&lt;=0,"Check times",IF(G918&gt;12,"Over 12h",IF(COUNTIFS($L$2:$L$2001,L918)&gt;1,"Duplicate?",IF(A918&gt;TODAY(),"Future date","OK"))))))))</f>
        <v/>
      </c>
      <c r="L918">
        <f>IF(A918="","",TEXT(A918,"yyyy-mm-dd")&amp;"|"&amp;B918&amp;"|"&amp;C918)</f>
        <v/>
      </c>
    </row>
    <row r="919">
      <c r="A919" s="4" t="n"/>
      <c r="D919" s="5" t="n"/>
      <c r="E919" s="5" t="n"/>
      <c r="G919" s="6">
        <f>IF(OR(A919="",D919="",E919=""),"",ROUND(MOD(E919-D919,1)*24-N(F919)/60,2))</f>
        <v/>
      </c>
      <c r="H919" s="7">
        <f>IF(C919="","",IFERROR(INDEX(Sites!$B$2:$B$501,MATCH(C919,Sites!$A$2:$A$501,0)),"?"))</f>
        <v/>
      </c>
      <c r="I919" s="8">
        <f>IF(A919="","",A919-WEEKDAY(A919,3))</f>
        <v/>
      </c>
      <c r="K919" s="7">
        <f>IF(A919="","",IF(OR(B919="",C919="",D919="",E919=""),"Missing info",IF(ISNA(MATCH(B919,Staff!$A$2:$A$101,0)),"Unknown employee",IF(H919="?","Unknown site",IF(G919&lt;=0,"Check times",IF(G919&gt;12,"Over 12h",IF(COUNTIFS($L$2:$L$2001,L919)&gt;1,"Duplicate?",IF(A919&gt;TODAY(),"Future date","OK"))))))))</f>
        <v/>
      </c>
      <c r="L919">
        <f>IF(A919="","",TEXT(A919,"yyyy-mm-dd")&amp;"|"&amp;B919&amp;"|"&amp;C919)</f>
        <v/>
      </c>
    </row>
    <row r="920">
      <c r="A920" s="4" t="n"/>
      <c r="D920" s="5" t="n"/>
      <c r="E920" s="5" t="n"/>
      <c r="G920" s="6">
        <f>IF(OR(A920="",D920="",E920=""),"",ROUND(MOD(E920-D920,1)*24-N(F920)/60,2))</f>
        <v/>
      </c>
      <c r="H920" s="7">
        <f>IF(C920="","",IFERROR(INDEX(Sites!$B$2:$B$501,MATCH(C920,Sites!$A$2:$A$501,0)),"?"))</f>
        <v/>
      </c>
      <c r="I920" s="8">
        <f>IF(A920="","",A920-WEEKDAY(A920,3))</f>
        <v/>
      </c>
      <c r="K920" s="7">
        <f>IF(A920="","",IF(OR(B920="",C920="",D920="",E920=""),"Missing info",IF(ISNA(MATCH(B920,Staff!$A$2:$A$101,0)),"Unknown employee",IF(H920="?","Unknown site",IF(G920&lt;=0,"Check times",IF(G920&gt;12,"Over 12h",IF(COUNTIFS($L$2:$L$2001,L920)&gt;1,"Duplicate?",IF(A920&gt;TODAY(),"Future date","OK"))))))))</f>
        <v/>
      </c>
      <c r="L920">
        <f>IF(A920="","",TEXT(A920,"yyyy-mm-dd")&amp;"|"&amp;B920&amp;"|"&amp;C920)</f>
        <v/>
      </c>
    </row>
    <row r="921">
      <c r="A921" s="4" t="n"/>
      <c r="D921" s="5" t="n"/>
      <c r="E921" s="5" t="n"/>
      <c r="G921" s="6">
        <f>IF(OR(A921="",D921="",E921=""),"",ROUND(MOD(E921-D921,1)*24-N(F921)/60,2))</f>
        <v/>
      </c>
      <c r="H921" s="7">
        <f>IF(C921="","",IFERROR(INDEX(Sites!$B$2:$B$501,MATCH(C921,Sites!$A$2:$A$501,0)),"?"))</f>
        <v/>
      </c>
      <c r="I921" s="8">
        <f>IF(A921="","",A921-WEEKDAY(A921,3))</f>
        <v/>
      </c>
      <c r="K921" s="7">
        <f>IF(A921="","",IF(OR(B921="",C921="",D921="",E921=""),"Missing info",IF(ISNA(MATCH(B921,Staff!$A$2:$A$101,0)),"Unknown employee",IF(H921="?","Unknown site",IF(G921&lt;=0,"Check times",IF(G921&gt;12,"Over 12h",IF(COUNTIFS($L$2:$L$2001,L921)&gt;1,"Duplicate?",IF(A921&gt;TODAY(),"Future date","OK"))))))))</f>
        <v/>
      </c>
      <c r="L921">
        <f>IF(A921="","",TEXT(A921,"yyyy-mm-dd")&amp;"|"&amp;B921&amp;"|"&amp;C921)</f>
        <v/>
      </c>
    </row>
    <row r="922">
      <c r="A922" s="4" t="n"/>
      <c r="D922" s="5" t="n"/>
      <c r="E922" s="5" t="n"/>
      <c r="G922" s="6">
        <f>IF(OR(A922="",D922="",E922=""),"",ROUND(MOD(E922-D922,1)*24-N(F922)/60,2))</f>
        <v/>
      </c>
      <c r="H922" s="7">
        <f>IF(C922="","",IFERROR(INDEX(Sites!$B$2:$B$501,MATCH(C922,Sites!$A$2:$A$501,0)),"?"))</f>
        <v/>
      </c>
      <c r="I922" s="8">
        <f>IF(A922="","",A922-WEEKDAY(A922,3))</f>
        <v/>
      </c>
      <c r="K922" s="7">
        <f>IF(A922="","",IF(OR(B922="",C922="",D922="",E922=""),"Missing info",IF(ISNA(MATCH(B922,Staff!$A$2:$A$101,0)),"Unknown employee",IF(H922="?","Unknown site",IF(G922&lt;=0,"Check times",IF(G922&gt;12,"Over 12h",IF(COUNTIFS($L$2:$L$2001,L922)&gt;1,"Duplicate?",IF(A922&gt;TODAY(),"Future date","OK"))))))))</f>
        <v/>
      </c>
      <c r="L922">
        <f>IF(A922="","",TEXT(A922,"yyyy-mm-dd")&amp;"|"&amp;B922&amp;"|"&amp;C922)</f>
        <v/>
      </c>
    </row>
    <row r="923">
      <c r="A923" s="4" t="n"/>
      <c r="D923" s="5" t="n"/>
      <c r="E923" s="5" t="n"/>
      <c r="G923" s="6">
        <f>IF(OR(A923="",D923="",E923=""),"",ROUND(MOD(E923-D923,1)*24-N(F923)/60,2))</f>
        <v/>
      </c>
      <c r="H923" s="7">
        <f>IF(C923="","",IFERROR(INDEX(Sites!$B$2:$B$501,MATCH(C923,Sites!$A$2:$A$501,0)),"?"))</f>
        <v/>
      </c>
      <c r="I923" s="8">
        <f>IF(A923="","",A923-WEEKDAY(A923,3))</f>
        <v/>
      </c>
      <c r="K923" s="7">
        <f>IF(A923="","",IF(OR(B923="",C923="",D923="",E923=""),"Missing info",IF(ISNA(MATCH(B923,Staff!$A$2:$A$101,0)),"Unknown employee",IF(H923="?","Unknown site",IF(G923&lt;=0,"Check times",IF(G923&gt;12,"Over 12h",IF(COUNTIFS($L$2:$L$2001,L923)&gt;1,"Duplicate?",IF(A923&gt;TODAY(),"Future date","OK"))))))))</f>
        <v/>
      </c>
      <c r="L923">
        <f>IF(A923="","",TEXT(A923,"yyyy-mm-dd")&amp;"|"&amp;B923&amp;"|"&amp;C923)</f>
        <v/>
      </c>
    </row>
    <row r="924">
      <c r="A924" s="4" t="n"/>
      <c r="D924" s="5" t="n"/>
      <c r="E924" s="5" t="n"/>
      <c r="G924" s="6">
        <f>IF(OR(A924="",D924="",E924=""),"",ROUND(MOD(E924-D924,1)*24-N(F924)/60,2))</f>
        <v/>
      </c>
      <c r="H924" s="7">
        <f>IF(C924="","",IFERROR(INDEX(Sites!$B$2:$B$501,MATCH(C924,Sites!$A$2:$A$501,0)),"?"))</f>
        <v/>
      </c>
      <c r="I924" s="8">
        <f>IF(A924="","",A924-WEEKDAY(A924,3))</f>
        <v/>
      </c>
      <c r="K924" s="7">
        <f>IF(A924="","",IF(OR(B924="",C924="",D924="",E924=""),"Missing info",IF(ISNA(MATCH(B924,Staff!$A$2:$A$101,0)),"Unknown employee",IF(H924="?","Unknown site",IF(G924&lt;=0,"Check times",IF(G924&gt;12,"Over 12h",IF(COUNTIFS($L$2:$L$2001,L924)&gt;1,"Duplicate?",IF(A924&gt;TODAY(),"Future date","OK"))))))))</f>
        <v/>
      </c>
      <c r="L924">
        <f>IF(A924="","",TEXT(A924,"yyyy-mm-dd")&amp;"|"&amp;B924&amp;"|"&amp;C924)</f>
        <v/>
      </c>
    </row>
    <row r="925">
      <c r="A925" s="4" t="n"/>
      <c r="D925" s="5" t="n"/>
      <c r="E925" s="5" t="n"/>
      <c r="G925" s="6">
        <f>IF(OR(A925="",D925="",E925=""),"",ROUND(MOD(E925-D925,1)*24-N(F925)/60,2))</f>
        <v/>
      </c>
      <c r="H925" s="7">
        <f>IF(C925="","",IFERROR(INDEX(Sites!$B$2:$B$501,MATCH(C925,Sites!$A$2:$A$501,0)),"?"))</f>
        <v/>
      </c>
      <c r="I925" s="8">
        <f>IF(A925="","",A925-WEEKDAY(A925,3))</f>
        <v/>
      </c>
      <c r="K925" s="7">
        <f>IF(A925="","",IF(OR(B925="",C925="",D925="",E925=""),"Missing info",IF(ISNA(MATCH(B925,Staff!$A$2:$A$101,0)),"Unknown employee",IF(H925="?","Unknown site",IF(G925&lt;=0,"Check times",IF(G925&gt;12,"Over 12h",IF(COUNTIFS($L$2:$L$2001,L925)&gt;1,"Duplicate?",IF(A925&gt;TODAY(),"Future date","OK"))))))))</f>
        <v/>
      </c>
      <c r="L925">
        <f>IF(A925="","",TEXT(A925,"yyyy-mm-dd")&amp;"|"&amp;B925&amp;"|"&amp;C925)</f>
        <v/>
      </c>
    </row>
    <row r="926">
      <c r="A926" s="4" t="n"/>
      <c r="D926" s="5" t="n"/>
      <c r="E926" s="5" t="n"/>
      <c r="G926" s="6">
        <f>IF(OR(A926="",D926="",E926=""),"",ROUND(MOD(E926-D926,1)*24-N(F926)/60,2))</f>
        <v/>
      </c>
      <c r="H926" s="7">
        <f>IF(C926="","",IFERROR(INDEX(Sites!$B$2:$B$501,MATCH(C926,Sites!$A$2:$A$501,0)),"?"))</f>
        <v/>
      </c>
      <c r="I926" s="8">
        <f>IF(A926="","",A926-WEEKDAY(A926,3))</f>
        <v/>
      </c>
      <c r="K926" s="7">
        <f>IF(A926="","",IF(OR(B926="",C926="",D926="",E926=""),"Missing info",IF(ISNA(MATCH(B926,Staff!$A$2:$A$101,0)),"Unknown employee",IF(H926="?","Unknown site",IF(G926&lt;=0,"Check times",IF(G926&gt;12,"Over 12h",IF(COUNTIFS($L$2:$L$2001,L926)&gt;1,"Duplicate?",IF(A926&gt;TODAY(),"Future date","OK"))))))))</f>
        <v/>
      </c>
      <c r="L926">
        <f>IF(A926="","",TEXT(A926,"yyyy-mm-dd")&amp;"|"&amp;B926&amp;"|"&amp;C926)</f>
        <v/>
      </c>
    </row>
    <row r="927">
      <c r="A927" s="4" t="n"/>
      <c r="D927" s="5" t="n"/>
      <c r="E927" s="5" t="n"/>
      <c r="G927" s="6">
        <f>IF(OR(A927="",D927="",E927=""),"",ROUND(MOD(E927-D927,1)*24-N(F927)/60,2))</f>
        <v/>
      </c>
      <c r="H927" s="7">
        <f>IF(C927="","",IFERROR(INDEX(Sites!$B$2:$B$501,MATCH(C927,Sites!$A$2:$A$501,0)),"?"))</f>
        <v/>
      </c>
      <c r="I927" s="8">
        <f>IF(A927="","",A927-WEEKDAY(A927,3))</f>
        <v/>
      </c>
      <c r="K927" s="7">
        <f>IF(A927="","",IF(OR(B927="",C927="",D927="",E927=""),"Missing info",IF(ISNA(MATCH(B927,Staff!$A$2:$A$101,0)),"Unknown employee",IF(H927="?","Unknown site",IF(G927&lt;=0,"Check times",IF(G927&gt;12,"Over 12h",IF(COUNTIFS($L$2:$L$2001,L927)&gt;1,"Duplicate?",IF(A927&gt;TODAY(),"Future date","OK"))))))))</f>
        <v/>
      </c>
      <c r="L927">
        <f>IF(A927="","",TEXT(A927,"yyyy-mm-dd")&amp;"|"&amp;B927&amp;"|"&amp;C927)</f>
        <v/>
      </c>
    </row>
    <row r="928">
      <c r="A928" s="4" t="n"/>
      <c r="D928" s="5" t="n"/>
      <c r="E928" s="5" t="n"/>
      <c r="G928" s="6">
        <f>IF(OR(A928="",D928="",E928=""),"",ROUND(MOD(E928-D928,1)*24-N(F928)/60,2))</f>
        <v/>
      </c>
      <c r="H928" s="7">
        <f>IF(C928="","",IFERROR(INDEX(Sites!$B$2:$B$501,MATCH(C928,Sites!$A$2:$A$501,0)),"?"))</f>
        <v/>
      </c>
      <c r="I928" s="8">
        <f>IF(A928="","",A928-WEEKDAY(A928,3))</f>
        <v/>
      </c>
      <c r="K928" s="7">
        <f>IF(A928="","",IF(OR(B928="",C928="",D928="",E928=""),"Missing info",IF(ISNA(MATCH(B928,Staff!$A$2:$A$101,0)),"Unknown employee",IF(H928="?","Unknown site",IF(G928&lt;=0,"Check times",IF(G928&gt;12,"Over 12h",IF(COUNTIFS($L$2:$L$2001,L928)&gt;1,"Duplicate?",IF(A928&gt;TODAY(),"Future date","OK"))))))))</f>
        <v/>
      </c>
      <c r="L928">
        <f>IF(A928="","",TEXT(A928,"yyyy-mm-dd")&amp;"|"&amp;B928&amp;"|"&amp;C928)</f>
        <v/>
      </c>
    </row>
    <row r="929">
      <c r="A929" s="4" t="n"/>
      <c r="D929" s="5" t="n"/>
      <c r="E929" s="5" t="n"/>
      <c r="G929" s="6">
        <f>IF(OR(A929="",D929="",E929=""),"",ROUND(MOD(E929-D929,1)*24-N(F929)/60,2))</f>
        <v/>
      </c>
      <c r="H929" s="7">
        <f>IF(C929="","",IFERROR(INDEX(Sites!$B$2:$B$501,MATCH(C929,Sites!$A$2:$A$501,0)),"?"))</f>
        <v/>
      </c>
      <c r="I929" s="8">
        <f>IF(A929="","",A929-WEEKDAY(A929,3))</f>
        <v/>
      </c>
      <c r="K929" s="7">
        <f>IF(A929="","",IF(OR(B929="",C929="",D929="",E929=""),"Missing info",IF(ISNA(MATCH(B929,Staff!$A$2:$A$101,0)),"Unknown employee",IF(H929="?","Unknown site",IF(G929&lt;=0,"Check times",IF(G929&gt;12,"Over 12h",IF(COUNTIFS($L$2:$L$2001,L929)&gt;1,"Duplicate?",IF(A929&gt;TODAY(),"Future date","OK"))))))))</f>
        <v/>
      </c>
      <c r="L929">
        <f>IF(A929="","",TEXT(A929,"yyyy-mm-dd")&amp;"|"&amp;B929&amp;"|"&amp;C929)</f>
        <v/>
      </c>
    </row>
    <row r="930">
      <c r="A930" s="4" t="n"/>
      <c r="D930" s="5" t="n"/>
      <c r="E930" s="5" t="n"/>
      <c r="G930" s="6">
        <f>IF(OR(A930="",D930="",E930=""),"",ROUND(MOD(E930-D930,1)*24-N(F930)/60,2))</f>
        <v/>
      </c>
      <c r="H930" s="7">
        <f>IF(C930="","",IFERROR(INDEX(Sites!$B$2:$B$501,MATCH(C930,Sites!$A$2:$A$501,0)),"?"))</f>
        <v/>
      </c>
      <c r="I930" s="8">
        <f>IF(A930="","",A930-WEEKDAY(A930,3))</f>
        <v/>
      </c>
      <c r="K930" s="7">
        <f>IF(A930="","",IF(OR(B930="",C930="",D930="",E930=""),"Missing info",IF(ISNA(MATCH(B930,Staff!$A$2:$A$101,0)),"Unknown employee",IF(H930="?","Unknown site",IF(G930&lt;=0,"Check times",IF(G930&gt;12,"Over 12h",IF(COUNTIFS($L$2:$L$2001,L930)&gt;1,"Duplicate?",IF(A930&gt;TODAY(),"Future date","OK"))))))))</f>
        <v/>
      </c>
      <c r="L930">
        <f>IF(A930="","",TEXT(A930,"yyyy-mm-dd")&amp;"|"&amp;B930&amp;"|"&amp;C930)</f>
        <v/>
      </c>
    </row>
    <row r="931">
      <c r="A931" s="4" t="n"/>
      <c r="D931" s="5" t="n"/>
      <c r="E931" s="5" t="n"/>
      <c r="G931" s="6">
        <f>IF(OR(A931="",D931="",E931=""),"",ROUND(MOD(E931-D931,1)*24-N(F931)/60,2))</f>
        <v/>
      </c>
      <c r="H931" s="7">
        <f>IF(C931="","",IFERROR(INDEX(Sites!$B$2:$B$501,MATCH(C931,Sites!$A$2:$A$501,0)),"?"))</f>
        <v/>
      </c>
      <c r="I931" s="8">
        <f>IF(A931="","",A931-WEEKDAY(A931,3))</f>
        <v/>
      </c>
      <c r="K931" s="7">
        <f>IF(A931="","",IF(OR(B931="",C931="",D931="",E931=""),"Missing info",IF(ISNA(MATCH(B931,Staff!$A$2:$A$101,0)),"Unknown employee",IF(H931="?","Unknown site",IF(G931&lt;=0,"Check times",IF(G931&gt;12,"Over 12h",IF(COUNTIFS($L$2:$L$2001,L931)&gt;1,"Duplicate?",IF(A931&gt;TODAY(),"Future date","OK"))))))))</f>
        <v/>
      </c>
      <c r="L931">
        <f>IF(A931="","",TEXT(A931,"yyyy-mm-dd")&amp;"|"&amp;B931&amp;"|"&amp;C931)</f>
        <v/>
      </c>
    </row>
    <row r="932">
      <c r="A932" s="4" t="n"/>
      <c r="D932" s="5" t="n"/>
      <c r="E932" s="5" t="n"/>
      <c r="G932" s="6">
        <f>IF(OR(A932="",D932="",E932=""),"",ROUND(MOD(E932-D932,1)*24-N(F932)/60,2))</f>
        <v/>
      </c>
      <c r="H932" s="7">
        <f>IF(C932="","",IFERROR(INDEX(Sites!$B$2:$B$501,MATCH(C932,Sites!$A$2:$A$501,0)),"?"))</f>
        <v/>
      </c>
      <c r="I932" s="8">
        <f>IF(A932="","",A932-WEEKDAY(A932,3))</f>
        <v/>
      </c>
      <c r="K932" s="7">
        <f>IF(A932="","",IF(OR(B932="",C932="",D932="",E932=""),"Missing info",IF(ISNA(MATCH(B932,Staff!$A$2:$A$101,0)),"Unknown employee",IF(H932="?","Unknown site",IF(G932&lt;=0,"Check times",IF(G932&gt;12,"Over 12h",IF(COUNTIFS($L$2:$L$2001,L932)&gt;1,"Duplicate?",IF(A932&gt;TODAY(),"Future date","OK"))))))))</f>
        <v/>
      </c>
      <c r="L932">
        <f>IF(A932="","",TEXT(A932,"yyyy-mm-dd")&amp;"|"&amp;B932&amp;"|"&amp;C932)</f>
        <v/>
      </c>
    </row>
    <row r="933">
      <c r="A933" s="4" t="n"/>
      <c r="D933" s="5" t="n"/>
      <c r="E933" s="5" t="n"/>
      <c r="G933" s="6">
        <f>IF(OR(A933="",D933="",E933=""),"",ROUND(MOD(E933-D933,1)*24-N(F933)/60,2))</f>
        <v/>
      </c>
      <c r="H933" s="7">
        <f>IF(C933="","",IFERROR(INDEX(Sites!$B$2:$B$501,MATCH(C933,Sites!$A$2:$A$501,0)),"?"))</f>
        <v/>
      </c>
      <c r="I933" s="8">
        <f>IF(A933="","",A933-WEEKDAY(A933,3))</f>
        <v/>
      </c>
      <c r="K933" s="7">
        <f>IF(A933="","",IF(OR(B933="",C933="",D933="",E933=""),"Missing info",IF(ISNA(MATCH(B933,Staff!$A$2:$A$101,0)),"Unknown employee",IF(H933="?","Unknown site",IF(G933&lt;=0,"Check times",IF(G933&gt;12,"Over 12h",IF(COUNTIFS($L$2:$L$2001,L933)&gt;1,"Duplicate?",IF(A933&gt;TODAY(),"Future date","OK"))))))))</f>
        <v/>
      </c>
      <c r="L933">
        <f>IF(A933="","",TEXT(A933,"yyyy-mm-dd")&amp;"|"&amp;B933&amp;"|"&amp;C933)</f>
        <v/>
      </c>
    </row>
    <row r="934">
      <c r="A934" s="4" t="n"/>
      <c r="D934" s="5" t="n"/>
      <c r="E934" s="5" t="n"/>
      <c r="G934" s="6">
        <f>IF(OR(A934="",D934="",E934=""),"",ROUND(MOD(E934-D934,1)*24-N(F934)/60,2))</f>
        <v/>
      </c>
      <c r="H934" s="7">
        <f>IF(C934="","",IFERROR(INDEX(Sites!$B$2:$B$501,MATCH(C934,Sites!$A$2:$A$501,0)),"?"))</f>
        <v/>
      </c>
      <c r="I934" s="8">
        <f>IF(A934="","",A934-WEEKDAY(A934,3))</f>
        <v/>
      </c>
      <c r="K934" s="7">
        <f>IF(A934="","",IF(OR(B934="",C934="",D934="",E934=""),"Missing info",IF(ISNA(MATCH(B934,Staff!$A$2:$A$101,0)),"Unknown employee",IF(H934="?","Unknown site",IF(G934&lt;=0,"Check times",IF(G934&gt;12,"Over 12h",IF(COUNTIFS($L$2:$L$2001,L934)&gt;1,"Duplicate?",IF(A934&gt;TODAY(),"Future date","OK"))))))))</f>
        <v/>
      </c>
      <c r="L934">
        <f>IF(A934="","",TEXT(A934,"yyyy-mm-dd")&amp;"|"&amp;B934&amp;"|"&amp;C934)</f>
        <v/>
      </c>
    </row>
    <row r="935">
      <c r="A935" s="4" t="n"/>
      <c r="D935" s="5" t="n"/>
      <c r="E935" s="5" t="n"/>
      <c r="G935" s="6">
        <f>IF(OR(A935="",D935="",E935=""),"",ROUND(MOD(E935-D935,1)*24-N(F935)/60,2))</f>
        <v/>
      </c>
      <c r="H935" s="7">
        <f>IF(C935="","",IFERROR(INDEX(Sites!$B$2:$B$501,MATCH(C935,Sites!$A$2:$A$501,0)),"?"))</f>
        <v/>
      </c>
      <c r="I935" s="8">
        <f>IF(A935="","",A935-WEEKDAY(A935,3))</f>
        <v/>
      </c>
      <c r="K935" s="7">
        <f>IF(A935="","",IF(OR(B935="",C935="",D935="",E935=""),"Missing info",IF(ISNA(MATCH(B935,Staff!$A$2:$A$101,0)),"Unknown employee",IF(H935="?","Unknown site",IF(G935&lt;=0,"Check times",IF(G935&gt;12,"Over 12h",IF(COUNTIFS($L$2:$L$2001,L935)&gt;1,"Duplicate?",IF(A935&gt;TODAY(),"Future date","OK"))))))))</f>
        <v/>
      </c>
      <c r="L935">
        <f>IF(A935="","",TEXT(A935,"yyyy-mm-dd")&amp;"|"&amp;B935&amp;"|"&amp;C935)</f>
        <v/>
      </c>
    </row>
    <row r="936">
      <c r="A936" s="4" t="n"/>
      <c r="D936" s="5" t="n"/>
      <c r="E936" s="5" t="n"/>
      <c r="G936" s="6">
        <f>IF(OR(A936="",D936="",E936=""),"",ROUND(MOD(E936-D936,1)*24-N(F936)/60,2))</f>
        <v/>
      </c>
      <c r="H936" s="7">
        <f>IF(C936="","",IFERROR(INDEX(Sites!$B$2:$B$501,MATCH(C936,Sites!$A$2:$A$501,0)),"?"))</f>
        <v/>
      </c>
      <c r="I936" s="8">
        <f>IF(A936="","",A936-WEEKDAY(A936,3))</f>
        <v/>
      </c>
      <c r="K936" s="7">
        <f>IF(A936="","",IF(OR(B936="",C936="",D936="",E936=""),"Missing info",IF(ISNA(MATCH(B936,Staff!$A$2:$A$101,0)),"Unknown employee",IF(H936="?","Unknown site",IF(G936&lt;=0,"Check times",IF(G936&gt;12,"Over 12h",IF(COUNTIFS($L$2:$L$2001,L936)&gt;1,"Duplicate?",IF(A936&gt;TODAY(),"Future date","OK"))))))))</f>
        <v/>
      </c>
      <c r="L936">
        <f>IF(A936="","",TEXT(A936,"yyyy-mm-dd")&amp;"|"&amp;B936&amp;"|"&amp;C936)</f>
        <v/>
      </c>
    </row>
    <row r="937">
      <c r="A937" s="4" t="n"/>
      <c r="D937" s="5" t="n"/>
      <c r="E937" s="5" t="n"/>
      <c r="G937" s="6">
        <f>IF(OR(A937="",D937="",E937=""),"",ROUND(MOD(E937-D937,1)*24-N(F937)/60,2))</f>
        <v/>
      </c>
      <c r="H937" s="7">
        <f>IF(C937="","",IFERROR(INDEX(Sites!$B$2:$B$501,MATCH(C937,Sites!$A$2:$A$501,0)),"?"))</f>
        <v/>
      </c>
      <c r="I937" s="8">
        <f>IF(A937="","",A937-WEEKDAY(A937,3))</f>
        <v/>
      </c>
      <c r="K937" s="7">
        <f>IF(A937="","",IF(OR(B937="",C937="",D937="",E937=""),"Missing info",IF(ISNA(MATCH(B937,Staff!$A$2:$A$101,0)),"Unknown employee",IF(H937="?","Unknown site",IF(G937&lt;=0,"Check times",IF(G937&gt;12,"Over 12h",IF(COUNTIFS($L$2:$L$2001,L937)&gt;1,"Duplicate?",IF(A937&gt;TODAY(),"Future date","OK"))))))))</f>
        <v/>
      </c>
      <c r="L937">
        <f>IF(A937="","",TEXT(A937,"yyyy-mm-dd")&amp;"|"&amp;B937&amp;"|"&amp;C937)</f>
        <v/>
      </c>
    </row>
    <row r="938">
      <c r="A938" s="4" t="n"/>
      <c r="D938" s="5" t="n"/>
      <c r="E938" s="5" t="n"/>
      <c r="G938" s="6">
        <f>IF(OR(A938="",D938="",E938=""),"",ROUND(MOD(E938-D938,1)*24-N(F938)/60,2))</f>
        <v/>
      </c>
      <c r="H938" s="7">
        <f>IF(C938="","",IFERROR(INDEX(Sites!$B$2:$B$501,MATCH(C938,Sites!$A$2:$A$501,0)),"?"))</f>
        <v/>
      </c>
      <c r="I938" s="8">
        <f>IF(A938="","",A938-WEEKDAY(A938,3))</f>
        <v/>
      </c>
      <c r="K938" s="7">
        <f>IF(A938="","",IF(OR(B938="",C938="",D938="",E938=""),"Missing info",IF(ISNA(MATCH(B938,Staff!$A$2:$A$101,0)),"Unknown employee",IF(H938="?","Unknown site",IF(G938&lt;=0,"Check times",IF(G938&gt;12,"Over 12h",IF(COUNTIFS($L$2:$L$2001,L938)&gt;1,"Duplicate?",IF(A938&gt;TODAY(),"Future date","OK"))))))))</f>
        <v/>
      </c>
      <c r="L938">
        <f>IF(A938="","",TEXT(A938,"yyyy-mm-dd")&amp;"|"&amp;B938&amp;"|"&amp;C938)</f>
        <v/>
      </c>
    </row>
    <row r="939">
      <c r="A939" s="4" t="n"/>
      <c r="D939" s="5" t="n"/>
      <c r="E939" s="5" t="n"/>
      <c r="G939" s="6">
        <f>IF(OR(A939="",D939="",E939=""),"",ROUND(MOD(E939-D939,1)*24-N(F939)/60,2))</f>
        <v/>
      </c>
      <c r="H939" s="7">
        <f>IF(C939="","",IFERROR(INDEX(Sites!$B$2:$B$501,MATCH(C939,Sites!$A$2:$A$501,0)),"?"))</f>
        <v/>
      </c>
      <c r="I939" s="8">
        <f>IF(A939="","",A939-WEEKDAY(A939,3))</f>
        <v/>
      </c>
      <c r="K939" s="7">
        <f>IF(A939="","",IF(OR(B939="",C939="",D939="",E939=""),"Missing info",IF(ISNA(MATCH(B939,Staff!$A$2:$A$101,0)),"Unknown employee",IF(H939="?","Unknown site",IF(G939&lt;=0,"Check times",IF(G939&gt;12,"Over 12h",IF(COUNTIFS($L$2:$L$2001,L939)&gt;1,"Duplicate?",IF(A939&gt;TODAY(),"Future date","OK"))))))))</f>
        <v/>
      </c>
      <c r="L939">
        <f>IF(A939="","",TEXT(A939,"yyyy-mm-dd")&amp;"|"&amp;B939&amp;"|"&amp;C939)</f>
        <v/>
      </c>
    </row>
    <row r="940">
      <c r="A940" s="4" t="n"/>
      <c r="D940" s="5" t="n"/>
      <c r="E940" s="5" t="n"/>
      <c r="G940" s="6">
        <f>IF(OR(A940="",D940="",E940=""),"",ROUND(MOD(E940-D940,1)*24-N(F940)/60,2))</f>
        <v/>
      </c>
      <c r="H940" s="7">
        <f>IF(C940="","",IFERROR(INDEX(Sites!$B$2:$B$501,MATCH(C940,Sites!$A$2:$A$501,0)),"?"))</f>
        <v/>
      </c>
      <c r="I940" s="8">
        <f>IF(A940="","",A940-WEEKDAY(A940,3))</f>
        <v/>
      </c>
      <c r="K940" s="7">
        <f>IF(A940="","",IF(OR(B940="",C940="",D940="",E940=""),"Missing info",IF(ISNA(MATCH(B940,Staff!$A$2:$A$101,0)),"Unknown employee",IF(H940="?","Unknown site",IF(G940&lt;=0,"Check times",IF(G940&gt;12,"Over 12h",IF(COUNTIFS($L$2:$L$2001,L940)&gt;1,"Duplicate?",IF(A940&gt;TODAY(),"Future date","OK"))))))))</f>
        <v/>
      </c>
      <c r="L940">
        <f>IF(A940="","",TEXT(A940,"yyyy-mm-dd")&amp;"|"&amp;B940&amp;"|"&amp;C940)</f>
        <v/>
      </c>
    </row>
    <row r="941">
      <c r="A941" s="4" t="n"/>
      <c r="D941" s="5" t="n"/>
      <c r="E941" s="5" t="n"/>
      <c r="G941" s="6">
        <f>IF(OR(A941="",D941="",E941=""),"",ROUND(MOD(E941-D941,1)*24-N(F941)/60,2))</f>
        <v/>
      </c>
      <c r="H941" s="7">
        <f>IF(C941="","",IFERROR(INDEX(Sites!$B$2:$B$501,MATCH(C941,Sites!$A$2:$A$501,0)),"?"))</f>
        <v/>
      </c>
      <c r="I941" s="8">
        <f>IF(A941="","",A941-WEEKDAY(A941,3))</f>
        <v/>
      </c>
      <c r="K941" s="7">
        <f>IF(A941="","",IF(OR(B941="",C941="",D941="",E941=""),"Missing info",IF(ISNA(MATCH(B941,Staff!$A$2:$A$101,0)),"Unknown employee",IF(H941="?","Unknown site",IF(G941&lt;=0,"Check times",IF(G941&gt;12,"Over 12h",IF(COUNTIFS($L$2:$L$2001,L941)&gt;1,"Duplicate?",IF(A941&gt;TODAY(),"Future date","OK"))))))))</f>
        <v/>
      </c>
      <c r="L941">
        <f>IF(A941="","",TEXT(A941,"yyyy-mm-dd")&amp;"|"&amp;B941&amp;"|"&amp;C941)</f>
        <v/>
      </c>
    </row>
    <row r="942">
      <c r="A942" s="4" t="n"/>
      <c r="D942" s="5" t="n"/>
      <c r="E942" s="5" t="n"/>
      <c r="G942" s="6">
        <f>IF(OR(A942="",D942="",E942=""),"",ROUND(MOD(E942-D942,1)*24-N(F942)/60,2))</f>
        <v/>
      </c>
      <c r="H942" s="7">
        <f>IF(C942="","",IFERROR(INDEX(Sites!$B$2:$B$501,MATCH(C942,Sites!$A$2:$A$501,0)),"?"))</f>
        <v/>
      </c>
      <c r="I942" s="8">
        <f>IF(A942="","",A942-WEEKDAY(A942,3))</f>
        <v/>
      </c>
      <c r="K942" s="7">
        <f>IF(A942="","",IF(OR(B942="",C942="",D942="",E942=""),"Missing info",IF(ISNA(MATCH(B942,Staff!$A$2:$A$101,0)),"Unknown employee",IF(H942="?","Unknown site",IF(G942&lt;=0,"Check times",IF(G942&gt;12,"Over 12h",IF(COUNTIFS($L$2:$L$2001,L942)&gt;1,"Duplicate?",IF(A942&gt;TODAY(),"Future date","OK"))))))))</f>
        <v/>
      </c>
      <c r="L942">
        <f>IF(A942="","",TEXT(A942,"yyyy-mm-dd")&amp;"|"&amp;B942&amp;"|"&amp;C942)</f>
        <v/>
      </c>
    </row>
    <row r="943">
      <c r="A943" s="4" t="n"/>
      <c r="D943" s="5" t="n"/>
      <c r="E943" s="5" t="n"/>
      <c r="G943" s="6">
        <f>IF(OR(A943="",D943="",E943=""),"",ROUND(MOD(E943-D943,1)*24-N(F943)/60,2))</f>
        <v/>
      </c>
      <c r="H943" s="7">
        <f>IF(C943="","",IFERROR(INDEX(Sites!$B$2:$B$501,MATCH(C943,Sites!$A$2:$A$501,0)),"?"))</f>
        <v/>
      </c>
      <c r="I943" s="8">
        <f>IF(A943="","",A943-WEEKDAY(A943,3))</f>
        <v/>
      </c>
      <c r="K943" s="7">
        <f>IF(A943="","",IF(OR(B943="",C943="",D943="",E943=""),"Missing info",IF(ISNA(MATCH(B943,Staff!$A$2:$A$101,0)),"Unknown employee",IF(H943="?","Unknown site",IF(G943&lt;=0,"Check times",IF(G943&gt;12,"Over 12h",IF(COUNTIFS($L$2:$L$2001,L943)&gt;1,"Duplicate?",IF(A943&gt;TODAY(),"Future date","OK"))))))))</f>
        <v/>
      </c>
      <c r="L943">
        <f>IF(A943="","",TEXT(A943,"yyyy-mm-dd")&amp;"|"&amp;B943&amp;"|"&amp;C943)</f>
        <v/>
      </c>
    </row>
    <row r="944">
      <c r="A944" s="4" t="n"/>
      <c r="D944" s="5" t="n"/>
      <c r="E944" s="5" t="n"/>
      <c r="G944" s="6">
        <f>IF(OR(A944="",D944="",E944=""),"",ROUND(MOD(E944-D944,1)*24-N(F944)/60,2))</f>
        <v/>
      </c>
      <c r="H944" s="7">
        <f>IF(C944="","",IFERROR(INDEX(Sites!$B$2:$B$501,MATCH(C944,Sites!$A$2:$A$501,0)),"?"))</f>
        <v/>
      </c>
      <c r="I944" s="8">
        <f>IF(A944="","",A944-WEEKDAY(A944,3))</f>
        <v/>
      </c>
      <c r="K944" s="7">
        <f>IF(A944="","",IF(OR(B944="",C944="",D944="",E944=""),"Missing info",IF(ISNA(MATCH(B944,Staff!$A$2:$A$101,0)),"Unknown employee",IF(H944="?","Unknown site",IF(G944&lt;=0,"Check times",IF(G944&gt;12,"Over 12h",IF(COUNTIFS($L$2:$L$2001,L944)&gt;1,"Duplicate?",IF(A944&gt;TODAY(),"Future date","OK"))))))))</f>
        <v/>
      </c>
      <c r="L944">
        <f>IF(A944="","",TEXT(A944,"yyyy-mm-dd")&amp;"|"&amp;B944&amp;"|"&amp;C944)</f>
        <v/>
      </c>
    </row>
    <row r="945">
      <c r="A945" s="4" t="n"/>
      <c r="D945" s="5" t="n"/>
      <c r="E945" s="5" t="n"/>
      <c r="G945" s="6">
        <f>IF(OR(A945="",D945="",E945=""),"",ROUND(MOD(E945-D945,1)*24-N(F945)/60,2))</f>
        <v/>
      </c>
      <c r="H945" s="7">
        <f>IF(C945="","",IFERROR(INDEX(Sites!$B$2:$B$501,MATCH(C945,Sites!$A$2:$A$501,0)),"?"))</f>
        <v/>
      </c>
      <c r="I945" s="8">
        <f>IF(A945="","",A945-WEEKDAY(A945,3))</f>
        <v/>
      </c>
      <c r="K945" s="7">
        <f>IF(A945="","",IF(OR(B945="",C945="",D945="",E945=""),"Missing info",IF(ISNA(MATCH(B945,Staff!$A$2:$A$101,0)),"Unknown employee",IF(H945="?","Unknown site",IF(G945&lt;=0,"Check times",IF(G945&gt;12,"Over 12h",IF(COUNTIFS($L$2:$L$2001,L945)&gt;1,"Duplicate?",IF(A945&gt;TODAY(),"Future date","OK"))))))))</f>
        <v/>
      </c>
      <c r="L945">
        <f>IF(A945="","",TEXT(A945,"yyyy-mm-dd")&amp;"|"&amp;B945&amp;"|"&amp;C945)</f>
        <v/>
      </c>
    </row>
    <row r="946">
      <c r="A946" s="4" t="n"/>
      <c r="D946" s="5" t="n"/>
      <c r="E946" s="5" t="n"/>
      <c r="G946" s="6">
        <f>IF(OR(A946="",D946="",E946=""),"",ROUND(MOD(E946-D946,1)*24-N(F946)/60,2))</f>
        <v/>
      </c>
      <c r="H946" s="7">
        <f>IF(C946="","",IFERROR(INDEX(Sites!$B$2:$B$501,MATCH(C946,Sites!$A$2:$A$501,0)),"?"))</f>
        <v/>
      </c>
      <c r="I946" s="8">
        <f>IF(A946="","",A946-WEEKDAY(A946,3))</f>
        <v/>
      </c>
      <c r="K946" s="7">
        <f>IF(A946="","",IF(OR(B946="",C946="",D946="",E946=""),"Missing info",IF(ISNA(MATCH(B946,Staff!$A$2:$A$101,0)),"Unknown employee",IF(H946="?","Unknown site",IF(G946&lt;=0,"Check times",IF(G946&gt;12,"Over 12h",IF(COUNTIFS($L$2:$L$2001,L946)&gt;1,"Duplicate?",IF(A946&gt;TODAY(),"Future date","OK"))))))))</f>
        <v/>
      </c>
      <c r="L946">
        <f>IF(A946="","",TEXT(A946,"yyyy-mm-dd")&amp;"|"&amp;B946&amp;"|"&amp;C946)</f>
        <v/>
      </c>
    </row>
    <row r="947">
      <c r="A947" s="4" t="n"/>
      <c r="D947" s="5" t="n"/>
      <c r="E947" s="5" t="n"/>
      <c r="G947" s="6">
        <f>IF(OR(A947="",D947="",E947=""),"",ROUND(MOD(E947-D947,1)*24-N(F947)/60,2))</f>
        <v/>
      </c>
      <c r="H947" s="7">
        <f>IF(C947="","",IFERROR(INDEX(Sites!$B$2:$B$501,MATCH(C947,Sites!$A$2:$A$501,0)),"?"))</f>
        <v/>
      </c>
      <c r="I947" s="8">
        <f>IF(A947="","",A947-WEEKDAY(A947,3))</f>
        <v/>
      </c>
      <c r="K947" s="7">
        <f>IF(A947="","",IF(OR(B947="",C947="",D947="",E947=""),"Missing info",IF(ISNA(MATCH(B947,Staff!$A$2:$A$101,0)),"Unknown employee",IF(H947="?","Unknown site",IF(G947&lt;=0,"Check times",IF(G947&gt;12,"Over 12h",IF(COUNTIFS($L$2:$L$2001,L947)&gt;1,"Duplicate?",IF(A947&gt;TODAY(),"Future date","OK"))))))))</f>
        <v/>
      </c>
      <c r="L947">
        <f>IF(A947="","",TEXT(A947,"yyyy-mm-dd")&amp;"|"&amp;B947&amp;"|"&amp;C947)</f>
        <v/>
      </c>
    </row>
    <row r="948">
      <c r="A948" s="4" t="n"/>
      <c r="D948" s="5" t="n"/>
      <c r="E948" s="5" t="n"/>
      <c r="G948" s="6">
        <f>IF(OR(A948="",D948="",E948=""),"",ROUND(MOD(E948-D948,1)*24-N(F948)/60,2))</f>
        <v/>
      </c>
      <c r="H948" s="7">
        <f>IF(C948="","",IFERROR(INDEX(Sites!$B$2:$B$501,MATCH(C948,Sites!$A$2:$A$501,0)),"?"))</f>
        <v/>
      </c>
      <c r="I948" s="8">
        <f>IF(A948="","",A948-WEEKDAY(A948,3))</f>
        <v/>
      </c>
      <c r="K948" s="7">
        <f>IF(A948="","",IF(OR(B948="",C948="",D948="",E948=""),"Missing info",IF(ISNA(MATCH(B948,Staff!$A$2:$A$101,0)),"Unknown employee",IF(H948="?","Unknown site",IF(G948&lt;=0,"Check times",IF(G948&gt;12,"Over 12h",IF(COUNTIFS($L$2:$L$2001,L948)&gt;1,"Duplicate?",IF(A948&gt;TODAY(),"Future date","OK"))))))))</f>
        <v/>
      </c>
      <c r="L948">
        <f>IF(A948="","",TEXT(A948,"yyyy-mm-dd")&amp;"|"&amp;B948&amp;"|"&amp;C948)</f>
        <v/>
      </c>
    </row>
    <row r="949">
      <c r="A949" s="4" t="n"/>
      <c r="D949" s="5" t="n"/>
      <c r="E949" s="5" t="n"/>
      <c r="G949" s="6">
        <f>IF(OR(A949="",D949="",E949=""),"",ROUND(MOD(E949-D949,1)*24-N(F949)/60,2))</f>
        <v/>
      </c>
      <c r="H949" s="7">
        <f>IF(C949="","",IFERROR(INDEX(Sites!$B$2:$B$501,MATCH(C949,Sites!$A$2:$A$501,0)),"?"))</f>
        <v/>
      </c>
      <c r="I949" s="8">
        <f>IF(A949="","",A949-WEEKDAY(A949,3))</f>
        <v/>
      </c>
      <c r="K949" s="7">
        <f>IF(A949="","",IF(OR(B949="",C949="",D949="",E949=""),"Missing info",IF(ISNA(MATCH(B949,Staff!$A$2:$A$101,0)),"Unknown employee",IF(H949="?","Unknown site",IF(G949&lt;=0,"Check times",IF(G949&gt;12,"Over 12h",IF(COUNTIFS($L$2:$L$2001,L949)&gt;1,"Duplicate?",IF(A949&gt;TODAY(),"Future date","OK"))))))))</f>
        <v/>
      </c>
      <c r="L949">
        <f>IF(A949="","",TEXT(A949,"yyyy-mm-dd")&amp;"|"&amp;B949&amp;"|"&amp;C949)</f>
        <v/>
      </c>
    </row>
    <row r="950">
      <c r="A950" s="4" t="n"/>
      <c r="D950" s="5" t="n"/>
      <c r="E950" s="5" t="n"/>
      <c r="G950" s="6">
        <f>IF(OR(A950="",D950="",E950=""),"",ROUND(MOD(E950-D950,1)*24-N(F950)/60,2))</f>
        <v/>
      </c>
      <c r="H950" s="7">
        <f>IF(C950="","",IFERROR(INDEX(Sites!$B$2:$B$501,MATCH(C950,Sites!$A$2:$A$501,0)),"?"))</f>
        <v/>
      </c>
      <c r="I950" s="8">
        <f>IF(A950="","",A950-WEEKDAY(A950,3))</f>
        <v/>
      </c>
      <c r="K950" s="7">
        <f>IF(A950="","",IF(OR(B950="",C950="",D950="",E950=""),"Missing info",IF(ISNA(MATCH(B950,Staff!$A$2:$A$101,0)),"Unknown employee",IF(H950="?","Unknown site",IF(G950&lt;=0,"Check times",IF(G950&gt;12,"Over 12h",IF(COUNTIFS($L$2:$L$2001,L950)&gt;1,"Duplicate?",IF(A950&gt;TODAY(),"Future date","OK"))))))))</f>
        <v/>
      </c>
      <c r="L950">
        <f>IF(A950="","",TEXT(A950,"yyyy-mm-dd")&amp;"|"&amp;B950&amp;"|"&amp;C950)</f>
        <v/>
      </c>
    </row>
    <row r="951">
      <c r="A951" s="4" t="n"/>
      <c r="D951" s="5" t="n"/>
      <c r="E951" s="5" t="n"/>
      <c r="G951" s="6">
        <f>IF(OR(A951="",D951="",E951=""),"",ROUND(MOD(E951-D951,1)*24-N(F951)/60,2))</f>
        <v/>
      </c>
      <c r="H951" s="7">
        <f>IF(C951="","",IFERROR(INDEX(Sites!$B$2:$B$501,MATCH(C951,Sites!$A$2:$A$501,0)),"?"))</f>
        <v/>
      </c>
      <c r="I951" s="8">
        <f>IF(A951="","",A951-WEEKDAY(A951,3))</f>
        <v/>
      </c>
      <c r="K951" s="7">
        <f>IF(A951="","",IF(OR(B951="",C951="",D951="",E951=""),"Missing info",IF(ISNA(MATCH(B951,Staff!$A$2:$A$101,0)),"Unknown employee",IF(H951="?","Unknown site",IF(G951&lt;=0,"Check times",IF(G951&gt;12,"Over 12h",IF(COUNTIFS($L$2:$L$2001,L951)&gt;1,"Duplicate?",IF(A951&gt;TODAY(),"Future date","OK"))))))))</f>
        <v/>
      </c>
      <c r="L951">
        <f>IF(A951="","",TEXT(A951,"yyyy-mm-dd")&amp;"|"&amp;B951&amp;"|"&amp;C951)</f>
        <v/>
      </c>
    </row>
    <row r="952">
      <c r="A952" s="4" t="n"/>
      <c r="D952" s="5" t="n"/>
      <c r="E952" s="5" t="n"/>
      <c r="G952" s="6">
        <f>IF(OR(A952="",D952="",E952=""),"",ROUND(MOD(E952-D952,1)*24-N(F952)/60,2))</f>
        <v/>
      </c>
      <c r="H952" s="7">
        <f>IF(C952="","",IFERROR(INDEX(Sites!$B$2:$B$501,MATCH(C952,Sites!$A$2:$A$501,0)),"?"))</f>
        <v/>
      </c>
      <c r="I952" s="8">
        <f>IF(A952="","",A952-WEEKDAY(A952,3))</f>
        <v/>
      </c>
      <c r="K952" s="7">
        <f>IF(A952="","",IF(OR(B952="",C952="",D952="",E952=""),"Missing info",IF(ISNA(MATCH(B952,Staff!$A$2:$A$101,0)),"Unknown employee",IF(H952="?","Unknown site",IF(G952&lt;=0,"Check times",IF(G952&gt;12,"Over 12h",IF(COUNTIFS($L$2:$L$2001,L952)&gt;1,"Duplicate?",IF(A952&gt;TODAY(),"Future date","OK"))))))))</f>
        <v/>
      </c>
      <c r="L952">
        <f>IF(A952="","",TEXT(A952,"yyyy-mm-dd")&amp;"|"&amp;B952&amp;"|"&amp;C952)</f>
        <v/>
      </c>
    </row>
    <row r="953">
      <c r="A953" s="4" t="n"/>
      <c r="D953" s="5" t="n"/>
      <c r="E953" s="5" t="n"/>
      <c r="G953" s="6">
        <f>IF(OR(A953="",D953="",E953=""),"",ROUND(MOD(E953-D953,1)*24-N(F953)/60,2))</f>
        <v/>
      </c>
      <c r="H953" s="7">
        <f>IF(C953="","",IFERROR(INDEX(Sites!$B$2:$B$501,MATCH(C953,Sites!$A$2:$A$501,0)),"?"))</f>
        <v/>
      </c>
      <c r="I953" s="8">
        <f>IF(A953="","",A953-WEEKDAY(A953,3))</f>
        <v/>
      </c>
      <c r="K953" s="7">
        <f>IF(A953="","",IF(OR(B953="",C953="",D953="",E953=""),"Missing info",IF(ISNA(MATCH(B953,Staff!$A$2:$A$101,0)),"Unknown employee",IF(H953="?","Unknown site",IF(G953&lt;=0,"Check times",IF(G953&gt;12,"Over 12h",IF(COUNTIFS($L$2:$L$2001,L953)&gt;1,"Duplicate?",IF(A953&gt;TODAY(),"Future date","OK"))))))))</f>
        <v/>
      </c>
      <c r="L953">
        <f>IF(A953="","",TEXT(A953,"yyyy-mm-dd")&amp;"|"&amp;B953&amp;"|"&amp;C953)</f>
        <v/>
      </c>
    </row>
    <row r="954">
      <c r="A954" s="4" t="n"/>
      <c r="D954" s="5" t="n"/>
      <c r="E954" s="5" t="n"/>
      <c r="G954" s="6">
        <f>IF(OR(A954="",D954="",E954=""),"",ROUND(MOD(E954-D954,1)*24-N(F954)/60,2))</f>
        <v/>
      </c>
      <c r="H954" s="7">
        <f>IF(C954="","",IFERROR(INDEX(Sites!$B$2:$B$501,MATCH(C954,Sites!$A$2:$A$501,0)),"?"))</f>
        <v/>
      </c>
      <c r="I954" s="8">
        <f>IF(A954="","",A954-WEEKDAY(A954,3))</f>
        <v/>
      </c>
      <c r="K954" s="7">
        <f>IF(A954="","",IF(OR(B954="",C954="",D954="",E954=""),"Missing info",IF(ISNA(MATCH(B954,Staff!$A$2:$A$101,0)),"Unknown employee",IF(H954="?","Unknown site",IF(G954&lt;=0,"Check times",IF(G954&gt;12,"Over 12h",IF(COUNTIFS($L$2:$L$2001,L954)&gt;1,"Duplicate?",IF(A954&gt;TODAY(),"Future date","OK"))))))))</f>
        <v/>
      </c>
      <c r="L954">
        <f>IF(A954="","",TEXT(A954,"yyyy-mm-dd")&amp;"|"&amp;B954&amp;"|"&amp;C954)</f>
        <v/>
      </c>
    </row>
    <row r="955">
      <c r="A955" s="4" t="n"/>
      <c r="D955" s="5" t="n"/>
      <c r="E955" s="5" t="n"/>
      <c r="G955" s="6">
        <f>IF(OR(A955="",D955="",E955=""),"",ROUND(MOD(E955-D955,1)*24-N(F955)/60,2))</f>
        <v/>
      </c>
      <c r="H955" s="7">
        <f>IF(C955="","",IFERROR(INDEX(Sites!$B$2:$B$501,MATCH(C955,Sites!$A$2:$A$501,0)),"?"))</f>
        <v/>
      </c>
      <c r="I955" s="8">
        <f>IF(A955="","",A955-WEEKDAY(A955,3))</f>
        <v/>
      </c>
      <c r="K955" s="7">
        <f>IF(A955="","",IF(OR(B955="",C955="",D955="",E955=""),"Missing info",IF(ISNA(MATCH(B955,Staff!$A$2:$A$101,0)),"Unknown employee",IF(H955="?","Unknown site",IF(G955&lt;=0,"Check times",IF(G955&gt;12,"Over 12h",IF(COUNTIFS($L$2:$L$2001,L955)&gt;1,"Duplicate?",IF(A955&gt;TODAY(),"Future date","OK"))))))))</f>
        <v/>
      </c>
      <c r="L955">
        <f>IF(A955="","",TEXT(A955,"yyyy-mm-dd")&amp;"|"&amp;B955&amp;"|"&amp;C955)</f>
        <v/>
      </c>
    </row>
    <row r="956">
      <c r="A956" s="4" t="n"/>
      <c r="D956" s="5" t="n"/>
      <c r="E956" s="5" t="n"/>
      <c r="G956" s="6">
        <f>IF(OR(A956="",D956="",E956=""),"",ROUND(MOD(E956-D956,1)*24-N(F956)/60,2))</f>
        <v/>
      </c>
      <c r="H956" s="7">
        <f>IF(C956="","",IFERROR(INDEX(Sites!$B$2:$B$501,MATCH(C956,Sites!$A$2:$A$501,0)),"?"))</f>
        <v/>
      </c>
      <c r="I956" s="8">
        <f>IF(A956="","",A956-WEEKDAY(A956,3))</f>
        <v/>
      </c>
      <c r="K956" s="7">
        <f>IF(A956="","",IF(OR(B956="",C956="",D956="",E956=""),"Missing info",IF(ISNA(MATCH(B956,Staff!$A$2:$A$101,0)),"Unknown employee",IF(H956="?","Unknown site",IF(G956&lt;=0,"Check times",IF(G956&gt;12,"Over 12h",IF(COUNTIFS($L$2:$L$2001,L956)&gt;1,"Duplicate?",IF(A956&gt;TODAY(),"Future date","OK"))))))))</f>
        <v/>
      </c>
      <c r="L956">
        <f>IF(A956="","",TEXT(A956,"yyyy-mm-dd")&amp;"|"&amp;B956&amp;"|"&amp;C956)</f>
        <v/>
      </c>
    </row>
    <row r="957">
      <c r="A957" s="4" t="n"/>
      <c r="D957" s="5" t="n"/>
      <c r="E957" s="5" t="n"/>
      <c r="G957" s="6">
        <f>IF(OR(A957="",D957="",E957=""),"",ROUND(MOD(E957-D957,1)*24-N(F957)/60,2))</f>
        <v/>
      </c>
      <c r="H957" s="7">
        <f>IF(C957="","",IFERROR(INDEX(Sites!$B$2:$B$501,MATCH(C957,Sites!$A$2:$A$501,0)),"?"))</f>
        <v/>
      </c>
      <c r="I957" s="8">
        <f>IF(A957="","",A957-WEEKDAY(A957,3))</f>
        <v/>
      </c>
      <c r="K957" s="7">
        <f>IF(A957="","",IF(OR(B957="",C957="",D957="",E957=""),"Missing info",IF(ISNA(MATCH(B957,Staff!$A$2:$A$101,0)),"Unknown employee",IF(H957="?","Unknown site",IF(G957&lt;=0,"Check times",IF(G957&gt;12,"Over 12h",IF(COUNTIFS($L$2:$L$2001,L957)&gt;1,"Duplicate?",IF(A957&gt;TODAY(),"Future date","OK"))))))))</f>
        <v/>
      </c>
      <c r="L957">
        <f>IF(A957="","",TEXT(A957,"yyyy-mm-dd")&amp;"|"&amp;B957&amp;"|"&amp;C957)</f>
        <v/>
      </c>
    </row>
    <row r="958">
      <c r="A958" s="4" t="n"/>
      <c r="D958" s="5" t="n"/>
      <c r="E958" s="5" t="n"/>
      <c r="G958" s="6">
        <f>IF(OR(A958="",D958="",E958=""),"",ROUND(MOD(E958-D958,1)*24-N(F958)/60,2))</f>
        <v/>
      </c>
      <c r="H958" s="7">
        <f>IF(C958="","",IFERROR(INDEX(Sites!$B$2:$B$501,MATCH(C958,Sites!$A$2:$A$501,0)),"?"))</f>
        <v/>
      </c>
      <c r="I958" s="8">
        <f>IF(A958="","",A958-WEEKDAY(A958,3))</f>
        <v/>
      </c>
      <c r="K958" s="7">
        <f>IF(A958="","",IF(OR(B958="",C958="",D958="",E958=""),"Missing info",IF(ISNA(MATCH(B958,Staff!$A$2:$A$101,0)),"Unknown employee",IF(H958="?","Unknown site",IF(G958&lt;=0,"Check times",IF(G958&gt;12,"Over 12h",IF(COUNTIFS($L$2:$L$2001,L958)&gt;1,"Duplicate?",IF(A958&gt;TODAY(),"Future date","OK"))))))))</f>
        <v/>
      </c>
      <c r="L958">
        <f>IF(A958="","",TEXT(A958,"yyyy-mm-dd")&amp;"|"&amp;B958&amp;"|"&amp;C958)</f>
        <v/>
      </c>
    </row>
    <row r="959">
      <c r="A959" s="4" t="n"/>
      <c r="D959" s="5" t="n"/>
      <c r="E959" s="5" t="n"/>
      <c r="G959" s="6">
        <f>IF(OR(A959="",D959="",E959=""),"",ROUND(MOD(E959-D959,1)*24-N(F959)/60,2))</f>
        <v/>
      </c>
      <c r="H959" s="7">
        <f>IF(C959="","",IFERROR(INDEX(Sites!$B$2:$B$501,MATCH(C959,Sites!$A$2:$A$501,0)),"?"))</f>
        <v/>
      </c>
      <c r="I959" s="8">
        <f>IF(A959="","",A959-WEEKDAY(A959,3))</f>
        <v/>
      </c>
      <c r="K959" s="7">
        <f>IF(A959="","",IF(OR(B959="",C959="",D959="",E959=""),"Missing info",IF(ISNA(MATCH(B959,Staff!$A$2:$A$101,0)),"Unknown employee",IF(H959="?","Unknown site",IF(G959&lt;=0,"Check times",IF(G959&gt;12,"Over 12h",IF(COUNTIFS($L$2:$L$2001,L959)&gt;1,"Duplicate?",IF(A959&gt;TODAY(),"Future date","OK"))))))))</f>
        <v/>
      </c>
      <c r="L959">
        <f>IF(A959="","",TEXT(A959,"yyyy-mm-dd")&amp;"|"&amp;B959&amp;"|"&amp;C959)</f>
        <v/>
      </c>
    </row>
    <row r="960">
      <c r="A960" s="4" t="n"/>
      <c r="D960" s="5" t="n"/>
      <c r="E960" s="5" t="n"/>
      <c r="G960" s="6">
        <f>IF(OR(A960="",D960="",E960=""),"",ROUND(MOD(E960-D960,1)*24-N(F960)/60,2))</f>
        <v/>
      </c>
      <c r="H960" s="7">
        <f>IF(C960="","",IFERROR(INDEX(Sites!$B$2:$B$501,MATCH(C960,Sites!$A$2:$A$501,0)),"?"))</f>
        <v/>
      </c>
      <c r="I960" s="8">
        <f>IF(A960="","",A960-WEEKDAY(A960,3))</f>
        <v/>
      </c>
      <c r="K960" s="7">
        <f>IF(A960="","",IF(OR(B960="",C960="",D960="",E960=""),"Missing info",IF(ISNA(MATCH(B960,Staff!$A$2:$A$101,0)),"Unknown employee",IF(H960="?","Unknown site",IF(G960&lt;=0,"Check times",IF(G960&gt;12,"Over 12h",IF(COUNTIFS($L$2:$L$2001,L960)&gt;1,"Duplicate?",IF(A960&gt;TODAY(),"Future date","OK"))))))))</f>
        <v/>
      </c>
      <c r="L960">
        <f>IF(A960="","",TEXT(A960,"yyyy-mm-dd")&amp;"|"&amp;B960&amp;"|"&amp;C960)</f>
        <v/>
      </c>
    </row>
    <row r="961">
      <c r="A961" s="4" t="n"/>
      <c r="D961" s="5" t="n"/>
      <c r="E961" s="5" t="n"/>
      <c r="G961" s="6">
        <f>IF(OR(A961="",D961="",E961=""),"",ROUND(MOD(E961-D961,1)*24-N(F961)/60,2))</f>
        <v/>
      </c>
      <c r="H961" s="7">
        <f>IF(C961="","",IFERROR(INDEX(Sites!$B$2:$B$501,MATCH(C961,Sites!$A$2:$A$501,0)),"?"))</f>
        <v/>
      </c>
      <c r="I961" s="8">
        <f>IF(A961="","",A961-WEEKDAY(A961,3))</f>
        <v/>
      </c>
      <c r="K961" s="7">
        <f>IF(A961="","",IF(OR(B961="",C961="",D961="",E961=""),"Missing info",IF(ISNA(MATCH(B961,Staff!$A$2:$A$101,0)),"Unknown employee",IF(H961="?","Unknown site",IF(G961&lt;=0,"Check times",IF(G961&gt;12,"Over 12h",IF(COUNTIFS($L$2:$L$2001,L961)&gt;1,"Duplicate?",IF(A961&gt;TODAY(),"Future date","OK"))))))))</f>
        <v/>
      </c>
      <c r="L961">
        <f>IF(A961="","",TEXT(A961,"yyyy-mm-dd")&amp;"|"&amp;B961&amp;"|"&amp;C961)</f>
        <v/>
      </c>
    </row>
    <row r="962">
      <c r="A962" s="4" t="n"/>
      <c r="D962" s="5" t="n"/>
      <c r="E962" s="5" t="n"/>
      <c r="G962" s="6">
        <f>IF(OR(A962="",D962="",E962=""),"",ROUND(MOD(E962-D962,1)*24-N(F962)/60,2))</f>
        <v/>
      </c>
      <c r="H962" s="7">
        <f>IF(C962="","",IFERROR(INDEX(Sites!$B$2:$B$501,MATCH(C962,Sites!$A$2:$A$501,0)),"?"))</f>
        <v/>
      </c>
      <c r="I962" s="8">
        <f>IF(A962="","",A962-WEEKDAY(A962,3))</f>
        <v/>
      </c>
      <c r="K962" s="7">
        <f>IF(A962="","",IF(OR(B962="",C962="",D962="",E962=""),"Missing info",IF(ISNA(MATCH(B962,Staff!$A$2:$A$101,0)),"Unknown employee",IF(H962="?","Unknown site",IF(G962&lt;=0,"Check times",IF(G962&gt;12,"Over 12h",IF(COUNTIFS($L$2:$L$2001,L962)&gt;1,"Duplicate?",IF(A962&gt;TODAY(),"Future date","OK"))))))))</f>
        <v/>
      </c>
      <c r="L962">
        <f>IF(A962="","",TEXT(A962,"yyyy-mm-dd")&amp;"|"&amp;B962&amp;"|"&amp;C962)</f>
        <v/>
      </c>
    </row>
    <row r="963">
      <c r="A963" s="4" t="n"/>
      <c r="D963" s="5" t="n"/>
      <c r="E963" s="5" t="n"/>
      <c r="G963" s="6">
        <f>IF(OR(A963="",D963="",E963=""),"",ROUND(MOD(E963-D963,1)*24-N(F963)/60,2))</f>
        <v/>
      </c>
      <c r="H963" s="7">
        <f>IF(C963="","",IFERROR(INDEX(Sites!$B$2:$B$501,MATCH(C963,Sites!$A$2:$A$501,0)),"?"))</f>
        <v/>
      </c>
      <c r="I963" s="8">
        <f>IF(A963="","",A963-WEEKDAY(A963,3))</f>
        <v/>
      </c>
      <c r="K963" s="7">
        <f>IF(A963="","",IF(OR(B963="",C963="",D963="",E963=""),"Missing info",IF(ISNA(MATCH(B963,Staff!$A$2:$A$101,0)),"Unknown employee",IF(H963="?","Unknown site",IF(G963&lt;=0,"Check times",IF(G963&gt;12,"Over 12h",IF(COUNTIFS($L$2:$L$2001,L963)&gt;1,"Duplicate?",IF(A963&gt;TODAY(),"Future date","OK"))))))))</f>
        <v/>
      </c>
      <c r="L963">
        <f>IF(A963="","",TEXT(A963,"yyyy-mm-dd")&amp;"|"&amp;B963&amp;"|"&amp;C963)</f>
        <v/>
      </c>
    </row>
    <row r="964">
      <c r="A964" s="4" t="n"/>
      <c r="D964" s="5" t="n"/>
      <c r="E964" s="5" t="n"/>
      <c r="G964" s="6">
        <f>IF(OR(A964="",D964="",E964=""),"",ROUND(MOD(E964-D964,1)*24-N(F964)/60,2))</f>
        <v/>
      </c>
      <c r="H964" s="7">
        <f>IF(C964="","",IFERROR(INDEX(Sites!$B$2:$B$501,MATCH(C964,Sites!$A$2:$A$501,0)),"?"))</f>
        <v/>
      </c>
      <c r="I964" s="8">
        <f>IF(A964="","",A964-WEEKDAY(A964,3))</f>
        <v/>
      </c>
      <c r="K964" s="7">
        <f>IF(A964="","",IF(OR(B964="",C964="",D964="",E964=""),"Missing info",IF(ISNA(MATCH(B964,Staff!$A$2:$A$101,0)),"Unknown employee",IF(H964="?","Unknown site",IF(G964&lt;=0,"Check times",IF(G964&gt;12,"Over 12h",IF(COUNTIFS($L$2:$L$2001,L964)&gt;1,"Duplicate?",IF(A964&gt;TODAY(),"Future date","OK"))))))))</f>
        <v/>
      </c>
      <c r="L964">
        <f>IF(A964="","",TEXT(A964,"yyyy-mm-dd")&amp;"|"&amp;B964&amp;"|"&amp;C964)</f>
        <v/>
      </c>
    </row>
    <row r="965">
      <c r="A965" s="4" t="n"/>
      <c r="D965" s="5" t="n"/>
      <c r="E965" s="5" t="n"/>
      <c r="G965" s="6">
        <f>IF(OR(A965="",D965="",E965=""),"",ROUND(MOD(E965-D965,1)*24-N(F965)/60,2))</f>
        <v/>
      </c>
      <c r="H965" s="7">
        <f>IF(C965="","",IFERROR(INDEX(Sites!$B$2:$B$501,MATCH(C965,Sites!$A$2:$A$501,0)),"?"))</f>
        <v/>
      </c>
      <c r="I965" s="8">
        <f>IF(A965="","",A965-WEEKDAY(A965,3))</f>
        <v/>
      </c>
      <c r="K965" s="7">
        <f>IF(A965="","",IF(OR(B965="",C965="",D965="",E965=""),"Missing info",IF(ISNA(MATCH(B965,Staff!$A$2:$A$101,0)),"Unknown employee",IF(H965="?","Unknown site",IF(G965&lt;=0,"Check times",IF(G965&gt;12,"Over 12h",IF(COUNTIFS($L$2:$L$2001,L965)&gt;1,"Duplicate?",IF(A965&gt;TODAY(),"Future date","OK"))))))))</f>
        <v/>
      </c>
      <c r="L965">
        <f>IF(A965="","",TEXT(A965,"yyyy-mm-dd")&amp;"|"&amp;B965&amp;"|"&amp;C965)</f>
        <v/>
      </c>
    </row>
    <row r="966">
      <c r="A966" s="4" t="n"/>
      <c r="D966" s="5" t="n"/>
      <c r="E966" s="5" t="n"/>
      <c r="G966" s="6">
        <f>IF(OR(A966="",D966="",E966=""),"",ROUND(MOD(E966-D966,1)*24-N(F966)/60,2))</f>
        <v/>
      </c>
      <c r="H966" s="7">
        <f>IF(C966="","",IFERROR(INDEX(Sites!$B$2:$B$501,MATCH(C966,Sites!$A$2:$A$501,0)),"?"))</f>
        <v/>
      </c>
      <c r="I966" s="8">
        <f>IF(A966="","",A966-WEEKDAY(A966,3))</f>
        <v/>
      </c>
      <c r="K966" s="7">
        <f>IF(A966="","",IF(OR(B966="",C966="",D966="",E966=""),"Missing info",IF(ISNA(MATCH(B966,Staff!$A$2:$A$101,0)),"Unknown employee",IF(H966="?","Unknown site",IF(G966&lt;=0,"Check times",IF(G966&gt;12,"Over 12h",IF(COUNTIFS($L$2:$L$2001,L966)&gt;1,"Duplicate?",IF(A966&gt;TODAY(),"Future date","OK"))))))))</f>
        <v/>
      </c>
      <c r="L966">
        <f>IF(A966="","",TEXT(A966,"yyyy-mm-dd")&amp;"|"&amp;B966&amp;"|"&amp;C966)</f>
        <v/>
      </c>
    </row>
    <row r="967">
      <c r="A967" s="4" t="n"/>
      <c r="D967" s="5" t="n"/>
      <c r="E967" s="5" t="n"/>
      <c r="G967" s="6">
        <f>IF(OR(A967="",D967="",E967=""),"",ROUND(MOD(E967-D967,1)*24-N(F967)/60,2))</f>
        <v/>
      </c>
      <c r="H967" s="7">
        <f>IF(C967="","",IFERROR(INDEX(Sites!$B$2:$B$501,MATCH(C967,Sites!$A$2:$A$501,0)),"?"))</f>
        <v/>
      </c>
      <c r="I967" s="8">
        <f>IF(A967="","",A967-WEEKDAY(A967,3))</f>
        <v/>
      </c>
      <c r="K967" s="7">
        <f>IF(A967="","",IF(OR(B967="",C967="",D967="",E967=""),"Missing info",IF(ISNA(MATCH(B967,Staff!$A$2:$A$101,0)),"Unknown employee",IF(H967="?","Unknown site",IF(G967&lt;=0,"Check times",IF(G967&gt;12,"Over 12h",IF(COUNTIFS($L$2:$L$2001,L967)&gt;1,"Duplicate?",IF(A967&gt;TODAY(),"Future date","OK"))))))))</f>
        <v/>
      </c>
      <c r="L967">
        <f>IF(A967="","",TEXT(A967,"yyyy-mm-dd")&amp;"|"&amp;B967&amp;"|"&amp;C967)</f>
        <v/>
      </c>
    </row>
    <row r="968">
      <c r="A968" s="4" t="n"/>
      <c r="D968" s="5" t="n"/>
      <c r="E968" s="5" t="n"/>
      <c r="G968" s="6">
        <f>IF(OR(A968="",D968="",E968=""),"",ROUND(MOD(E968-D968,1)*24-N(F968)/60,2))</f>
        <v/>
      </c>
      <c r="H968" s="7">
        <f>IF(C968="","",IFERROR(INDEX(Sites!$B$2:$B$501,MATCH(C968,Sites!$A$2:$A$501,0)),"?"))</f>
        <v/>
      </c>
      <c r="I968" s="8">
        <f>IF(A968="","",A968-WEEKDAY(A968,3))</f>
        <v/>
      </c>
      <c r="K968" s="7">
        <f>IF(A968="","",IF(OR(B968="",C968="",D968="",E968=""),"Missing info",IF(ISNA(MATCH(B968,Staff!$A$2:$A$101,0)),"Unknown employee",IF(H968="?","Unknown site",IF(G968&lt;=0,"Check times",IF(G968&gt;12,"Over 12h",IF(COUNTIFS($L$2:$L$2001,L968)&gt;1,"Duplicate?",IF(A968&gt;TODAY(),"Future date","OK"))))))))</f>
        <v/>
      </c>
      <c r="L968">
        <f>IF(A968="","",TEXT(A968,"yyyy-mm-dd")&amp;"|"&amp;B968&amp;"|"&amp;C968)</f>
        <v/>
      </c>
    </row>
    <row r="969">
      <c r="A969" s="4" t="n"/>
      <c r="D969" s="5" t="n"/>
      <c r="E969" s="5" t="n"/>
      <c r="G969" s="6">
        <f>IF(OR(A969="",D969="",E969=""),"",ROUND(MOD(E969-D969,1)*24-N(F969)/60,2))</f>
        <v/>
      </c>
      <c r="H969" s="7">
        <f>IF(C969="","",IFERROR(INDEX(Sites!$B$2:$B$501,MATCH(C969,Sites!$A$2:$A$501,0)),"?"))</f>
        <v/>
      </c>
      <c r="I969" s="8">
        <f>IF(A969="","",A969-WEEKDAY(A969,3))</f>
        <v/>
      </c>
      <c r="K969" s="7">
        <f>IF(A969="","",IF(OR(B969="",C969="",D969="",E969=""),"Missing info",IF(ISNA(MATCH(B969,Staff!$A$2:$A$101,0)),"Unknown employee",IF(H969="?","Unknown site",IF(G969&lt;=0,"Check times",IF(G969&gt;12,"Over 12h",IF(COUNTIFS($L$2:$L$2001,L969)&gt;1,"Duplicate?",IF(A969&gt;TODAY(),"Future date","OK"))))))))</f>
        <v/>
      </c>
      <c r="L969">
        <f>IF(A969="","",TEXT(A969,"yyyy-mm-dd")&amp;"|"&amp;B969&amp;"|"&amp;C969)</f>
        <v/>
      </c>
    </row>
    <row r="970">
      <c r="A970" s="4" t="n"/>
      <c r="D970" s="5" t="n"/>
      <c r="E970" s="5" t="n"/>
      <c r="G970" s="6">
        <f>IF(OR(A970="",D970="",E970=""),"",ROUND(MOD(E970-D970,1)*24-N(F970)/60,2))</f>
        <v/>
      </c>
      <c r="H970" s="7">
        <f>IF(C970="","",IFERROR(INDEX(Sites!$B$2:$B$501,MATCH(C970,Sites!$A$2:$A$501,0)),"?"))</f>
        <v/>
      </c>
      <c r="I970" s="8">
        <f>IF(A970="","",A970-WEEKDAY(A970,3))</f>
        <v/>
      </c>
      <c r="K970" s="7">
        <f>IF(A970="","",IF(OR(B970="",C970="",D970="",E970=""),"Missing info",IF(ISNA(MATCH(B970,Staff!$A$2:$A$101,0)),"Unknown employee",IF(H970="?","Unknown site",IF(G970&lt;=0,"Check times",IF(G970&gt;12,"Over 12h",IF(COUNTIFS($L$2:$L$2001,L970)&gt;1,"Duplicate?",IF(A970&gt;TODAY(),"Future date","OK"))))))))</f>
        <v/>
      </c>
      <c r="L970">
        <f>IF(A970="","",TEXT(A970,"yyyy-mm-dd")&amp;"|"&amp;B970&amp;"|"&amp;C970)</f>
        <v/>
      </c>
    </row>
    <row r="971">
      <c r="A971" s="4" t="n"/>
      <c r="D971" s="5" t="n"/>
      <c r="E971" s="5" t="n"/>
      <c r="G971" s="6">
        <f>IF(OR(A971="",D971="",E971=""),"",ROUND(MOD(E971-D971,1)*24-N(F971)/60,2))</f>
        <v/>
      </c>
      <c r="H971" s="7">
        <f>IF(C971="","",IFERROR(INDEX(Sites!$B$2:$B$501,MATCH(C971,Sites!$A$2:$A$501,0)),"?"))</f>
        <v/>
      </c>
      <c r="I971" s="8">
        <f>IF(A971="","",A971-WEEKDAY(A971,3))</f>
        <v/>
      </c>
      <c r="K971" s="7">
        <f>IF(A971="","",IF(OR(B971="",C971="",D971="",E971=""),"Missing info",IF(ISNA(MATCH(B971,Staff!$A$2:$A$101,0)),"Unknown employee",IF(H971="?","Unknown site",IF(G971&lt;=0,"Check times",IF(G971&gt;12,"Over 12h",IF(COUNTIFS($L$2:$L$2001,L971)&gt;1,"Duplicate?",IF(A971&gt;TODAY(),"Future date","OK"))))))))</f>
        <v/>
      </c>
      <c r="L971">
        <f>IF(A971="","",TEXT(A971,"yyyy-mm-dd")&amp;"|"&amp;B971&amp;"|"&amp;C971)</f>
        <v/>
      </c>
    </row>
    <row r="972">
      <c r="A972" s="4" t="n"/>
      <c r="D972" s="5" t="n"/>
      <c r="E972" s="5" t="n"/>
      <c r="G972" s="6">
        <f>IF(OR(A972="",D972="",E972=""),"",ROUND(MOD(E972-D972,1)*24-N(F972)/60,2))</f>
        <v/>
      </c>
      <c r="H972" s="7">
        <f>IF(C972="","",IFERROR(INDEX(Sites!$B$2:$B$501,MATCH(C972,Sites!$A$2:$A$501,0)),"?"))</f>
        <v/>
      </c>
      <c r="I972" s="8">
        <f>IF(A972="","",A972-WEEKDAY(A972,3))</f>
        <v/>
      </c>
      <c r="K972" s="7">
        <f>IF(A972="","",IF(OR(B972="",C972="",D972="",E972=""),"Missing info",IF(ISNA(MATCH(B972,Staff!$A$2:$A$101,0)),"Unknown employee",IF(H972="?","Unknown site",IF(G972&lt;=0,"Check times",IF(G972&gt;12,"Over 12h",IF(COUNTIFS($L$2:$L$2001,L972)&gt;1,"Duplicate?",IF(A972&gt;TODAY(),"Future date","OK"))))))))</f>
        <v/>
      </c>
      <c r="L972">
        <f>IF(A972="","",TEXT(A972,"yyyy-mm-dd")&amp;"|"&amp;B972&amp;"|"&amp;C972)</f>
        <v/>
      </c>
    </row>
    <row r="973">
      <c r="A973" s="4" t="n"/>
      <c r="D973" s="5" t="n"/>
      <c r="E973" s="5" t="n"/>
      <c r="G973" s="6">
        <f>IF(OR(A973="",D973="",E973=""),"",ROUND(MOD(E973-D973,1)*24-N(F973)/60,2))</f>
        <v/>
      </c>
      <c r="H973" s="7">
        <f>IF(C973="","",IFERROR(INDEX(Sites!$B$2:$B$501,MATCH(C973,Sites!$A$2:$A$501,0)),"?"))</f>
        <v/>
      </c>
      <c r="I973" s="8">
        <f>IF(A973="","",A973-WEEKDAY(A973,3))</f>
        <v/>
      </c>
      <c r="K973" s="7">
        <f>IF(A973="","",IF(OR(B973="",C973="",D973="",E973=""),"Missing info",IF(ISNA(MATCH(B973,Staff!$A$2:$A$101,0)),"Unknown employee",IF(H973="?","Unknown site",IF(G973&lt;=0,"Check times",IF(G973&gt;12,"Over 12h",IF(COUNTIFS($L$2:$L$2001,L973)&gt;1,"Duplicate?",IF(A973&gt;TODAY(),"Future date","OK"))))))))</f>
        <v/>
      </c>
      <c r="L973">
        <f>IF(A973="","",TEXT(A973,"yyyy-mm-dd")&amp;"|"&amp;B973&amp;"|"&amp;C973)</f>
        <v/>
      </c>
    </row>
    <row r="974">
      <c r="A974" s="4" t="n"/>
      <c r="D974" s="5" t="n"/>
      <c r="E974" s="5" t="n"/>
      <c r="G974" s="6">
        <f>IF(OR(A974="",D974="",E974=""),"",ROUND(MOD(E974-D974,1)*24-N(F974)/60,2))</f>
        <v/>
      </c>
      <c r="H974" s="7">
        <f>IF(C974="","",IFERROR(INDEX(Sites!$B$2:$B$501,MATCH(C974,Sites!$A$2:$A$501,0)),"?"))</f>
        <v/>
      </c>
      <c r="I974" s="8">
        <f>IF(A974="","",A974-WEEKDAY(A974,3))</f>
        <v/>
      </c>
      <c r="K974" s="7">
        <f>IF(A974="","",IF(OR(B974="",C974="",D974="",E974=""),"Missing info",IF(ISNA(MATCH(B974,Staff!$A$2:$A$101,0)),"Unknown employee",IF(H974="?","Unknown site",IF(G974&lt;=0,"Check times",IF(G974&gt;12,"Over 12h",IF(COUNTIFS($L$2:$L$2001,L974)&gt;1,"Duplicate?",IF(A974&gt;TODAY(),"Future date","OK"))))))))</f>
        <v/>
      </c>
      <c r="L974">
        <f>IF(A974="","",TEXT(A974,"yyyy-mm-dd")&amp;"|"&amp;B974&amp;"|"&amp;C974)</f>
        <v/>
      </c>
    </row>
    <row r="975">
      <c r="A975" s="4" t="n"/>
      <c r="D975" s="5" t="n"/>
      <c r="E975" s="5" t="n"/>
      <c r="G975" s="6">
        <f>IF(OR(A975="",D975="",E975=""),"",ROUND(MOD(E975-D975,1)*24-N(F975)/60,2))</f>
        <v/>
      </c>
      <c r="H975" s="7">
        <f>IF(C975="","",IFERROR(INDEX(Sites!$B$2:$B$501,MATCH(C975,Sites!$A$2:$A$501,0)),"?"))</f>
        <v/>
      </c>
      <c r="I975" s="8">
        <f>IF(A975="","",A975-WEEKDAY(A975,3))</f>
        <v/>
      </c>
      <c r="K975" s="7">
        <f>IF(A975="","",IF(OR(B975="",C975="",D975="",E975=""),"Missing info",IF(ISNA(MATCH(B975,Staff!$A$2:$A$101,0)),"Unknown employee",IF(H975="?","Unknown site",IF(G975&lt;=0,"Check times",IF(G975&gt;12,"Over 12h",IF(COUNTIFS($L$2:$L$2001,L975)&gt;1,"Duplicate?",IF(A975&gt;TODAY(),"Future date","OK"))))))))</f>
        <v/>
      </c>
      <c r="L975">
        <f>IF(A975="","",TEXT(A975,"yyyy-mm-dd")&amp;"|"&amp;B975&amp;"|"&amp;C975)</f>
        <v/>
      </c>
    </row>
    <row r="976">
      <c r="A976" s="4" t="n"/>
      <c r="D976" s="5" t="n"/>
      <c r="E976" s="5" t="n"/>
      <c r="G976" s="6">
        <f>IF(OR(A976="",D976="",E976=""),"",ROUND(MOD(E976-D976,1)*24-N(F976)/60,2))</f>
        <v/>
      </c>
      <c r="H976" s="7">
        <f>IF(C976="","",IFERROR(INDEX(Sites!$B$2:$B$501,MATCH(C976,Sites!$A$2:$A$501,0)),"?"))</f>
        <v/>
      </c>
      <c r="I976" s="8">
        <f>IF(A976="","",A976-WEEKDAY(A976,3))</f>
        <v/>
      </c>
      <c r="K976" s="7">
        <f>IF(A976="","",IF(OR(B976="",C976="",D976="",E976=""),"Missing info",IF(ISNA(MATCH(B976,Staff!$A$2:$A$101,0)),"Unknown employee",IF(H976="?","Unknown site",IF(G976&lt;=0,"Check times",IF(G976&gt;12,"Over 12h",IF(COUNTIFS($L$2:$L$2001,L976)&gt;1,"Duplicate?",IF(A976&gt;TODAY(),"Future date","OK"))))))))</f>
        <v/>
      </c>
      <c r="L976">
        <f>IF(A976="","",TEXT(A976,"yyyy-mm-dd")&amp;"|"&amp;B976&amp;"|"&amp;C976)</f>
        <v/>
      </c>
    </row>
    <row r="977">
      <c r="A977" s="4" t="n"/>
      <c r="D977" s="5" t="n"/>
      <c r="E977" s="5" t="n"/>
      <c r="G977" s="6">
        <f>IF(OR(A977="",D977="",E977=""),"",ROUND(MOD(E977-D977,1)*24-N(F977)/60,2))</f>
        <v/>
      </c>
      <c r="H977" s="7">
        <f>IF(C977="","",IFERROR(INDEX(Sites!$B$2:$B$501,MATCH(C977,Sites!$A$2:$A$501,0)),"?"))</f>
        <v/>
      </c>
      <c r="I977" s="8">
        <f>IF(A977="","",A977-WEEKDAY(A977,3))</f>
        <v/>
      </c>
      <c r="K977" s="7">
        <f>IF(A977="","",IF(OR(B977="",C977="",D977="",E977=""),"Missing info",IF(ISNA(MATCH(B977,Staff!$A$2:$A$101,0)),"Unknown employee",IF(H977="?","Unknown site",IF(G977&lt;=0,"Check times",IF(G977&gt;12,"Over 12h",IF(COUNTIFS($L$2:$L$2001,L977)&gt;1,"Duplicate?",IF(A977&gt;TODAY(),"Future date","OK"))))))))</f>
        <v/>
      </c>
      <c r="L977">
        <f>IF(A977="","",TEXT(A977,"yyyy-mm-dd")&amp;"|"&amp;B977&amp;"|"&amp;C977)</f>
        <v/>
      </c>
    </row>
    <row r="978">
      <c r="A978" s="4" t="n"/>
      <c r="D978" s="5" t="n"/>
      <c r="E978" s="5" t="n"/>
      <c r="G978" s="6">
        <f>IF(OR(A978="",D978="",E978=""),"",ROUND(MOD(E978-D978,1)*24-N(F978)/60,2))</f>
        <v/>
      </c>
      <c r="H978" s="7">
        <f>IF(C978="","",IFERROR(INDEX(Sites!$B$2:$B$501,MATCH(C978,Sites!$A$2:$A$501,0)),"?"))</f>
        <v/>
      </c>
      <c r="I978" s="8">
        <f>IF(A978="","",A978-WEEKDAY(A978,3))</f>
        <v/>
      </c>
      <c r="K978" s="7">
        <f>IF(A978="","",IF(OR(B978="",C978="",D978="",E978=""),"Missing info",IF(ISNA(MATCH(B978,Staff!$A$2:$A$101,0)),"Unknown employee",IF(H978="?","Unknown site",IF(G978&lt;=0,"Check times",IF(G978&gt;12,"Over 12h",IF(COUNTIFS($L$2:$L$2001,L978)&gt;1,"Duplicate?",IF(A978&gt;TODAY(),"Future date","OK"))))))))</f>
        <v/>
      </c>
      <c r="L978">
        <f>IF(A978="","",TEXT(A978,"yyyy-mm-dd")&amp;"|"&amp;B978&amp;"|"&amp;C978)</f>
        <v/>
      </c>
    </row>
    <row r="979">
      <c r="A979" s="4" t="n"/>
      <c r="D979" s="5" t="n"/>
      <c r="E979" s="5" t="n"/>
      <c r="G979" s="6">
        <f>IF(OR(A979="",D979="",E979=""),"",ROUND(MOD(E979-D979,1)*24-N(F979)/60,2))</f>
        <v/>
      </c>
      <c r="H979" s="7">
        <f>IF(C979="","",IFERROR(INDEX(Sites!$B$2:$B$501,MATCH(C979,Sites!$A$2:$A$501,0)),"?"))</f>
        <v/>
      </c>
      <c r="I979" s="8">
        <f>IF(A979="","",A979-WEEKDAY(A979,3))</f>
        <v/>
      </c>
      <c r="K979" s="7">
        <f>IF(A979="","",IF(OR(B979="",C979="",D979="",E979=""),"Missing info",IF(ISNA(MATCH(B979,Staff!$A$2:$A$101,0)),"Unknown employee",IF(H979="?","Unknown site",IF(G979&lt;=0,"Check times",IF(G979&gt;12,"Over 12h",IF(COUNTIFS($L$2:$L$2001,L979)&gt;1,"Duplicate?",IF(A979&gt;TODAY(),"Future date","OK"))))))))</f>
        <v/>
      </c>
      <c r="L979">
        <f>IF(A979="","",TEXT(A979,"yyyy-mm-dd")&amp;"|"&amp;B979&amp;"|"&amp;C979)</f>
        <v/>
      </c>
    </row>
    <row r="980">
      <c r="A980" s="4" t="n"/>
      <c r="D980" s="5" t="n"/>
      <c r="E980" s="5" t="n"/>
      <c r="G980" s="6">
        <f>IF(OR(A980="",D980="",E980=""),"",ROUND(MOD(E980-D980,1)*24-N(F980)/60,2))</f>
        <v/>
      </c>
      <c r="H980" s="7">
        <f>IF(C980="","",IFERROR(INDEX(Sites!$B$2:$B$501,MATCH(C980,Sites!$A$2:$A$501,0)),"?"))</f>
        <v/>
      </c>
      <c r="I980" s="8">
        <f>IF(A980="","",A980-WEEKDAY(A980,3))</f>
        <v/>
      </c>
      <c r="K980" s="7">
        <f>IF(A980="","",IF(OR(B980="",C980="",D980="",E980=""),"Missing info",IF(ISNA(MATCH(B980,Staff!$A$2:$A$101,0)),"Unknown employee",IF(H980="?","Unknown site",IF(G980&lt;=0,"Check times",IF(G980&gt;12,"Over 12h",IF(COUNTIFS($L$2:$L$2001,L980)&gt;1,"Duplicate?",IF(A980&gt;TODAY(),"Future date","OK"))))))))</f>
        <v/>
      </c>
      <c r="L980">
        <f>IF(A980="","",TEXT(A980,"yyyy-mm-dd")&amp;"|"&amp;B980&amp;"|"&amp;C980)</f>
        <v/>
      </c>
    </row>
    <row r="981">
      <c r="A981" s="4" t="n"/>
      <c r="D981" s="5" t="n"/>
      <c r="E981" s="5" t="n"/>
      <c r="G981" s="6">
        <f>IF(OR(A981="",D981="",E981=""),"",ROUND(MOD(E981-D981,1)*24-N(F981)/60,2))</f>
        <v/>
      </c>
      <c r="H981" s="7">
        <f>IF(C981="","",IFERROR(INDEX(Sites!$B$2:$B$501,MATCH(C981,Sites!$A$2:$A$501,0)),"?"))</f>
        <v/>
      </c>
      <c r="I981" s="8">
        <f>IF(A981="","",A981-WEEKDAY(A981,3))</f>
        <v/>
      </c>
      <c r="K981" s="7">
        <f>IF(A981="","",IF(OR(B981="",C981="",D981="",E981=""),"Missing info",IF(ISNA(MATCH(B981,Staff!$A$2:$A$101,0)),"Unknown employee",IF(H981="?","Unknown site",IF(G981&lt;=0,"Check times",IF(G981&gt;12,"Over 12h",IF(COUNTIFS($L$2:$L$2001,L981)&gt;1,"Duplicate?",IF(A981&gt;TODAY(),"Future date","OK"))))))))</f>
        <v/>
      </c>
      <c r="L981">
        <f>IF(A981="","",TEXT(A981,"yyyy-mm-dd")&amp;"|"&amp;B981&amp;"|"&amp;C981)</f>
        <v/>
      </c>
    </row>
    <row r="982">
      <c r="A982" s="4" t="n"/>
      <c r="D982" s="5" t="n"/>
      <c r="E982" s="5" t="n"/>
      <c r="G982" s="6">
        <f>IF(OR(A982="",D982="",E982=""),"",ROUND(MOD(E982-D982,1)*24-N(F982)/60,2))</f>
        <v/>
      </c>
      <c r="H982" s="7">
        <f>IF(C982="","",IFERROR(INDEX(Sites!$B$2:$B$501,MATCH(C982,Sites!$A$2:$A$501,0)),"?"))</f>
        <v/>
      </c>
      <c r="I982" s="8">
        <f>IF(A982="","",A982-WEEKDAY(A982,3))</f>
        <v/>
      </c>
      <c r="K982" s="7">
        <f>IF(A982="","",IF(OR(B982="",C982="",D982="",E982=""),"Missing info",IF(ISNA(MATCH(B982,Staff!$A$2:$A$101,0)),"Unknown employee",IF(H982="?","Unknown site",IF(G982&lt;=0,"Check times",IF(G982&gt;12,"Over 12h",IF(COUNTIFS($L$2:$L$2001,L982)&gt;1,"Duplicate?",IF(A982&gt;TODAY(),"Future date","OK"))))))))</f>
        <v/>
      </c>
      <c r="L982">
        <f>IF(A982="","",TEXT(A982,"yyyy-mm-dd")&amp;"|"&amp;B982&amp;"|"&amp;C982)</f>
        <v/>
      </c>
    </row>
    <row r="983">
      <c r="A983" s="4" t="n"/>
      <c r="D983" s="5" t="n"/>
      <c r="E983" s="5" t="n"/>
      <c r="G983" s="6">
        <f>IF(OR(A983="",D983="",E983=""),"",ROUND(MOD(E983-D983,1)*24-N(F983)/60,2))</f>
        <v/>
      </c>
      <c r="H983" s="7">
        <f>IF(C983="","",IFERROR(INDEX(Sites!$B$2:$B$501,MATCH(C983,Sites!$A$2:$A$501,0)),"?"))</f>
        <v/>
      </c>
      <c r="I983" s="8">
        <f>IF(A983="","",A983-WEEKDAY(A983,3))</f>
        <v/>
      </c>
      <c r="K983" s="7">
        <f>IF(A983="","",IF(OR(B983="",C983="",D983="",E983=""),"Missing info",IF(ISNA(MATCH(B983,Staff!$A$2:$A$101,0)),"Unknown employee",IF(H983="?","Unknown site",IF(G983&lt;=0,"Check times",IF(G983&gt;12,"Over 12h",IF(COUNTIFS($L$2:$L$2001,L983)&gt;1,"Duplicate?",IF(A983&gt;TODAY(),"Future date","OK"))))))))</f>
        <v/>
      </c>
      <c r="L983">
        <f>IF(A983="","",TEXT(A983,"yyyy-mm-dd")&amp;"|"&amp;B983&amp;"|"&amp;C983)</f>
        <v/>
      </c>
    </row>
    <row r="984">
      <c r="A984" s="4" t="n"/>
      <c r="D984" s="5" t="n"/>
      <c r="E984" s="5" t="n"/>
      <c r="G984" s="6">
        <f>IF(OR(A984="",D984="",E984=""),"",ROUND(MOD(E984-D984,1)*24-N(F984)/60,2))</f>
        <v/>
      </c>
      <c r="H984" s="7">
        <f>IF(C984="","",IFERROR(INDEX(Sites!$B$2:$B$501,MATCH(C984,Sites!$A$2:$A$501,0)),"?"))</f>
        <v/>
      </c>
      <c r="I984" s="8">
        <f>IF(A984="","",A984-WEEKDAY(A984,3))</f>
        <v/>
      </c>
      <c r="K984" s="7">
        <f>IF(A984="","",IF(OR(B984="",C984="",D984="",E984=""),"Missing info",IF(ISNA(MATCH(B984,Staff!$A$2:$A$101,0)),"Unknown employee",IF(H984="?","Unknown site",IF(G984&lt;=0,"Check times",IF(G984&gt;12,"Over 12h",IF(COUNTIFS($L$2:$L$2001,L984)&gt;1,"Duplicate?",IF(A984&gt;TODAY(),"Future date","OK"))))))))</f>
        <v/>
      </c>
      <c r="L984">
        <f>IF(A984="","",TEXT(A984,"yyyy-mm-dd")&amp;"|"&amp;B984&amp;"|"&amp;C984)</f>
        <v/>
      </c>
    </row>
    <row r="985">
      <c r="A985" s="4" t="n"/>
      <c r="D985" s="5" t="n"/>
      <c r="E985" s="5" t="n"/>
      <c r="G985" s="6">
        <f>IF(OR(A985="",D985="",E985=""),"",ROUND(MOD(E985-D985,1)*24-N(F985)/60,2))</f>
        <v/>
      </c>
      <c r="H985" s="7">
        <f>IF(C985="","",IFERROR(INDEX(Sites!$B$2:$B$501,MATCH(C985,Sites!$A$2:$A$501,0)),"?"))</f>
        <v/>
      </c>
      <c r="I985" s="8">
        <f>IF(A985="","",A985-WEEKDAY(A985,3))</f>
        <v/>
      </c>
      <c r="K985" s="7">
        <f>IF(A985="","",IF(OR(B985="",C985="",D985="",E985=""),"Missing info",IF(ISNA(MATCH(B985,Staff!$A$2:$A$101,0)),"Unknown employee",IF(H985="?","Unknown site",IF(G985&lt;=0,"Check times",IF(G985&gt;12,"Over 12h",IF(COUNTIFS($L$2:$L$2001,L985)&gt;1,"Duplicate?",IF(A985&gt;TODAY(),"Future date","OK"))))))))</f>
        <v/>
      </c>
      <c r="L985">
        <f>IF(A985="","",TEXT(A985,"yyyy-mm-dd")&amp;"|"&amp;B985&amp;"|"&amp;C985)</f>
        <v/>
      </c>
    </row>
    <row r="986">
      <c r="A986" s="4" t="n"/>
      <c r="D986" s="5" t="n"/>
      <c r="E986" s="5" t="n"/>
      <c r="G986" s="6">
        <f>IF(OR(A986="",D986="",E986=""),"",ROUND(MOD(E986-D986,1)*24-N(F986)/60,2))</f>
        <v/>
      </c>
      <c r="H986" s="7">
        <f>IF(C986="","",IFERROR(INDEX(Sites!$B$2:$B$501,MATCH(C986,Sites!$A$2:$A$501,0)),"?"))</f>
        <v/>
      </c>
      <c r="I986" s="8">
        <f>IF(A986="","",A986-WEEKDAY(A986,3))</f>
        <v/>
      </c>
      <c r="K986" s="7">
        <f>IF(A986="","",IF(OR(B986="",C986="",D986="",E986=""),"Missing info",IF(ISNA(MATCH(B986,Staff!$A$2:$A$101,0)),"Unknown employee",IF(H986="?","Unknown site",IF(G986&lt;=0,"Check times",IF(G986&gt;12,"Over 12h",IF(COUNTIFS($L$2:$L$2001,L986)&gt;1,"Duplicate?",IF(A986&gt;TODAY(),"Future date","OK"))))))))</f>
        <v/>
      </c>
      <c r="L986">
        <f>IF(A986="","",TEXT(A986,"yyyy-mm-dd")&amp;"|"&amp;B986&amp;"|"&amp;C986)</f>
        <v/>
      </c>
    </row>
    <row r="987">
      <c r="A987" s="4" t="n"/>
      <c r="D987" s="5" t="n"/>
      <c r="E987" s="5" t="n"/>
      <c r="G987" s="6">
        <f>IF(OR(A987="",D987="",E987=""),"",ROUND(MOD(E987-D987,1)*24-N(F987)/60,2))</f>
        <v/>
      </c>
      <c r="H987" s="7">
        <f>IF(C987="","",IFERROR(INDEX(Sites!$B$2:$B$501,MATCH(C987,Sites!$A$2:$A$501,0)),"?"))</f>
        <v/>
      </c>
      <c r="I987" s="8">
        <f>IF(A987="","",A987-WEEKDAY(A987,3))</f>
        <v/>
      </c>
      <c r="K987" s="7">
        <f>IF(A987="","",IF(OR(B987="",C987="",D987="",E987=""),"Missing info",IF(ISNA(MATCH(B987,Staff!$A$2:$A$101,0)),"Unknown employee",IF(H987="?","Unknown site",IF(G987&lt;=0,"Check times",IF(G987&gt;12,"Over 12h",IF(COUNTIFS($L$2:$L$2001,L987)&gt;1,"Duplicate?",IF(A987&gt;TODAY(),"Future date","OK"))))))))</f>
        <v/>
      </c>
      <c r="L987">
        <f>IF(A987="","",TEXT(A987,"yyyy-mm-dd")&amp;"|"&amp;B987&amp;"|"&amp;C987)</f>
        <v/>
      </c>
    </row>
    <row r="988">
      <c r="A988" s="4" t="n"/>
      <c r="D988" s="5" t="n"/>
      <c r="E988" s="5" t="n"/>
      <c r="G988" s="6">
        <f>IF(OR(A988="",D988="",E988=""),"",ROUND(MOD(E988-D988,1)*24-N(F988)/60,2))</f>
        <v/>
      </c>
      <c r="H988" s="7">
        <f>IF(C988="","",IFERROR(INDEX(Sites!$B$2:$B$501,MATCH(C988,Sites!$A$2:$A$501,0)),"?"))</f>
        <v/>
      </c>
      <c r="I988" s="8">
        <f>IF(A988="","",A988-WEEKDAY(A988,3))</f>
        <v/>
      </c>
      <c r="K988" s="7">
        <f>IF(A988="","",IF(OR(B988="",C988="",D988="",E988=""),"Missing info",IF(ISNA(MATCH(B988,Staff!$A$2:$A$101,0)),"Unknown employee",IF(H988="?","Unknown site",IF(G988&lt;=0,"Check times",IF(G988&gt;12,"Over 12h",IF(COUNTIFS($L$2:$L$2001,L988)&gt;1,"Duplicate?",IF(A988&gt;TODAY(),"Future date","OK"))))))))</f>
        <v/>
      </c>
      <c r="L988">
        <f>IF(A988="","",TEXT(A988,"yyyy-mm-dd")&amp;"|"&amp;B988&amp;"|"&amp;C988)</f>
        <v/>
      </c>
    </row>
    <row r="989">
      <c r="A989" s="4" t="n"/>
      <c r="D989" s="5" t="n"/>
      <c r="E989" s="5" t="n"/>
      <c r="G989" s="6">
        <f>IF(OR(A989="",D989="",E989=""),"",ROUND(MOD(E989-D989,1)*24-N(F989)/60,2))</f>
        <v/>
      </c>
      <c r="H989" s="7">
        <f>IF(C989="","",IFERROR(INDEX(Sites!$B$2:$B$501,MATCH(C989,Sites!$A$2:$A$501,0)),"?"))</f>
        <v/>
      </c>
      <c r="I989" s="8">
        <f>IF(A989="","",A989-WEEKDAY(A989,3))</f>
        <v/>
      </c>
      <c r="K989" s="7">
        <f>IF(A989="","",IF(OR(B989="",C989="",D989="",E989=""),"Missing info",IF(ISNA(MATCH(B989,Staff!$A$2:$A$101,0)),"Unknown employee",IF(H989="?","Unknown site",IF(G989&lt;=0,"Check times",IF(G989&gt;12,"Over 12h",IF(COUNTIFS($L$2:$L$2001,L989)&gt;1,"Duplicate?",IF(A989&gt;TODAY(),"Future date","OK"))))))))</f>
        <v/>
      </c>
      <c r="L989">
        <f>IF(A989="","",TEXT(A989,"yyyy-mm-dd")&amp;"|"&amp;B989&amp;"|"&amp;C989)</f>
        <v/>
      </c>
    </row>
    <row r="990">
      <c r="A990" s="4" t="n"/>
      <c r="D990" s="5" t="n"/>
      <c r="E990" s="5" t="n"/>
      <c r="G990" s="6">
        <f>IF(OR(A990="",D990="",E990=""),"",ROUND(MOD(E990-D990,1)*24-N(F990)/60,2))</f>
        <v/>
      </c>
      <c r="H990" s="7">
        <f>IF(C990="","",IFERROR(INDEX(Sites!$B$2:$B$501,MATCH(C990,Sites!$A$2:$A$501,0)),"?"))</f>
        <v/>
      </c>
      <c r="I990" s="8">
        <f>IF(A990="","",A990-WEEKDAY(A990,3))</f>
        <v/>
      </c>
      <c r="K990" s="7">
        <f>IF(A990="","",IF(OR(B990="",C990="",D990="",E990=""),"Missing info",IF(ISNA(MATCH(B990,Staff!$A$2:$A$101,0)),"Unknown employee",IF(H990="?","Unknown site",IF(G990&lt;=0,"Check times",IF(G990&gt;12,"Over 12h",IF(COUNTIFS($L$2:$L$2001,L990)&gt;1,"Duplicate?",IF(A990&gt;TODAY(),"Future date","OK"))))))))</f>
        <v/>
      </c>
      <c r="L990">
        <f>IF(A990="","",TEXT(A990,"yyyy-mm-dd")&amp;"|"&amp;B990&amp;"|"&amp;C990)</f>
        <v/>
      </c>
    </row>
    <row r="991">
      <c r="A991" s="4" t="n"/>
      <c r="D991" s="5" t="n"/>
      <c r="E991" s="5" t="n"/>
      <c r="G991" s="6">
        <f>IF(OR(A991="",D991="",E991=""),"",ROUND(MOD(E991-D991,1)*24-N(F991)/60,2))</f>
        <v/>
      </c>
      <c r="H991" s="7">
        <f>IF(C991="","",IFERROR(INDEX(Sites!$B$2:$B$501,MATCH(C991,Sites!$A$2:$A$501,0)),"?"))</f>
        <v/>
      </c>
      <c r="I991" s="8">
        <f>IF(A991="","",A991-WEEKDAY(A991,3))</f>
        <v/>
      </c>
      <c r="K991" s="7">
        <f>IF(A991="","",IF(OR(B991="",C991="",D991="",E991=""),"Missing info",IF(ISNA(MATCH(B991,Staff!$A$2:$A$101,0)),"Unknown employee",IF(H991="?","Unknown site",IF(G991&lt;=0,"Check times",IF(G991&gt;12,"Over 12h",IF(COUNTIFS($L$2:$L$2001,L991)&gt;1,"Duplicate?",IF(A991&gt;TODAY(),"Future date","OK"))))))))</f>
        <v/>
      </c>
      <c r="L991">
        <f>IF(A991="","",TEXT(A991,"yyyy-mm-dd")&amp;"|"&amp;B991&amp;"|"&amp;C991)</f>
        <v/>
      </c>
    </row>
    <row r="992">
      <c r="A992" s="4" t="n"/>
      <c r="D992" s="5" t="n"/>
      <c r="E992" s="5" t="n"/>
      <c r="G992" s="6">
        <f>IF(OR(A992="",D992="",E992=""),"",ROUND(MOD(E992-D992,1)*24-N(F992)/60,2))</f>
        <v/>
      </c>
      <c r="H992" s="7">
        <f>IF(C992="","",IFERROR(INDEX(Sites!$B$2:$B$501,MATCH(C992,Sites!$A$2:$A$501,0)),"?"))</f>
        <v/>
      </c>
      <c r="I992" s="8">
        <f>IF(A992="","",A992-WEEKDAY(A992,3))</f>
        <v/>
      </c>
      <c r="K992" s="7">
        <f>IF(A992="","",IF(OR(B992="",C992="",D992="",E992=""),"Missing info",IF(ISNA(MATCH(B992,Staff!$A$2:$A$101,0)),"Unknown employee",IF(H992="?","Unknown site",IF(G992&lt;=0,"Check times",IF(G992&gt;12,"Over 12h",IF(COUNTIFS($L$2:$L$2001,L992)&gt;1,"Duplicate?",IF(A992&gt;TODAY(),"Future date","OK"))))))))</f>
        <v/>
      </c>
      <c r="L992">
        <f>IF(A992="","",TEXT(A992,"yyyy-mm-dd")&amp;"|"&amp;B992&amp;"|"&amp;C992)</f>
        <v/>
      </c>
    </row>
    <row r="993">
      <c r="A993" s="4" t="n"/>
      <c r="D993" s="5" t="n"/>
      <c r="E993" s="5" t="n"/>
      <c r="G993" s="6">
        <f>IF(OR(A993="",D993="",E993=""),"",ROUND(MOD(E993-D993,1)*24-N(F993)/60,2))</f>
        <v/>
      </c>
      <c r="H993" s="7">
        <f>IF(C993="","",IFERROR(INDEX(Sites!$B$2:$B$501,MATCH(C993,Sites!$A$2:$A$501,0)),"?"))</f>
        <v/>
      </c>
      <c r="I993" s="8">
        <f>IF(A993="","",A993-WEEKDAY(A993,3))</f>
        <v/>
      </c>
      <c r="K993" s="7">
        <f>IF(A993="","",IF(OR(B993="",C993="",D993="",E993=""),"Missing info",IF(ISNA(MATCH(B993,Staff!$A$2:$A$101,0)),"Unknown employee",IF(H993="?","Unknown site",IF(G993&lt;=0,"Check times",IF(G993&gt;12,"Over 12h",IF(COUNTIFS($L$2:$L$2001,L993)&gt;1,"Duplicate?",IF(A993&gt;TODAY(),"Future date","OK"))))))))</f>
        <v/>
      </c>
      <c r="L993">
        <f>IF(A993="","",TEXT(A993,"yyyy-mm-dd")&amp;"|"&amp;B993&amp;"|"&amp;C993)</f>
        <v/>
      </c>
    </row>
    <row r="994">
      <c r="A994" s="4" t="n"/>
      <c r="D994" s="5" t="n"/>
      <c r="E994" s="5" t="n"/>
      <c r="G994" s="6">
        <f>IF(OR(A994="",D994="",E994=""),"",ROUND(MOD(E994-D994,1)*24-N(F994)/60,2))</f>
        <v/>
      </c>
      <c r="H994" s="7">
        <f>IF(C994="","",IFERROR(INDEX(Sites!$B$2:$B$501,MATCH(C994,Sites!$A$2:$A$501,0)),"?"))</f>
        <v/>
      </c>
      <c r="I994" s="8">
        <f>IF(A994="","",A994-WEEKDAY(A994,3))</f>
        <v/>
      </c>
      <c r="K994" s="7">
        <f>IF(A994="","",IF(OR(B994="",C994="",D994="",E994=""),"Missing info",IF(ISNA(MATCH(B994,Staff!$A$2:$A$101,0)),"Unknown employee",IF(H994="?","Unknown site",IF(G994&lt;=0,"Check times",IF(G994&gt;12,"Over 12h",IF(COUNTIFS($L$2:$L$2001,L994)&gt;1,"Duplicate?",IF(A994&gt;TODAY(),"Future date","OK"))))))))</f>
        <v/>
      </c>
      <c r="L994">
        <f>IF(A994="","",TEXT(A994,"yyyy-mm-dd")&amp;"|"&amp;B994&amp;"|"&amp;C994)</f>
        <v/>
      </c>
    </row>
    <row r="995">
      <c r="A995" s="4" t="n"/>
      <c r="D995" s="5" t="n"/>
      <c r="E995" s="5" t="n"/>
      <c r="G995" s="6">
        <f>IF(OR(A995="",D995="",E995=""),"",ROUND(MOD(E995-D995,1)*24-N(F995)/60,2))</f>
        <v/>
      </c>
      <c r="H995" s="7">
        <f>IF(C995="","",IFERROR(INDEX(Sites!$B$2:$B$501,MATCH(C995,Sites!$A$2:$A$501,0)),"?"))</f>
        <v/>
      </c>
      <c r="I995" s="8">
        <f>IF(A995="","",A995-WEEKDAY(A995,3))</f>
        <v/>
      </c>
      <c r="K995" s="7">
        <f>IF(A995="","",IF(OR(B995="",C995="",D995="",E995=""),"Missing info",IF(ISNA(MATCH(B995,Staff!$A$2:$A$101,0)),"Unknown employee",IF(H995="?","Unknown site",IF(G995&lt;=0,"Check times",IF(G995&gt;12,"Over 12h",IF(COUNTIFS($L$2:$L$2001,L995)&gt;1,"Duplicate?",IF(A995&gt;TODAY(),"Future date","OK"))))))))</f>
        <v/>
      </c>
      <c r="L995">
        <f>IF(A995="","",TEXT(A995,"yyyy-mm-dd")&amp;"|"&amp;B995&amp;"|"&amp;C995)</f>
        <v/>
      </c>
    </row>
    <row r="996">
      <c r="A996" s="4" t="n"/>
      <c r="D996" s="5" t="n"/>
      <c r="E996" s="5" t="n"/>
      <c r="G996" s="6">
        <f>IF(OR(A996="",D996="",E996=""),"",ROUND(MOD(E996-D996,1)*24-N(F996)/60,2))</f>
        <v/>
      </c>
      <c r="H996" s="7">
        <f>IF(C996="","",IFERROR(INDEX(Sites!$B$2:$B$501,MATCH(C996,Sites!$A$2:$A$501,0)),"?"))</f>
        <v/>
      </c>
      <c r="I996" s="8">
        <f>IF(A996="","",A996-WEEKDAY(A996,3))</f>
        <v/>
      </c>
      <c r="K996" s="7">
        <f>IF(A996="","",IF(OR(B996="",C996="",D996="",E996=""),"Missing info",IF(ISNA(MATCH(B996,Staff!$A$2:$A$101,0)),"Unknown employee",IF(H996="?","Unknown site",IF(G996&lt;=0,"Check times",IF(G996&gt;12,"Over 12h",IF(COUNTIFS($L$2:$L$2001,L996)&gt;1,"Duplicate?",IF(A996&gt;TODAY(),"Future date","OK"))))))))</f>
        <v/>
      </c>
      <c r="L996">
        <f>IF(A996="","",TEXT(A996,"yyyy-mm-dd")&amp;"|"&amp;B996&amp;"|"&amp;C996)</f>
        <v/>
      </c>
    </row>
    <row r="997">
      <c r="A997" s="4" t="n"/>
      <c r="D997" s="5" t="n"/>
      <c r="E997" s="5" t="n"/>
      <c r="G997" s="6">
        <f>IF(OR(A997="",D997="",E997=""),"",ROUND(MOD(E997-D997,1)*24-N(F997)/60,2))</f>
        <v/>
      </c>
      <c r="H997" s="7">
        <f>IF(C997="","",IFERROR(INDEX(Sites!$B$2:$B$501,MATCH(C997,Sites!$A$2:$A$501,0)),"?"))</f>
        <v/>
      </c>
      <c r="I997" s="8">
        <f>IF(A997="","",A997-WEEKDAY(A997,3))</f>
        <v/>
      </c>
      <c r="K997" s="7">
        <f>IF(A997="","",IF(OR(B997="",C997="",D997="",E997=""),"Missing info",IF(ISNA(MATCH(B997,Staff!$A$2:$A$101,0)),"Unknown employee",IF(H997="?","Unknown site",IF(G997&lt;=0,"Check times",IF(G997&gt;12,"Over 12h",IF(COUNTIFS($L$2:$L$2001,L997)&gt;1,"Duplicate?",IF(A997&gt;TODAY(),"Future date","OK"))))))))</f>
        <v/>
      </c>
      <c r="L997">
        <f>IF(A997="","",TEXT(A997,"yyyy-mm-dd")&amp;"|"&amp;B997&amp;"|"&amp;C997)</f>
        <v/>
      </c>
    </row>
    <row r="998">
      <c r="A998" s="4" t="n"/>
      <c r="D998" s="5" t="n"/>
      <c r="E998" s="5" t="n"/>
      <c r="G998" s="6">
        <f>IF(OR(A998="",D998="",E998=""),"",ROUND(MOD(E998-D998,1)*24-N(F998)/60,2))</f>
        <v/>
      </c>
      <c r="H998" s="7">
        <f>IF(C998="","",IFERROR(INDEX(Sites!$B$2:$B$501,MATCH(C998,Sites!$A$2:$A$501,0)),"?"))</f>
        <v/>
      </c>
      <c r="I998" s="8">
        <f>IF(A998="","",A998-WEEKDAY(A998,3))</f>
        <v/>
      </c>
      <c r="K998" s="7">
        <f>IF(A998="","",IF(OR(B998="",C998="",D998="",E998=""),"Missing info",IF(ISNA(MATCH(B998,Staff!$A$2:$A$101,0)),"Unknown employee",IF(H998="?","Unknown site",IF(G998&lt;=0,"Check times",IF(G998&gt;12,"Over 12h",IF(COUNTIFS($L$2:$L$2001,L998)&gt;1,"Duplicate?",IF(A998&gt;TODAY(),"Future date","OK"))))))))</f>
        <v/>
      </c>
      <c r="L998">
        <f>IF(A998="","",TEXT(A998,"yyyy-mm-dd")&amp;"|"&amp;B998&amp;"|"&amp;C998)</f>
        <v/>
      </c>
    </row>
    <row r="999">
      <c r="A999" s="4" t="n"/>
      <c r="D999" s="5" t="n"/>
      <c r="E999" s="5" t="n"/>
      <c r="G999" s="6">
        <f>IF(OR(A999="",D999="",E999=""),"",ROUND(MOD(E999-D999,1)*24-N(F999)/60,2))</f>
        <v/>
      </c>
      <c r="H999" s="7">
        <f>IF(C999="","",IFERROR(INDEX(Sites!$B$2:$B$501,MATCH(C999,Sites!$A$2:$A$501,0)),"?"))</f>
        <v/>
      </c>
      <c r="I999" s="8">
        <f>IF(A999="","",A999-WEEKDAY(A999,3))</f>
        <v/>
      </c>
      <c r="K999" s="7">
        <f>IF(A999="","",IF(OR(B999="",C999="",D999="",E999=""),"Missing info",IF(ISNA(MATCH(B999,Staff!$A$2:$A$101,0)),"Unknown employee",IF(H999="?","Unknown site",IF(G999&lt;=0,"Check times",IF(G999&gt;12,"Over 12h",IF(COUNTIFS($L$2:$L$2001,L999)&gt;1,"Duplicate?",IF(A999&gt;TODAY(),"Future date","OK"))))))))</f>
        <v/>
      </c>
      <c r="L999">
        <f>IF(A999="","",TEXT(A999,"yyyy-mm-dd")&amp;"|"&amp;B999&amp;"|"&amp;C999)</f>
        <v/>
      </c>
    </row>
    <row r="1000">
      <c r="A1000" s="4" t="n"/>
      <c r="D1000" s="5" t="n"/>
      <c r="E1000" s="5" t="n"/>
      <c r="G1000" s="6">
        <f>IF(OR(A1000="",D1000="",E1000=""),"",ROUND(MOD(E1000-D1000,1)*24-N(F1000)/60,2))</f>
        <v/>
      </c>
      <c r="H1000" s="7">
        <f>IF(C1000="","",IFERROR(INDEX(Sites!$B$2:$B$501,MATCH(C1000,Sites!$A$2:$A$501,0)),"?"))</f>
        <v/>
      </c>
      <c r="I1000" s="8">
        <f>IF(A1000="","",A1000-WEEKDAY(A1000,3))</f>
        <v/>
      </c>
      <c r="K1000" s="7">
        <f>IF(A1000="","",IF(OR(B1000="",C1000="",D1000="",E1000=""),"Missing info",IF(ISNA(MATCH(B1000,Staff!$A$2:$A$101,0)),"Unknown employee",IF(H1000="?","Unknown site",IF(G1000&lt;=0,"Check times",IF(G1000&gt;12,"Over 12h",IF(COUNTIFS($L$2:$L$2001,L1000)&gt;1,"Duplicate?",IF(A1000&gt;TODAY(),"Future date","OK"))))))))</f>
        <v/>
      </c>
      <c r="L1000">
        <f>IF(A1000="","",TEXT(A1000,"yyyy-mm-dd")&amp;"|"&amp;B1000&amp;"|"&amp;C1000)</f>
        <v/>
      </c>
    </row>
    <row r="1001">
      <c r="A1001" s="4" t="n"/>
      <c r="D1001" s="5" t="n"/>
      <c r="E1001" s="5" t="n"/>
      <c r="G1001" s="6">
        <f>IF(OR(A1001="",D1001="",E1001=""),"",ROUND(MOD(E1001-D1001,1)*24-N(F1001)/60,2))</f>
        <v/>
      </c>
      <c r="H1001" s="7">
        <f>IF(C1001="","",IFERROR(INDEX(Sites!$B$2:$B$501,MATCH(C1001,Sites!$A$2:$A$501,0)),"?"))</f>
        <v/>
      </c>
      <c r="I1001" s="8">
        <f>IF(A1001="","",A1001-WEEKDAY(A1001,3))</f>
        <v/>
      </c>
      <c r="K1001" s="7">
        <f>IF(A1001="","",IF(OR(B1001="",C1001="",D1001="",E1001=""),"Missing info",IF(ISNA(MATCH(B1001,Staff!$A$2:$A$101,0)),"Unknown employee",IF(H1001="?","Unknown site",IF(G1001&lt;=0,"Check times",IF(G1001&gt;12,"Over 12h",IF(COUNTIFS($L$2:$L$2001,L1001)&gt;1,"Duplicate?",IF(A1001&gt;TODAY(),"Future date","OK"))))))))</f>
        <v/>
      </c>
      <c r="L1001">
        <f>IF(A1001="","",TEXT(A1001,"yyyy-mm-dd")&amp;"|"&amp;B1001&amp;"|"&amp;C1001)</f>
        <v/>
      </c>
    </row>
    <row r="1002">
      <c r="A1002" s="4" t="n"/>
      <c r="D1002" s="5" t="n"/>
      <c r="E1002" s="5" t="n"/>
      <c r="G1002" s="6">
        <f>IF(OR(A1002="",D1002="",E1002=""),"",ROUND(MOD(E1002-D1002,1)*24-N(F1002)/60,2))</f>
        <v/>
      </c>
      <c r="H1002" s="7">
        <f>IF(C1002="","",IFERROR(INDEX(Sites!$B$2:$B$501,MATCH(C1002,Sites!$A$2:$A$501,0)),"?"))</f>
        <v/>
      </c>
      <c r="I1002" s="8">
        <f>IF(A1002="","",A1002-WEEKDAY(A1002,3))</f>
        <v/>
      </c>
      <c r="K1002" s="7">
        <f>IF(A1002="","",IF(OR(B1002="",C1002="",D1002="",E1002=""),"Missing info",IF(ISNA(MATCH(B1002,Staff!$A$2:$A$101,0)),"Unknown employee",IF(H1002="?","Unknown site",IF(G1002&lt;=0,"Check times",IF(G1002&gt;12,"Over 12h",IF(COUNTIFS($L$2:$L$2001,L1002)&gt;1,"Duplicate?",IF(A1002&gt;TODAY(),"Future date","OK"))))))))</f>
        <v/>
      </c>
      <c r="L1002">
        <f>IF(A1002="","",TEXT(A1002,"yyyy-mm-dd")&amp;"|"&amp;B1002&amp;"|"&amp;C1002)</f>
        <v/>
      </c>
    </row>
    <row r="1003">
      <c r="A1003" s="4" t="n"/>
      <c r="D1003" s="5" t="n"/>
      <c r="E1003" s="5" t="n"/>
      <c r="G1003" s="6">
        <f>IF(OR(A1003="",D1003="",E1003=""),"",ROUND(MOD(E1003-D1003,1)*24-N(F1003)/60,2))</f>
        <v/>
      </c>
      <c r="H1003" s="7">
        <f>IF(C1003="","",IFERROR(INDEX(Sites!$B$2:$B$501,MATCH(C1003,Sites!$A$2:$A$501,0)),"?"))</f>
        <v/>
      </c>
      <c r="I1003" s="8">
        <f>IF(A1003="","",A1003-WEEKDAY(A1003,3))</f>
        <v/>
      </c>
      <c r="K1003" s="7">
        <f>IF(A1003="","",IF(OR(B1003="",C1003="",D1003="",E1003=""),"Missing info",IF(ISNA(MATCH(B1003,Staff!$A$2:$A$101,0)),"Unknown employee",IF(H1003="?","Unknown site",IF(G1003&lt;=0,"Check times",IF(G1003&gt;12,"Over 12h",IF(COUNTIFS($L$2:$L$2001,L1003)&gt;1,"Duplicate?",IF(A1003&gt;TODAY(),"Future date","OK"))))))))</f>
        <v/>
      </c>
      <c r="L1003">
        <f>IF(A1003="","",TEXT(A1003,"yyyy-mm-dd")&amp;"|"&amp;B1003&amp;"|"&amp;C1003)</f>
        <v/>
      </c>
    </row>
    <row r="1004">
      <c r="A1004" s="4" t="n"/>
      <c r="D1004" s="5" t="n"/>
      <c r="E1004" s="5" t="n"/>
      <c r="G1004" s="6">
        <f>IF(OR(A1004="",D1004="",E1004=""),"",ROUND(MOD(E1004-D1004,1)*24-N(F1004)/60,2))</f>
        <v/>
      </c>
      <c r="H1004" s="7">
        <f>IF(C1004="","",IFERROR(INDEX(Sites!$B$2:$B$501,MATCH(C1004,Sites!$A$2:$A$501,0)),"?"))</f>
        <v/>
      </c>
      <c r="I1004" s="8">
        <f>IF(A1004="","",A1004-WEEKDAY(A1004,3))</f>
        <v/>
      </c>
      <c r="K1004" s="7">
        <f>IF(A1004="","",IF(OR(B1004="",C1004="",D1004="",E1004=""),"Missing info",IF(ISNA(MATCH(B1004,Staff!$A$2:$A$101,0)),"Unknown employee",IF(H1004="?","Unknown site",IF(G1004&lt;=0,"Check times",IF(G1004&gt;12,"Over 12h",IF(COUNTIFS($L$2:$L$2001,L1004)&gt;1,"Duplicate?",IF(A1004&gt;TODAY(),"Future date","OK"))))))))</f>
        <v/>
      </c>
      <c r="L1004">
        <f>IF(A1004="","",TEXT(A1004,"yyyy-mm-dd")&amp;"|"&amp;B1004&amp;"|"&amp;C1004)</f>
        <v/>
      </c>
    </row>
    <row r="1005">
      <c r="A1005" s="4" t="n"/>
      <c r="D1005" s="5" t="n"/>
      <c r="E1005" s="5" t="n"/>
      <c r="G1005" s="6">
        <f>IF(OR(A1005="",D1005="",E1005=""),"",ROUND(MOD(E1005-D1005,1)*24-N(F1005)/60,2))</f>
        <v/>
      </c>
      <c r="H1005" s="7">
        <f>IF(C1005="","",IFERROR(INDEX(Sites!$B$2:$B$501,MATCH(C1005,Sites!$A$2:$A$501,0)),"?"))</f>
        <v/>
      </c>
      <c r="I1005" s="8">
        <f>IF(A1005="","",A1005-WEEKDAY(A1005,3))</f>
        <v/>
      </c>
      <c r="K1005" s="7">
        <f>IF(A1005="","",IF(OR(B1005="",C1005="",D1005="",E1005=""),"Missing info",IF(ISNA(MATCH(B1005,Staff!$A$2:$A$101,0)),"Unknown employee",IF(H1005="?","Unknown site",IF(G1005&lt;=0,"Check times",IF(G1005&gt;12,"Over 12h",IF(COUNTIFS($L$2:$L$2001,L1005)&gt;1,"Duplicate?",IF(A1005&gt;TODAY(),"Future date","OK"))))))))</f>
        <v/>
      </c>
      <c r="L1005">
        <f>IF(A1005="","",TEXT(A1005,"yyyy-mm-dd")&amp;"|"&amp;B1005&amp;"|"&amp;C1005)</f>
        <v/>
      </c>
    </row>
    <row r="1006">
      <c r="A1006" s="4" t="n"/>
      <c r="D1006" s="5" t="n"/>
      <c r="E1006" s="5" t="n"/>
      <c r="G1006" s="6">
        <f>IF(OR(A1006="",D1006="",E1006=""),"",ROUND(MOD(E1006-D1006,1)*24-N(F1006)/60,2))</f>
        <v/>
      </c>
      <c r="H1006" s="7">
        <f>IF(C1006="","",IFERROR(INDEX(Sites!$B$2:$B$501,MATCH(C1006,Sites!$A$2:$A$501,0)),"?"))</f>
        <v/>
      </c>
      <c r="I1006" s="8">
        <f>IF(A1006="","",A1006-WEEKDAY(A1006,3))</f>
        <v/>
      </c>
      <c r="K1006" s="7">
        <f>IF(A1006="","",IF(OR(B1006="",C1006="",D1006="",E1006=""),"Missing info",IF(ISNA(MATCH(B1006,Staff!$A$2:$A$101,0)),"Unknown employee",IF(H1006="?","Unknown site",IF(G1006&lt;=0,"Check times",IF(G1006&gt;12,"Over 12h",IF(COUNTIFS($L$2:$L$2001,L1006)&gt;1,"Duplicate?",IF(A1006&gt;TODAY(),"Future date","OK"))))))))</f>
        <v/>
      </c>
      <c r="L1006">
        <f>IF(A1006="","",TEXT(A1006,"yyyy-mm-dd")&amp;"|"&amp;B1006&amp;"|"&amp;C1006)</f>
        <v/>
      </c>
    </row>
    <row r="1007">
      <c r="A1007" s="4" t="n"/>
      <c r="D1007" s="5" t="n"/>
      <c r="E1007" s="5" t="n"/>
      <c r="G1007" s="6">
        <f>IF(OR(A1007="",D1007="",E1007=""),"",ROUND(MOD(E1007-D1007,1)*24-N(F1007)/60,2))</f>
        <v/>
      </c>
      <c r="H1007" s="7">
        <f>IF(C1007="","",IFERROR(INDEX(Sites!$B$2:$B$501,MATCH(C1007,Sites!$A$2:$A$501,0)),"?"))</f>
        <v/>
      </c>
      <c r="I1007" s="8">
        <f>IF(A1007="","",A1007-WEEKDAY(A1007,3))</f>
        <v/>
      </c>
      <c r="K1007" s="7">
        <f>IF(A1007="","",IF(OR(B1007="",C1007="",D1007="",E1007=""),"Missing info",IF(ISNA(MATCH(B1007,Staff!$A$2:$A$101,0)),"Unknown employee",IF(H1007="?","Unknown site",IF(G1007&lt;=0,"Check times",IF(G1007&gt;12,"Over 12h",IF(COUNTIFS($L$2:$L$2001,L1007)&gt;1,"Duplicate?",IF(A1007&gt;TODAY(),"Future date","OK"))))))))</f>
        <v/>
      </c>
      <c r="L1007">
        <f>IF(A1007="","",TEXT(A1007,"yyyy-mm-dd")&amp;"|"&amp;B1007&amp;"|"&amp;C1007)</f>
        <v/>
      </c>
    </row>
    <row r="1008">
      <c r="A1008" s="4" t="n"/>
      <c r="D1008" s="5" t="n"/>
      <c r="E1008" s="5" t="n"/>
      <c r="G1008" s="6">
        <f>IF(OR(A1008="",D1008="",E1008=""),"",ROUND(MOD(E1008-D1008,1)*24-N(F1008)/60,2))</f>
        <v/>
      </c>
      <c r="H1008" s="7">
        <f>IF(C1008="","",IFERROR(INDEX(Sites!$B$2:$B$501,MATCH(C1008,Sites!$A$2:$A$501,0)),"?"))</f>
        <v/>
      </c>
      <c r="I1008" s="8">
        <f>IF(A1008="","",A1008-WEEKDAY(A1008,3))</f>
        <v/>
      </c>
      <c r="K1008" s="7">
        <f>IF(A1008="","",IF(OR(B1008="",C1008="",D1008="",E1008=""),"Missing info",IF(ISNA(MATCH(B1008,Staff!$A$2:$A$101,0)),"Unknown employee",IF(H1008="?","Unknown site",IF(G1008&lt;=0,"Check times",IF(G1008&gt;12,"Over 12h",IF(COUNTIFS($L$2:$L$2001,L1008)&gt;1,"Duplicate?",IF(A1008&gt;TODAY(),"Future date","OK"))))))))</f>
        <v/>
      </c>
      <c r="L1008">
        <f>IF(A1008="","",TEXT(A1008,"yyyy-mm-dd")&amp;"|"&amp;B1008&amp;"|"&amp;C1008)</f>
        <v/>
      </c>
    </row>
    <row r="1009">
      <c r="A1009" s="4" t="n"/>
      <c r="D1009" s="5" t="n"/>
      <c r="E1009" s="5" t="n"/>
      <c r="G1009" s="6">
        <f>IF(OR(A1009="",D1009="",E1009=""),"",ROUND(MOD(E1009-D1009,1)*24-N(F1009)/60,2))</f>
        <v/>
      </c>
      <c r="H1009" s="7">
        <f>IF(C1009="","",IFERROR(INDEX(Sites!$B$2:$B$501,MATCH(C1009,Sites!$A$2:$A$501,0)),"?"))</f>
        <v/>
      </c>
      <c r="I1009" s="8">
        <f>IF(A1009="","",A1009-WEEKDAY(A1009,3))</f>
        <v/>
      </c>
      <c r="K1009" s="7">
        <f>IF(A1009="","",IF(OR(B1009="",C1009="",D1009="",E1009=""),"Missing info",IF(ISNA(MATCH(B1009,Staff!$A$2:$A$101,0)),"Unknown employee",IF(H1009="?","Unknown site",IF(G1009&lt;=0,"Check times",IF(G1009&gt;12,"Over 12h",IF(COUNTIFS($L$2:$L$2001,L1009)&gt;1,"Duplicate?",IF(A1009&gt;TODAY(),"Future date","OK"))))))))</f>
        <v/>
      </c>
      <c r="L1009">
        <f>IF(A1009="","",TEXT(A1009,"yyyy-mm-dd")&amp;"|"&amp;B1009&amp;"|"&amp;C1009)</f>
        <v/>
      </c>
    </row>
    <row r="1010">
      <c r="A1010" s="4" t="n"/>
      <c r="D1010" s="5" t="n"/>
      <c r="E1010" s="5" t="n"/>
      <c r="G1010" s="6">
        <f>IF(OR(A1010="",D1010="",E1010=""),"",ROUND(MOD(E1010-D1010,1)*24-N(F1010)/60,2))</f>
        <v/>
      </c>
      <c r="H1010" s="7">
        <f>IF(C1010="","",IFERROR(INDEX(Sites!$B$2:$B$501,MATCH(C1010,Sites!$A$2:$A$501,0)),"?"))</f>
        <v/>
      </c>
      <c r="I1010" s="8">
        <f>IF(A1010="","",A1010-WEEKDAY(A1010,3))</f>
        <v/>
      </c>
      <c r="K1010" s="7">
        <f>IF(A1010="","",IF(OR(B1010="",C1010="",D1010="",E1010=""),"Missing info",IF(ISNA(MATCH(B1010,Staff!$A$2:$A$101,0)),"Unknown employee",IF(H1010="?","Unknown site",IF(G1010&lt;=0,"Check times",IF(G1010&gt;12,"Over 12h",IF(COUNTIFS($L$2:$L$2001,L1010)&gt;1,"Duplicate?",IF(A1010&gt;TODAY(),"Future date","OK"))))))))</f>
        <v/>
      </c>
      <c r="L1010">
        <f>IF(A1010="","",TEXT(A1010,"yyyy-mm-dd")&amp;"|"&amp;B1010&amp;"|"&amp;C1010)</f>
        <v/>
      </c>
    </row>
    <row r="1011">
      <c r="A1011" s="4" t="n"/>
      <c r="D1011" s="5" t="n"/>
      <c r="E1011" s="5" t="n"/>
      <c r="G1011" s="6">
        <f>IF(OR(A1011="",D1011="",E1011=""),"",ROUND(MOD(E1011-D1011,1)*24-N(F1011)/60,2))</f>
        <v/>
      </c>
      <c r="H1011" s="7">
        <f>IF(C1011="","",IFERROR(INDEX(Sites!$B$2:$B$501,MATCH(C1011,Sites!$A$2:$A$501,0)),"?"))</f>
        <v/>
      </c>
      <c r="I1011" s="8">
        <f>IF(A1011="","",A1011-WEEKDAY(A1011,3))</f>
        <v/>
      </c>
      <c r="K1011" s="7">
        <f>IF(A1011="","",IF(OR(B1011="",C1011="",D1011="",E1011=""),"Missing info",IF(ISNA(MATCH(B1011,Staff!$A$2:$A$101,0)),"Unknown employee",IF(H1011="?","Unknown site",IF(G1011&lt;=0,"Check times",IF(G1011&gt;12,"Over 12h",IF(COUNTIFS($L$2:$L$2001,L1011)&gt;1,"Duplicate?",IF(A1011&gt;TODAY(),"Future date","OK"))))))))</f>
        <v/>
      </c>
      <c r="L1011">
        <f>IF(A1011="","",TEXT(A1011,"yyyy-mm-dd")&amp;"|"&amp;B1011&amp;"|"&amp;C1011)</f>
        <v/>
      </c>
    </row>
    <row r="1012">
      <c r="A1012" s="4" t="n"/>
      <c r="D1012" s="5" t="n"/>
      <c r="E1012" s="5" t="n"/>
      <c r="G1012" s="6">
        <f>IF(OR(A1012="",D1012="",E1012=""),"",ROUND(MOD(E1012-D1012,1)*24-N(F1012)/60,2))</f>
        <v/>
      </c>
      <c r="H1012" s="7">
        <f>IF(C1012="","",IFERROR(INDEX(Sites!$B$2:$B$501,MATCH(C1012,Sites!$A$2:$A$501,0)),"?"))</f>
        <v/>
      </c>
      <c r="I1012" s="8">
        <f>IF(A1012="","",A1012-WEEKDAY(A1012,3))</f>
        <v/>
      </c>
      <c r="K1012" s="7">
        <f>IF(A1012="","",IF(OR(B1012="",C1012="",D1012="",E1012=""),"Missing info",IF(ISNA(MATCH(B1012,Staff!$A$2:$A$101,0)),"Unknown employee",IF(H1012="?","Unknown site",IF(G1012&lt;=0,"Check times",IF(G1012&gt;12,"Over 12h",IF(COUNTIFS($L$2:$L$2001,L1012)&gt;1,"Duplicate?",IF(A1012&gt;TODAY(),"Future date","OK"))))))))</f>
        <v/>
      </c>
      <c r="L1012">
        <f>IF(A1012="","",TEXT(A1012,"yyyy-mm-dd")&amp;"|"&amp;B1012&amp;"|"&amp;C1012)</f>
        <v/>
      </c>
    </row>
    <row r="1013">
      <c r="A1013" s="4" t="n"/>
      <c r="D1013" s="5" t="n"/>
      <c r="E1013" s="5" t="n"/>
      <c r="G1013" s="6">
        <f>IF(OR(A1013="",D1013="",E1013=""),"",ROUND(MOD(E1013-D1013,1)*24-N(F1013)/60,2))</f>
        <v/>
      </c>
      <c r="H1013" s="7">
        <f>IF(C1013="","",IFERROR(INDEX(Sites!$B$2:$B$501,MATCH(C1013,Sites!$A$2:$A$501,0)),"?"))</f>
        <v/>
      </c>
      <c r="I1013" s="8">
        <f>IF(A1013="","",A1013-WEEKDAY(A1013,3))</f>
        <v/>
      </c>
      <c r="K1013" s="7">
        <f>IF(A1013="","",IF(OR(B1013="",C1013="",D1013="",E1013=""),"Missing info",IF(ISNA(MATCH(B1013,Staff!$A$2:$A$101,0)),"Unknown employee",IF(H1013="?","Unknown site",IF(G1013&lt;=0,"Check times",IF(G1013&gt;12,"Over 12h",IF(COUNTIFS($L$2:$L$2001,L1013)&gt;1,"Duplicate?",IF(A1013&gt;TODAY(),"Future date","OK"))))))))</f>
        <v/>
      </c>
      <c r="L1013">
        <f>IF(A1013="","",TEXT(A1013,"yyyy-mm-dd")&amp;"|"&amp;B1013&amp;"|"&amp;C1013)</f>
        <v/>
      </c>
    </row>
    <row r="1014">
      <c r="A1014" s="4" t="n"/>
      <c r="D1014" s="5" t="n"/>
      <c r="E1014" s="5" t="n"/>
      <c r="G1014" s="6">
        <f>IF(OR(A1014="",D1014="",E1014=""),"",ROUND(MOD(E1014-D1014,1)*24-N(F1014)/60,2))</f>
        <v/>
      </c>
      <c r="H1014" s="7">
        <f>IF(C1014="","",IFERROR(INDEX(Sites!$B$2:$B$501,MATCH(C1014,Sites!$A$2:$A$501,0)),"?"))</f>
        <v/>
      </c>
      <c r="I1014" s="8">
        <f>IF(A1014="","",A1014-WEEKDAY(A1014,3))</f>
        <v/>
      </c>
      <c r="K1014" s="7">
        <f>IF(A1014="","",IF(OR(B1014="",C1014="",D1014="",E1014=""),"Missing info",IF(ISNA(MATCH(B1014,Staff!$A$2:$A$101,0)),"Unknown employee",IF(H1014="?","Unknown site",IF(G1014&lt;=0,"Check times",IF(G1014&gt;12,"Over 12h",IF(COUNTIFS($L$2:$L$2001,L1014)&gt;1,"Duplicate?",IF(A1014&gt;TODAY(),"Future date","OK"))))))))</f>
        <v/>
      </c>
      <c r="L1014">
        <f>IF(A1014="","",TEXT(A1014,"yyyy-mm-dd")&amp;"|"&amp;B1014&amp;"|"&amp;C1014)</f>
        <v/>
      </c>
    </row>
    <row r="1015">
      <c r="A1015" s="4" t="n"/>
      <c r="D1015" s="5" t="n"/>
      <c r="E1015" s="5" t="n"/>
      <c r="G1015" s="6">
        <f>IF(OR(A1015="",D1015="",E1015=""),"",ROUND(MOD(E1015-D1015,1)*24-N(F1015)/60,2))</f>
        <v/>
      </c>
      <c r="H1015" s="7">
        <f>IF(C1015="","",IFERROR(INDEX(Sites!$B$2:$B$501,MATCH(C1015,Sites!$A$2:$A$501,0)),"?"))</f>
        <v/>
      </c>
      <c r="I1015" s="8">
        <f>IF(A1015="","",A1015-WEEKDAY(A1015,3))</f>
        <v/>
      </c>
      <c r="K1015" s="7">
        <f>IF(A1015="","",IF(OR(B1015="",C1015="",D1015="",E1015=""),"Missing info",IF(ISNA(MATCH(B1015,Staff!$A$2:$A$101,0)),"Unknown employee",IF(H1015="?","Unknown site",IF(G1015&lt;=0,"Check times",IF(G1015&gt;12,"Over 12h",IF(COUNTIFS($L$2:$L$2001,L1015)&gt;1,"Duplicate?",IF(A1015&gt;TODAY(),"Future date","OK"))))))))</f>
        <v/>
      </c>
      <c r="L1015">
        <f>IF(A1015="","",TEXT(A1015,"yyyy-mm-dd")&amp;"|"&amp;B1015&amp;"|"&amp;C1015)</f>
        <v/>
      </c>
    </row>
    <row r="1016">
      <c r="A1016" s="4" t="n"/>
      <c r="D1016" s="5" t="n"/>
      <c r="E1016" s="5" t="n"/>
      <c r="G1016" s="6">
        <f>IF(OR(A1016="",D1016="",E1016=""),"",ROUND(MOD(E1016-D1016,1)*24-N(F1016)/60,2))</f>
        <v/>
      </c>
      <c r="H1016" s="7">
        <f>IF(C1016="","",IFERROR(INDEX(Sites!$B$2:$B$501,MATCH(C1016,Sites!$A$2:$A$501,0)),"?"))</f>
        <v/>
      </c>
      <c r="I1016" s="8">
        <f>IF(A1016="","",A1016-WEEKDAY(A1016,3))</f>
        <v/>
      </c>
      <c r="K1016" s="7">
        <f>IF(A1016="","",IF(OR(B1016="",C1016="",D1016="",E1016=""),"Missing info",IF(ISNA(MATCH(B1016,Staff!$A$2:$A$101,0)),"Unknown employee",IF(H1016="?","Unknown site",IF(G1016&lt;=0,"Check times",IF(G1016&gt;12,"Over 12h",IF(COUNTIFS($L$2:$L$2001,L1016)&gt;1,"Duplicate?",IF(A1016&gt;TODAY(),"Future date","OK"))))))))</f>
        <v/>
      </c>
      <c r="L1016">
        <f>IF(A1016="","",TEXT(A1016,"yyyy-mm-dd")&amp;"|"&amp;B1016&amp;"|"&amp;C1016)</f>
        <v/>
      </c>
    </row>
    <row r="1017">
      <c r="A1017" s="4" t="n"/>
      <c r="D1017" s="5" t="n"/>
      <c r="E1017" s="5" t="n"/>
      <c r="G1017" s="6">
        <f>IF(OR(A1017="",D1017="",E1017=""),"",ROUND(MOD(E1017-D1017,1)*24-N(F1017)/60,2))</f>
        <v/>
      </c>
      <c r="H1017" s="7">
        <f>IF(C1017="","",IFERROR(INDEX(Sites!$B$2:$B$501,MATCH(C1017,Sites!$A$2:$A$501,0)),"?"))</f>
        <v/>
      </c>
      <c r="I1017" s="8">
        <f>IF(A1017="","",A1017-WEEKDAY(A1017,3))</f>
        <v/>
      </c>
      <c r="K1017" s="7">
        <f>IF(A1017="","",IF(OR(B1017="",C1017="",D1017="",E1017=""),"Missing info",IF(ISNA(MATCH(B1017,Staff!$A$2:$A$101,0)),"Unknown employee",IF(H1017="?","Unknown site",IF(G1017&lt;=0,"Check times",IF(G1017&gt;12,"Over 12h",IF(COUNTIFS($L$2:$L$2001,L1017)&gt;1,"Duplicate?",IF(A1017&gt;TODAY(),"Future date","OK"))))))))</f>
        <v/>
      </c>
      <c r="L1017">
        <f>IF(A1017="","",TEXT(A1017,"yyyy-mm-dd")&amp;"|"&amp;B1017&amp;"|"&amp;C1017)</f>
        <v/>
      </c>
    </row>
    <row r="1018">
      <c r="A1018" s="4" t="n"/>
      <c r="D1018" s="5" t="n"/>
      <c r="E1018" s="5" t="n"/>
      <c r="G1018" s="6">
        <f>IF(OR(A1018="",D1018="",E1018=""),"",ROUND(MOD(E1018-D1018,1)*24-N(F1018)/60,2))</f>
        <v/>
      </c>
      <c r="H1018" s="7">
        <f>IF(C1018="","",IFERROR(INDEX(Sites!$B$2:$B$501,MATCH(C1018,Sites!$A$2:$A$501,0)),"?"))</f>
        <v/>
      </c>
      <c r="I1018" s="8">
        <f>IF(A1018="","",A1018-WEEKDAY(A1018,3))</f>
        <v/>
      </c>
      <c r="K1018" s="7">
        <f>IF(A1018="","",IF(OR(B1018="",C1018="",D1018="",E1018=""),"Missing info",IF(ISNA(MATCH(B1018,Staff!$A$2:$A$101,0)),"Unknown employee",IF(H1018="?","Unknown site",IF(G1018&lt;=0,"Check times",IF(G1018&gt;12,"Over 12h",IF(COUNTIFS($L$2:$L$2001,L1018)&gt;1,"Duplicate?",IF(A1018&gt;TODAY(),"Future date","OK"))))))))</f>
        <v/>
      </c>
      <c r="L1018">
        <f>IF(A1018="","",TEXT(A1018,"yyyy-mm-dd")&amp;"|"&amp;B1018&amp;"|"&amp;C1018)</f>
        <v/>
      </c>
    </row>
    <row r="1019">
      <c r="A1019" s="4" t="n"/>
      <c r="D1019" s="5" t="n"/>
      <c r="E1019" s="5" t="n"/>
      <c r="G1019" s="6">
        <f>IF(OR(A1019="",D1019="",E1019=""),"",ROUND(MOD(E1019-D1019,1)*24-N(F1019)/60,2))</f>
        <v/>
      </c>
      <c r="H1019" s="7">
        <f>IF(C1019="","",IFERROR(INDEX(Sites!$B$2:$B$501,MATCH(C1019,Sites!$A$2:$A$501,0)),"?"))</f>
        <v/>
      </c>
      <c r="I1019" s="8">
        <f>IF(A1019="","",A1019-WEEKDAY(A1019,3))</f>
        <v/>
      </c>
      <c r="K1019" s="7">
        <f>IF(A1019="","",IF(OR(B1019="",C1019="",D1019="",E1019=""),"Missing info",IF(ISNA(MATCH(B1019,Staff!$A$2:$A$101,0)),"Unknown employee",IF(H1019="?","Unknown site",IF(G1019&lt;=0,"Check times",IF(G1019&gt;12,"Over 12h",IF(COUNTIFS($L$2:$L$2001,L1019)&gt;1,"Duplicate?",IF(A1019&gt;TODAY(),"Future date","OK"))))))))</f>
        <v/>
      </c>
      <c r="L1019">
        <f>IF(A1019="","",TEXT(A1019,"yyyy-mm-dd")&amp;"|"&amp;B1019&amp;"|"&amp;C1019)</f>
        <v/>
      </c>
    </row>
    <row r="1020">
      <c r="A1020" s="4" t="n"/>
      <c r="D1020" s="5" t="n"/>
      <c r="E1020" s="5" t="n"/>
      <c r="G1020" s="6">
        <f>IF(OR(A1020="",D1020="",E1020=""),"",ROUND(MOD(E1020-D1020,1)*24-N(F1020)/60,2))</f>
        <v/>
      </c>
      <c r="H1020" s="7">
        <f>IF(C1020="","",IFERROR(INDEX(Sites!$B$2:$B$501,MATCH(C1020,Sites!$A$2:$A$501,0)),"?"))</f>
        <v/>
      </c>
      <c r="I1020" s="8">
        <f>IF(A1020="","",A1020-WEEKDAY(A1020,3))</f>
        <v/>
      </c>
      <c r="K1020" s="7">
        <f>IF(A1020="","",IF(OR(B1020="",C1020="",D1020="",E1020=""),"Missing info",IF(ISNA(MATCH(B1020,Staff!$A$2:$A$101,0)),"Unknown employee",IF(H1020="?","Unknown site",IF(G1020&lt;=0,"Check times",IF(G1020&gt;12,"Over 12h",IF(COUNTIFS($L$2:$L$2001,L1020)&gt;1,"Duplicate?",IF(A1020&gt;TODAY(),"Future date","OK"))))))))</f>
        <v/>
      </c>
      <c r="L1020">
        <f>IF(A1020="","",TEXT(A1020,"yyyy-mm-dd")&amp;"|"&amp;B1020&amp;"|"&amp;C1020)</f>
        <v/>
      </c>
    </row>
    <row r="1021">
      <c r="A1021" s="4" t="n"/>
      <c r="D1021" s="5" t="n"/>
      <c r="E1021" s="5" t="n"/>
      <c r="G1021" s="6">
        <f>IF(OR(A1021="",D1021="",E1021=""),"",ROUND(MOD(E1021-D1021,1)*24-N(F1021)/60,2))</f>
        <v/>
      </c>
      <c r="H1021" s="7">
        <f>IF(C1021="","",IFERROR(INDEX(Sites!$B$2:$B$501,MATCH(C1021,Sites!$A$2:$A$501,0)),"?"))</f>
        <v/>
      </c>
      <c r="I1021" s="8">
        <f>IF(A1021="","",A1021-WEEKDAY(A1021,3))</f>
        <v/>
      </c>
      <c r="K1021" s="7">
        <f>IF(A1021="","",IF(OR(B1021="",C1021="",D1021="",E1021=""),"Missing info",IF(ISNA(MATCH(B1021,Staff!$A$2:$A$101,0)),"Unknown employee",IF(H1021="?","Unknown site",IF(G1021&lt;=0,"Check times",IF(G1021&gt;12,"Over 12h",IF(COUNTIFS($L$2:$L$2001,L1021)&gt;1,"Duplicate?",IF(A1021&gt;TODAY(),"Future date","OK"))))))))</f>
        <v/>
      </c>
      <c r="L1021">
        <f>IF(A1021="","",TEXT(A1021,"yyyy-mm-dd")&amp;"|"&amp;B1021&amp;"|"&amp;C1021)</f>
        <v/>
      </c>
    </row>
    <row r="1022">
      <c r="A1022" s="4" t="n"/>
      <c r="D1022" s="5" t="n"/>
      <c r="E1022" s="5" t="n"/>
      <c r="G1022" s="6">
        <f>IF(OR(A1022="",D1022="",E1022=""),"",ROUND(MOD(E1022-D1022,1)*24-N(F1022)/60,2))</f>
        <v/>
      </c>
      <c r="H1022" s="7">
        <f>IF(C1022="","",IFERROR(INDEX(Sites!$B$2:$B$501,MATCH(C1022,Sites!$A$2:$A$501,0)),"?"))</f>
        <v/>
      </c>
      <c r="I1022" s="8">
        <f>IF(A1022="","",A1022-WEEKDAY(A1022,3))</f>
        <v/>
      </c>
      <c r="K1022" s="7">
        <f>IF(A1022="","",IF(OR(B1022="",C1022="",D1022="",E1022=""),"Missing info",IF(ISNA(MATCH(B1022,Staff!$A$2:$A$101,0)),"Unknown employee",IF(H1022="?","Unknown site",IF(G1022&lt;=0,"Check times",IF(G1022&gt;12,"Over 12h",IF(COUNTIFS($L$2:$L$2001,L1022)&gt;1,"Duplicate?",IF(A1022&gt;TODAY(),"Future date","OK"))))))))</f>
        <v/>
      </c>
      <c r="L1022">
        <f>IF(A1022="","",TEXT(A1022,"yyyy-mm-dd")&amp;"|"&amp;B1022&amp;"|"&amp;C1022)</f>
        <v/>
      </c>
    </row>
    <row r="1023">
      <c r="A1023" s="4" t="n"/>
      <c r="D1023" s="5" t="n"/>
      <c r="E1023" s="5" t="n"/>
      <c r="G1023" s="6">
        <f>IF(OR(A1023="",D1023="",E1023=""),"",ROUND(MOD(E1023-D1023,1)*24-N(F1023)/60,2))</f>
        <v/>
      </c>
      <c r="H1023" s="7">
        <f>IF(C1023="","",IFERROR(INDEX(Sites!$B$2:$B$501,MATCH(C1023,Sites!$A$2:$A$501,0)),"?"))</f>
        <v/>
      </c>
      <c r="I1023" s="8">
        <f>IF(A1023="","",A1023-WEEKDAY(A1023,3))</f>
        <v/>
      </c>
      <c r="K1023" s="7">
        <f>IF(A1023="","",IF(OR(B1023="",C1023="",D1023="",E1023=""),"Missing info",IF(ISNA(MATCH(B1023,Staff!$A$2:$A$101,0)),"Unknown employee",IF(H1023="?","Unknown site",IF(G1023&lt;=0,"Check times",IF(G1023&gt;12,"Over 12h",IF(COUNTIFS($L$2:$L$2001,L1023)&gt;1,"Duplicate?",IF(A1023&gt;TODAY(),"Future date","OK"))))))))</f>
        <v/>
      </c>
      <c r="L1023">
        <f>IF(A1023="","",TEXT(A1023,"yyyy-mm-dd")&amp;"|"&amp;B1023&amp;"|"&amp;C1023)</f>
        <v/>
      </c>
    </row>
    <row r="1024">
      <c r="A1024" s="4" t="n"/>
      <c r="D1024" s="5" t="n"/>
      <c r="E1024" s="5" t="n"/>
      <c r="G1024" s="6">
        <f>IF(OR(A1024="",D1024="",E1024=""),"",ROUND(MOD(E1024-D1024,1)*24-N(F1024)/60,2))</f>
        <v/>
      </c>
      <c r="H1024" s="7">
        <f>IF(C1024="","",IFERROR(INDEX(Sites!$B$2:$B$501,MATCH(C1024,Sites!$A$2:$A$501,0)),"?"))</f>
        <v/>
      </c>
      <c r="I1024" s="8">
        <f>IF(A1024="","",A1024-WEEKDAY(A1024,3))</f>
        <v/>
      </c>
      <c r="K1024" s="7">
        <f>IF(A1024="","",IF(OR(B1024="",C1024="",D1024="",E1024=""),"Missing info",IF(ISNA(MATCH(B1024,Staff!$A$2:$A$101,0)),"Unknown employee",IF(H1024="?","Unknown site",IF(G1024&lt;=0,"Check times",IF(G1024&gt;12,"Over 12h",IF(COUNTIFS($L$2:$L$2001,L1024)&gt;1,"Duplicate?",IF(A1024&gt;TODAY(),"Future date","OK"))))))))</f>
        <v/>
      </c>
      <c r="L1024">
        <f>IF(A1024="","",TEXT(A1024,"yyyy-mm-dd")&amp;"|"&amp;B1024&amp;"|"&amp;C1024)</f>
        <v/>
      </c>
    </row>
    <row r="1025">
      <c r="A1025" s="4" t="n"/>
      <c r="D1025" s="5" t="n"/>
      <c r="E1025" s="5" t="n"/>
      <c r="G1025" s="6">
        <f>IF(OR(A1025="",D1025="",E1025=""),"",ROUND(MOD(E1025-D1025,1)*24-N(F1025)/60,2))</f>
        <v/>
      </c>
      <c r="H1025" s="7">
        <f>IF(C1025="","",IFERROR(INDEX(Sites!$B$2:$B$501,MATCH(C1025,Sites!$A$2:$A$501,0)),"?"))</f>
        <v/>
      </c>
      <c r="I1025" s="8">
        <f>IF(A1025="","",A1025-WEEKDAY(A1025,3))</f>
        <v/>
      </c>
      <c r="K1025" s="7">
        <f>IF(A1025="","",IF(OR(B1025="",C1025="",D1025="",E1025=""),"Missing info",IF(ISNA(MATCH(B1025,Staff!$A$2:$A$101,0)),"Unknown employee",IF(H1025="?","Unknown site",IF(G1025&lt;=0,"Check times",IF(G1025&gt;12,"Over 12h",IF(COUNTIFS($L$2:$L$2001,L1025)&gt;1,"Duplicate?",IF(A1025&gt;TODAY(),"Future date","OK"))))))))</f>
        <v/>
      </c>
      <c r="L1025">
        <f>IF(A1025="","",TEXT(A1025,"yyyy-mm-dd")&amp;"|"&amp;B1025&amp;"|"&amp;C1025)</f>
        <v/>
      </c>
    </row>
    <row r="1026">
      <c r="A1026" s="4" t="n"/>
      <c r="D1026" s="5" t="n"/>
      <c r="E1026" s="5" t="n"/>
      <c r="G1026" s="6">
        <f>IF(OR(A1026="",D1026="",E1026=""),"",ROUND(MOD(E1026-D1026,1)*24-N(F1026)/60,2))</f>
        <v/>
      </c>
      <c r="H1026" s="7">
        <f>IF(C1026="","",IFERROR(INDEX(Sites!$B$2:$B$501,MATCH(C1026,Sites!$A$2:$A$501,0)),"?"))</f>
        <v/>
      </c>
      <c r="I1026" s="8">
        <f>IF(A1026="","",A1026-WEEKDAY(A1026,3))</f>
        <v/>
      </c>
      <c r="K1026" s="7">
        <f>IF(A1026="","",IF(OR(B1026="",C1026="",D1026="",E1026=""),"Missing info",IF(ISNA(MATCH(B1026,Staff!$A$2:$A$101,0)),"Unknown employee",IF(H1026="?","Unknown site",IF(G1026&lt;=0,"Check times",IF(G1026&gt;12,"Over 12h",IF(COUNTIFS($L$2:$L$2001,L1026)&gt;1,"Duplicate?",IF(A1026&gt;TODAY(),"Future date","OK"))))))))</f>
        <v/>
      </c>
      <c r="L1026">
        <f>IF(A1026="","",TEXT(A1026,"yyyy-mm-dd")&amp;"|"&amp;B1026&amp;"|"&amp;C1026)</f>
        <v/>
      </c>
    </row>
    <row r="1027">
      <c r="A1027" s="4" t="n"/>
      <c r="D1027" s="5" t="n"/>
      <c r="E1027" s="5" t="n"/>
      <c r="G1027" s="6">
        <f>IF(OR(A1027="",D1027="",E1027=""),"",ROUND(MOD(E1027-D1027,1)*24-N(F1027)/60,2))</f>
        <v/>
      </c>
      <c r="H1027" s="7">
        <f>IF(C1027="","",IFERROR(INDEX(Sites!$B$2:$B$501,MATCH(C1027,Sites!$A$2:$A$501,0)),"?"))</f>
        <v/>
      </c>
      <c r="I1027" s="8">
        <f>IF(A1027="","",A1027-WEEKDAY(A1027,3))</f>
        <v/>
      </c>
      <c r="K1027" s="7">
        <f>IF(A1027="","",IF(OR(B1027="",C1027="",D1027="",E1027=""),"Missing info",IF(ISNA(MATCH(B1027,Staff!$A$2:$A$101,0)),"Unknown employee",IF(H1027="?","Unknown site",IF(G1027&lt;=0,"Check times",IF(G1027&gt;12,"Over 12h",IF(COUNTIFS($L$2:$L$2001,L1027)&gt;1,"Duplicate?",IF(A1027&gt;TODAY(),"Future date","OK"))))))))</f>
        <v/>
      </c>
      <c r="L1027">
        <f>IF(A1027="","",TEXT(A1027,"yyyy-mm-dd")&amp;"|"&amp;B1027&amp;"|"&amp;C1027)</f>
        <v/>
      </c>
    </row>
    <row r="1028">
      <c r="A1028" s="4" t="n"/>
      <c r="D1028" s="5" t="n"/>
      <c r="E1028" s="5" t="n"/>
      <c r="G1028" s="6">
        <f>IF(OR(A1028="",D1028="",E1028=""),"",ROUND(MOD(E1028-D1028,1)*24-N(F1028)/60,2))</f>
        <v/>
      </c>
      <c r="H1028" s="7">
        <f>IF(C1028="","",IFERROR(INDEX(Sites!$B$2:$B$501,MATCH(C1028,Sites!$A$2:$A$501,0)),"?"))</f>
        <v/>
      </c>
      <c r="I1028" s="8">
        <f>IF(A1028="","",A1028-WEEKDAY(A1028,3))</f>
        <v/>
      </c>
      <c r="K1028" s="7">
        <f>IF(A1028="","",IF(OR(B1028="",C1028="",D1028="",E1028=""),"Missing info",IF(ISNA(MATCH(B1028,Staff!$A$2:$A$101,0)),"Unknown employee",IF(H1028="?","Unknown site",IF(G1028&lt;=0,"Check times",IF(G1028&gt;12,"Over 12h",IF(COUNTIFS($L$2:$L$2001,L1028)&gt;1,"Duplicate?",IF(A1028&gt;TODAY(),"Future date","OK"))))))))</f>
        <v/>
      </c>
      <c r="L1028">
        <f>IF(A1028="","",TEXT(A1028,"yyyy-mm-dd")&amp;"|"&amp;B1028&amp;"|"&amp;C1028)</f>
        <v/>
      </c>
    </row>
    <row r="1029">
      <c r="A1029" s="4" t="n"/>
      <c r="D1029" s="5" t="n"/>
      <c r="E1029" s="5" t="n"/>
      <c r="G1029" s="6">
        <f>IF(OR(A1029="",D1029="",E1029=""),"",ROUND(MOD(E1029-D1029,1)*24-N(F1029)/60,2))</f>
        <v/>
      </c>
      <c r="H1029" s="7">
        <f>IF(C1029="","",IFERROR(INDEX(Sites!$B$2:$B$501,MATCH(C1029,Sites!$A$2:$A$501,0)),"?"))</f>
        <v/>
      </c>
      <c r="I1029" s="8">
        <f>IF(A1029="","",A1029-WEEKDAY(A1029,3))</f>
        <v/>
      </c>
      <c r="K1029" s="7">
        <f>IF(A1029="","",IF(OR(B1029="",C1029="",D1029="",E1029=""),"Missing info",IF(ISNA(MATCH(B1029,Staff!$A$2:$A$101,0)),"Unknown employee",IF(H1029="?","Unknown site",IF(G1029&lt;=0,"Check times",IF(G1029&gt;12,"Over 12h",IF(COUNTIFS($L$2:$L$2001,L1029)&gt;1,"Duplicate?",IF(A1029&gt;TODAY(),"Future date","OK"))))))))</f>
        <v/>
      </c>
      <c r="L1029">
        <f>IF(A1029="","",TEXT(A1029,"yyyy-mm-dd")&amp;"|"&amp;B1029&amp;"|"&amp;C1029)</f>
        <v/>
      </c>
    </row>
    <row r="1030">
      <c r="A1030" s="4" t="n"/>
      <c r="D1030" s="5" t="n"/>
      <c r="E1030" s="5" t="n"/>
      <c r="G1030" s="6">
        <f>IF(OR(A1030="",D1030="",E1030=""),"",ROUND(MOD(E1030-D1030,1)*24-N(F1030)/60,2))</f>
        <v/>
      </c>
      <c r="H1030" s="7">
        <f>IF(C1030="","",IFERROR(INDEX(Sites!$B$2:$B$501,MATCH(C1030,Sites!$A$2:$A$501,0)),"?"))</f>
        <v/>
      </c>
      <c r="I1030" s="8">
        <f>IF(A1030="","",A1030-WEEKDAY(A1030,3))</f>
        <v/>
      </c>
      <c r="K1030" s="7">
        <f>IF(A1030="","",IF(OR(B1030="",C1030="",D1030="",E1030=""),"Missing info",IF(ISNA(MATCH(B1030,Staff!$A$2:$A$101,0)),"Unknown employee",IF(H1030="?","Unknown site",IF(G1030&lt;=0,"Check times",IF(G1030&gt;12,"Over 12h",IF(COUNTIFS($L$2:$L$2001,L1030)&gt;1,"Duplicate?",IF(A1030&gt;TODAY(),"Future date","OK"))))))))</f>
        <v/>
      </c>
      <c r="L1030">
        <f>IF(A1030="","",TEXT(A1030,"yyyy-mm-dd")&amp;"|"&amp;B1030&amp;"|"&amp;C1030)</f>
        <v/>
      </c>
    </row>
    <row r="1031">
      <c r="A1031" s="4" t="n"/>
      <c r="D1031" s="5" t="n"/>
      <c r="E1031" s="5" t="n"/>
      <c r="G1031" s="6">
        <f>IF(OR(A1031="",D1031="",E1031=""),"",ROUND(MOD(E1031-D1031,1)*24-N(F1031)/60,2))</f>
        <v/>
      </c>
      <c r="H1031" s="7">
        <f>IF(C1031="","",IFERROR(INDEX(Sites!$B$2:$B$501,MATCH(C1031,Sites!$A$2:$A$501,0)),"?"))</f>
        <v/>
      </c>
      <c r="I1031" s="8">
        <f>IF(A1031="","",A1031-WEEKDAY(A1031,3))</f>
        <v/>
      </c>
      <c r="K1031" s="7">
        <f>IF(A1031="","",IF(OR(B1031="",C1031="",D1031="",E1031=""),"Missing info",IF(ISNA(MATCH(B1031,Staff!$A$2:$A$101,0)),"Unknown employee",IF(H1031="?","Unknown site",IF(G1031&lt;=0,"Check times",IF(G1031&gt;12,"Over 12h",IF(COUNTIFS($L$2:$L$2001,L1031)&gt;1,"Duplicate?",IF(A1031&gt;TODAY(),"Future date","OK"))))))))</f>
        <v/>
      </c>
      <c r="L1031">
        <f>IF(A1031="","",TEXT(A1031,"yyyy-mm-dd")&amp;"|"&amp;B1031&amp;"|"&amp;C1031)</f>
        <v/>
      </c>
    </row>
    <row r="1032">
      <c r="A1032" s="4" t="n"/>
      <c r="D1032" s="5" t="n"/>
      <c r="E1032" s="5" t="n"/>
      <c r="G1032" s="6">
        <f>IF(OR(A1032="",D1032="",E1032=""),"",ROUND(MOD(E1032-D1032,1)*24-N(F1032)/60,2))</f>
        <v/>
      </c>
      <c r="H1032" s="7">
        <f>IF(C1032="","",IFERROR(INDEX(Sites!$B$2:$B$501,MATCH(C1032,Sites!$A$2:$A$501,0)),"?"))</f>
        <v/>
      </c>
      <c r="I1032" s="8">
        <f>IF(A1032="","",A1032-WEEKDAY(A1032,3))</f>
        <v/>
      </c>
      <c r="K1032" s="7">
        <f>IF(A1032="","",IF(OR(B1032="",C1032="",D1032="",E1032=""),"Missing info",IF(ISNA(MATCH(B1032,Staff!$A$2:$A$101,0)),"Unknown employee",IF(H1032="?","Unknown site",IF(G1032&lt;=0,"Check times",IF(G1032&gt;12,"Over 12h",IF(COUNTIFS($L$2:$L$2001,L1032)&gt;1,"Duplicate?",IF(A1032&gt;TODAY(),"Future date","OK"))))))))</f>
        <v/>
      </c>
      <c r="L1032">
        <f>IF(A1032="","",TEXT(A1032,"yyyy-mm-dd")&amp;"|"&amp;B1032&amp;"|"&amp;C1032)</f>
        <v/>
      </c>
    </row>
    <row r="1033">
      <c r="A1033" s="4" t="n"/>
      <c r="D1033" s="5" t="n"/>
      <c r="E1033" s="5" t="n"/>
      <c r="G1033" s="6">
        <f>IF(OR(A1033="",D1033="",E1033=""),"",ROUND(MOD(E1033-D1033,1)*24-N(F1033)/60,2))</f>
        <v/>
      </c>
      <c r="H1033" s="7">
        <f>IF(C1033="","",IFERROR(INDEX(Sites!$B$2:$B$501,MATCH(C1033,Sites!$A$2:$A$501,0)),"?"))</f>
        <v/>
      </c>
      <c r="I1033" s="8">
        <f>IF(A1033="","",A1033-WEEKDAY(A1033,3))</f>
        <v/>
      </c>
      <c r="K1033" s="7">
        <f>IF(A1033="","",IF(OR(B1033="",C1033="",D1033="",E1033=""),"Missing info",IF(ISNA(MATCH(B1033,Staff!$A$2:$A$101,0)),"Unknown employee",IF(H1033="?","Unknown site",IF(G1033&lt;=0,"Check times",IF(G1033&gt;12,"Over 12h",IF(COUNTIFS($L$2:$L$2001,L1033)&gt;1,"Duplicate?",IF(A1033&gt;TODAY(),"Future date","OK"))))))))</f>
        <v/>
      </c>
      <c r="L1033">
        <f>IF(A1033="","",TEXT(A1033,"yyyy-mm-dd")&amp;"|"&amp;B1033&amp;"|"&amp;C1033)</f>
        <v/>
      </c>
    </row>
    <row r="1034">
      <c r="A1034" s="4" t="n"/>
      <c r="D1034" s="5" t="n"/>
      <c r="E1034" s="5" t="n"/>
      <c r="G1034" s="6">
        <f>IF(OR(A1034="",D1034="",E1034=""),"",ROUND(MOD(E1034-D1034,1)*24-N(F1034)/60,2))</f>
        <v/>
      </c>
      <c r="H1034" s="7">
        <f>IF(C1034="","",IFERROR(INDEX(Sites!$B$2:$B$501,MATCH(C1034,Sites!$A$2:$A$501,0)),"?"))</f>
        <v/>
      </c>
      <c r="I1034" s="8">
        <f>IF(A1034="","",A1034-WEEKDAY(A1034,3))</f>
        <v/>
      </c>
      <c r="K1034" s="7">
        <f>IF(A1034="","",IF(OR(B1034="",C1034="",D1034="",E1034=""),"Missing info",IF(ISNA(MATCH(B1034,Staff!$A$2:$A$101,0)),"Unknown employee",IF(H1034="?","Unknown site",IF(G1034&lt;=0,"Check times",IF(G1034&gt;12,"Over 12h",IF(COUNTIFS($L$2:$L$2001,L1034)&gt;1,"Duplicate?",IF(A1034&gt;TODAY(),"Future date","OK"))))))))</f>
        <v/>
      </c>
      <c r="L1034">
        <f>IF(A1034="","",TEXT(A1034,"yyyy-mm-dd")&amp;"|"&amp;B1034&amp;"|"&amp;C1034)</f>
        <v/>
      </c>
    </row>
    <row r="1035">
      <c r="A1035" s="4" t="n"/>
      <c r="D1035" s="5" t="n"/>
      <c r="E1035" s="5" t="n"/>
      <c r="G1035" s="6">
        <f>IF(OR(A1035="",D1035="",E1035=""),"",ROUND(MOD(E1035-D1035,1)*24-N(F1035)/60,2))</f>
        <v/>
      </c>
      <c r="H1035" s="7">
        <f>IF(C1035="","",IFERROR(INDEX(Sites!$B$2:$B$501,MATCH(C1035,Sites!$A$2:$A$501,0)),"?"))</f>
        <v/>
      </c>
      <c r="I1035" s="8">
        <f>IF(A1035="","",A1035-WEEKDAY(A1035,3))</f>
        <v/>
      </c>
      <c r="K1035" s="7">
        <f>IF(A1035="","",IF(OR(B1035="",C1035="",D1035="",E1035=""),"Missing info",IF(ISNA(MATCH(B1035,Staff!$A$2:$A$101,0)),"Unknown employee",IF(H1035="?","Unknown site",IF(G1035&lt;=0,"Check times",IF(G1035&gt;12,"Over 12h",IF(COUNTIFS($L$2:$L$2001,L1035)&gt;1,"Duplicate?",IF(A1035&gt;TODAY(),"Future date","OK"))))))))</f>
        <v/>
      </c>
      <c r="L1035">
        <f>IF(A1035="","",TEXT(A1035,"yyyy-mm-dd")&amp;"|"&amp;B1035&amp;"|"&amp;C1035)</f>
        <v/>
      </c>
    </row>
    <row r="1036">
      <c r="A1036" s="4" t="n"/>
      <c r="D1036" s="5" t="n"/>
      <c r="E1036" s="5" t="n"/>
      <c r="G1036" s="6">
        <f>IF(OR(A1036="",D1036="",E1036=""),"",ROUND(MOD(E1036-D1036,1)*24-N(F1036)/60,2))</f>
        <v/>
      </c>
      <c r="H1036" s="7">
        <f>IF(C1036="","",IFERROR(INDEX(Sites!$B$2:$B$501,MATCH(C1036,Sites!$A$2:$A$501,0)),"?"))</f>
        <v/>
      </c>
      <c r="I1036" s="8">
        <f>IF(A1036="","",A1036-WEEKDAY(A1036,3))</f>
        <v/>
      </c>
      <c r="K1036" s="7">
        <f>IF(A1036="","",IF(OR(B1036="",C1036="",D1036="",E1036=""),"Missing info",IF(ISNA(MATCH(B1036,Staff!$A$2:$A$101,0)),"Unknown employee",IF(H1036="?","Unknown site",IF(G1036&lt;=0,"Check times",IF(G1036&gt;12,"Over 12h",IF(COUNTIFS($L$2:$L$2001,L1036)&gt;1,"Duplicate?",IF(A1036&gt;TODAY(),"Future date","OK"))))))))</f>
        <v/>
      </c>
      <c r="L1036">
        <f>IF(A1036="","",TEXT(A1036,"yyyy-mm-dd")&amp;"|"&amp;B1036&amp;"|"&amp;C1036)</f>
        <v/>
      </c>
    </row>
    <row r="1037">
      <c r="A1037" s="4" t="n"/>
      <c r="D1037" s="5" t="n"/>
      <c r="E1037" s="5" t="n"/>
      <c r="G1037" s="6">
        <f>IF(OR(A1037="",D1037="",E1037=""),"",ROUND(MOD(E1037-D1037,1)*24-N(F1037)/60,2))</f>
        <v/>
      </c>
      <c r="H1037" s="7">
        <f>IF(C1037="","",IFERROR(INDEX(Sites!$B$2:$B$501,MATCH(C1037,Sites!$A$2:$A$501,0)),"?"))</f>
        <v/>
      </c>
      <c r="I1037" s="8">
        <f>IF(A1037="","",A1037-WEEKDAY(A1037,3))</f>
        <v/>
      </c>
      <c r="K1037" s="7">
        <f>IF(A1037="","",IF(OR(B1037="",C1037="",D1037="",E1037=""),"Missing info",IF(ISNA(MATCH(B1037,Staff!$A$2:$A$101,0)),"Unknown employee",IF(H1037="?","Unknown site",IF(G1037&lt;=0,"Check times",IF(G1037&gt;12,"Over 12h",IF(COUNTIFS($L$2:$L$2001,L1037)&gt;1,"Duplicate?",IF(A1037&gt;TODAY(),"Future date","OK"))))))))</f>
        <v/>
      </c>
      <c r="L1037">
        <f>IF(A1037="","",TEXT(A1037,"yyyy-mm-dd")&amp;"|"&amp;B1037&amp;"|"&amp;C1037)</f>
        <v/>
      </c>
    </row>
    <row r="1038">
      <c r="A1038" s="4" t="n"/>
      <c r="D1038" s="5" t="n"/>
      <c r="E1038" s="5" t="n"/>
      <c r="G1038" s="6">
        <f>IF(OR(A1038="",D1038="",E1038=""),"",ROUND(MOD(E1038-D1038,1)*24-N(F1038)/60,2))</f>
        <v/>
      </c>
      <c r="H1038" s="7">
        <f>IF(C1038="","",IFERROR(INDEX(Sites!$B$2:$B$501,MATCH(C1038,Sites!$A$2:$A$501,0)),"?"))</f>
        <v/>
      </c>
      <c r="I1038" s="8">
        <f>IF(A1038="","",A1038-WEEKDAY(A1038,3))</f>
        <v/>
      </c>
      <c r="K1038" s="7">
        <f>IF(A1038="","",IF(OR(B1038="",C1038="",D1038="",E1038=""),"Missing info",IF(ISNA(MATCH(B1038,Staff!$A$2:$A$101,0)),"Unknown employee",IF(H1038="?","Unknown site",IF(G1038&lt;=0,"Check times",IF(G1038&gt;12,"Over 12h",IF(COUNTIFS($L$2:$L$2001,L1038)&gt;1,"Duplicate?",IF(A1038&gt;TODAY(),"Future date","OK"))))))))</f>
        <v/>
      </c>
      <c r="L1038">
        <f>IF(A1038="","",TEXT(A1038,"yyyy-mm-dd")&amp;"|"&amp;B1038&amp;"|"&amp;C1038)</f>
        <v/>
      </c>
    </row>
    <row r="1039">
      <c r="A1039" s="4" t="n"/>
      <c r="D1039" s="5" t="n"/>
      <c r="E1039" s="5" t="n"/>
      <c r="G1039" s="6">
        <f>IF(OR(A1039="",D1039="",E1039=""),"",ROUND(MOD(E1039-D1039,1)*24-N(F1039)/60,2))</f>
        <v/>
      </c>
      <c r="H1039" s="7">
        <f>IF(C1039="","",IFERROR(INDEX(Sites!$B$2:$B$501,MATCH(C1039,Sites!$A$2:$A$501,0)),"?"))</f>
        <v/>
      </c>
      <c r="I1039" s="8">
        <f>IF(A1039="","",A1039-WEEKDAY(A1039,3))</f>
        <v/>
      </c>
      <c r="K1039" s="7">
        <f>IF(A1039="","",IF(OR(B1039="",C1039="",D1039="",E1039=""),"Missing info",IF(ISNA(MATCH(B1039,Staff!$A$2:$A$101,0)),"Unknown employee",IF(H1039="?","Unknown site",IF(G1039&lt;=0,"Check times",IF(G1039&gt;12,"Over 12h",IF(COUNTIFS($L$2:$L$2001,L1039)&gt;1,"Duplicate?",IF(A1039&gt;TODAY(),"Future date","OK"))))))))</f>
        <v/>
      </c>
      <c r="L1039">
        <f>IF(A1039="","",TEXT(A1039,"yyyy-mm-dd")&amp;"|"&amp;B1039&amp;"|"&amp;C1039)</f>
        <v/>
      </c>
    </row>
    <row r="1040">
      <c r="A1040" s="4" t="n"/>
      <c r="D1040" s="5" t="n"/>
      <c r="E1040" s="5" t="n"/>
      <c r="G1040" s="6">
        <f>IF(OR(A1040="",D1040="",E1040=""),"",ROUND(MOD(E1040-D1040,1)*24-N(F1040)/60,2))</f>
        <v/>
      </c>
      <c r="H1040" s="7">
        <f>IF(C1040="","",IFERROR(INDEX(Sites!$B$2:$B$501,MATCH(C1040,Sites!$A$2:$A$501,0)),"?"))</f>
        <v/>
      </c>
      <c r="I1040" s="8">
        <f>IF(A1040="","",A1040-WEEKDAY(A1040,3))</f>
        <v/>
      </c>
      <c r="K1040" s="7">
        <f>IF(A1040="","",IF(OR(B1040="",C1040="",D1040="",E1040=""),"Missing info",IF(ISNA(MATCH(B1040,Staff!$A$2:$A$101,0)),"Unknown employee",IF(H1040="?","Unknown site",IF(G1040&lt;=0,"Check times",IF(G1040&gt;12,"Over 12h",IF(COUNTIFS($L$2:$L$2001,L1040)&gt;1,"Duplicate?",IF(A1040&gt;TODAY(),"Future date","OK"))))))))</f>
        <v/>
      </c>
      <c r="L1040">
        <f>IF(A1040="","",TEXT(A1040,"yyyy-mm-dd")&amp;"|"&amp;B1040&amp;"|"&amp;C1040)</f>
        <v/>
      </c>
    </row>
    <row r="1041">
      <c r="A1041" s="4" t="n"/>
      <c r="D1041" s="5" t="n"/>
      <c r="E1041" s="5" t="n"/>
      <c r="G1041" s="6">
        <f>IF(OR(A1041="",D1041="",E1041=""),"",ROUND(MOD(E1041-D1041,1)*24-N(F1041)/60,2))</f>
        <v/>
      </c>
      <c r="H1041" s="7">
        <f>IF(C1041="","",IFERROR(INDEX(Sites!$B$2:$B$501,MATCH(C1041,Sites!$A$2:$A$501,0)),"?"))</f>
        <v/>
      </c>
      <c r="I1041" s="8">
        <f>IF(A1041="","",A1041-WEEKDAY(A1041,3))</f>
        <v/>
      </c>
      <c r="K1041" s="7">
        <f>IF(A1041="","",IF(OR(B1041="",C1041="",D1041="",E1041=""),"Missing info",IF(ISNA(MATCH(B1041,Staff!$A$2:$A$101,0)),"Unknown employee",IF(H1041="?","Unknown site",IF(G1041&lt;=0,"Check times",IF(G1041&gt;12,"Over 12h",IF(COUNTIFS($L$2:$L$2001,L1041)&gt;1,"Duplicate?",IF(A1041&gt;TODAY(),"Future date","OK"))))))))</f>
        <v/>
      </c>
      <c r="L1041">
        <f>IF(A1041="","",TEXT(A1041,"yyyy-mm-dd")&amp;"|"&amp;B1041&amp;"|"&amp;C1041)</f>
        <v/>
      </c>
    </row>
    <row r="1042">
      <c r="A1042" s="4" t="n"/>
      <c r="D1042" s="5" t="n"/>
      <c r="E1042" s="5" t="n"/>
      <c r="G1042" s="6">
        <f>IF(OR(A1042="",D1042="",E1042=""),"",ROUND(MOD(E1042-D1042,1)*24-N(F1042)/60,2))</f>
        <v/>
      </c>
      <c r="H1042" s="7">
        <f>IF(C1042="","",IFERROR(INDEX(Sites!$B$2:$B$501,MATCH(C1042,Sites!$A$2:$A$501,0)),"?"))</f>
        <v/>
      </c>
      <c r="I1042" s="8">
        <f>IF(A1042="","",A1042-WEEKDAY(A1042,3))</f>
        <v/>
      </c>
      <c r="K1042" s="7">
        <f>IF(A1042="","",IF(OR(B1042="",C1042="",D1042="",E1042=""),"Missing info",IF(ISNA(MATCH(B1042,Staff!$A$2:$A$101,0)),"Unknown employee",IF(H1042="?","Unknown site",IF(G1042&lt;=0,"Check times",IF(G1042&gt;12,"Over 12h",IF(COUNTIFS($L$2:$L$2001,L1042)&gt;1,"Duplicate?",IF(A1042&gt;TODAY(),"Future date","OK"))))))))</f>
        <v/>
      </c>
      <c r="L1042">
        <f>IF(A1042="","",TEXT(A1042,"yyyy-mm-dd")&amp;"|"&amp;B1042&amp;"|"&amp;C1042)</f>
        <v/>
      </c>
    </row>
    <row r="1043">
      <c r="A1043" s="4" t="n"/>
      <c r="D1043" s="5" t="n"/>
      <c r="E1043" s="5" t="n"/>
      <c r="G1043" s="6">
        <f>IF(OR(A1043="",D1043="",E1043=""),"",ROUND(MOD(E1043-D1043,1)*24-N(F1043)/60,2))</f>
        <v/>
      </c>
      <c r="H1043" s="7">
        <f>IF(C1043="","",IFERROR(INDEX(Sites!$B$2:$B$501,MATCH(C1043,Sites!$A$2:$A$501,0)),"?"))</f>
        <v/>
      </c>
      <c r="I1043" s="8">
        <f>IF(A1043="","",A1043-WEEKDAY(A1043,3))</f>
        <v/>
      </c>
      <c r="K1043" s="7">
        <f>IF(A1043="","",IF(OR(B1043="",C1043="",D1043="",E1043=""),"Missing info",IF(ISNA(MATCH(B1043,Staff!$A$2:$A$101,0)),"Unknown employee",IF(H1043="?","Unknown site",IF(G1043&lt;=0,"Check times",IF(G1043&gt;12,"Over 12h",IF(COUNTIFS($L$2:$L$2001,L1043)&gt;1,"Duplicate?",IF(A1043&gt;TODAY(),"Future date","OK"))))))))</f>
        <v/>
      </c>
      <c r="L1043">
        <f>IF(A1043="","",TEXT(A1043,"yyyy-mm-dd")&amp;"|"&amp;B1043&amp;"|"&amp;C1043)</f>
        <v/>
      </c>
    </row>
    <row r="1044">
      <c r="A1044" s="4" t="n"/>
      <c r="D1044" s="5" t="n"/>
      <c r="E1044" s="5" t="n"/>
      <c r="G1044" s="6">
        <f>IF(OR(A1044="",D1044="",E1044=""),"",ROUND(MOD(E1044-D1044,1)*24-N(F1044)/60,2))</f>
        <v/>
      </c>
      <c r="H1044" s="7">
        <f>IF(C1044="","",IFERROR(INDEX(Sites!$B$2:$B$501,MATCH(C1044,Sites!$A$2:$A$501,0)),"?"))</f>
        <v/>
      </c>
      <c r="I1044" s="8">
        <f>IF(A1044="","",A1044-WEEKDAY(A1044,3))</f>
        <v/>
      </c>
      <c r="K1044" s="7">
        <f>IF(A1044="","",IF(OR(B1044="",C1044="",D1044="",E1044=""),"Missing info",IF(ISNA(MATCH(B1044,Staff!$A$2:$A$101,0)),"Unknown employee",IF(H1044="?","Unknown site",IF(G1044&lt;=0,"Check times",IF(G1044&gt;12,"Over 12h",IF(COUNTIFS($L$2:$L$2001,L1044)&gt;1,"Duplicate?",IF(A1044&gt;TODAY(),"Future date","OK"))))))))</f>
        <v/>
      </c>
      <c r="L1044">
        <f>IF(A1044="","",TEXT(A1044,"yyyy-mm-dd")&amp;"|"&amp;B1044&amp;"|"&amp;C1044)</f>
        <v/>
      </c>
    </row>
    <row r="1045">
      <c r="A1045" s="4" t="n"/>
      <c r="D1045" s="5" t="n"/>
      <c r="E1045" s="5" t="n"/>
      <c r="G1045" s="6">
        <f>IF(OR(A1045="",D1045="",E1045=""),"",ROUND(MOD(E1045-D1045,1)*24-N(F1045)/60,2))</f>
        <v/>
      </c>
      <c r="H1045" s="7">
        <f>IF(C1045="","",IFERROR(INDEX(Sites!$B$2:$B$501,MATCH(C1045,Sites!$A$2:$A$501,0)),"?"))</f>
        <v/>
      </c>
      <c r="I1045" s="8">
        <f>IF(A1045="","",A1045-WEEKDAY(A1045,3))</f>
        <v/>
      </c>
      <c r="K1045" s="7">
        <f>IF(A1045="","",IF(OR(B1045="",C1045="",D1045="",E1045=""),"Missing info",IF(ISNA(MATCH(B1045,Staff!$A$2:$A$101,0)),"Unknown employee",IF(H1045="?","Unknown site",IF(G1045&lt;=0,"Check times",IF(G1045&gt;12,"Over 12h",IF(COUNTIFS($L$2:$L$2001,L1045)&gt;1,"Duplicate?",IF(A1045&gt;TODAY(),"Future date","OK"))))))))</f>
        <v/>
      </c>
      <c r="L1045">
        <f>IF(A1045="","",TEXT(A1045,"yyyy-mm-dd")&amp;"|"&amp;B1045&amp;"|"&amp;C1045)</f>
        <v/>
      </c>
    </row>
    <row r="1046">
      <c r="A1046" s="4" t="n"/>
      <c r="D1046" s="5" t="n"/>
      <c r="E1046" s="5" t="n"/>
      <c r="G1046" s="6">
        <f>IF(OR(A1046="",D1046="",E1046=""),"",ROUND(MOD(E1046-D1046,1)*24-N(F1046)/60,2))</f>
        <v/>
      </c>
      <c r="H1046" s="7">
        <f>IF(C1046="","",IFERROR(INDEX(Sites!$B$2:$B$501,MATCH(C1046,Sites!$A$2:$A$501,0)),"?"))</f>
        <v/>
      </c>
      <c r="I1046" s="8">
        <f>IF(A1046="","",A1046-WEEKDAY(A1046,3))</f>
        <v/>
      </c>
      <c r="K1046" s="7">
        <f>IF(A1046="","",IF(OR(B1046="",C1046="",D1046="",E1046=""),"Missing info",IF(ISNA(MATCH(B1046,Staff!$A$2:$A$101,0)),"Unknown employee",IF(H1046="?","Unknown site",IF(G1046&lt;=0,"Check times",IF(G1046&gt;12,"Over 12h",IF(COUNTIFS($L$2:$L$2001,L1046)&gt;1,"Duplicate?",IF(A1046&gt;TODAY(),"Future date","OK"))))))))</f>
        <v/>
      </c>
      <c r="L1046">
        <f>IF(A1046="","",TEXT(A1046,"yyyy-mm-dd")&amp;"|"&amp;B1046&amp;"|"&amp;C1046)</f>
        <v/>
      </c>
    </row>
    <row r="1047">
      <c r="A1047" s="4" t="n"/>
      <c r="D1047" s="5" t="n"/>
      <c r="E1047" s="5" t="n"/>
      <c r="G1047" s="6">
        <f>IF(OR(A1047="",D1047="",E1047=""),"",ROUND(MOD(E1047-D1047,1)*24-N(F1047)/60,2))</f>
        <v/>
      </c>
      <c r="H1047" s="7">
        <f>IF(C1047="","",IFERROR(INDEX(Sites!$B$2:$B$501,MATCH(C1047,Sites!$A$2:$A$501,0)),"?"))</f>
        <v/>
      </c>
      <c r="I1047" s="8">
        <f>IF(A1047="","",A1047-WEEKDAY(A1047,3))</f>
        <v/>
      </c>
      <c r="K1047" s="7">
        <f>IF(A1047="","",IF(OR(B1047="",C1047="",D1047="",E1047=""),"Missing info",IF(ISNA(MATCH(B1047,Staff!$A$2:$A$101,0)),"Unknown employee",IF(H1047="?","Unknown site",IF(G1047&lt;=0,"Check times",IF(G1047&gt;12,"Over 12h",IF(COUNTIFS($L$2:$L$2001,L1047)&gt;1,"Duplicate?",IF(A1047&gt;TODAY(),"Future date","OK"))))))))</f>
        <v/>
      </c>
      <c r="L1047">
        <f>IF(A1047="","",TEXT(A1047,"yyyy-mm-dd")&amp;"|"&amp;B1047&amp;"|"&amp;C1047)</f>
        <v/>
      </c>
    </row>
    <row r="1048">
      <c r="A1048" s="4" t="n"/>
      <c r="D1048" s="5" t="n"/>
      <c r="E1048" s="5" t="n"/>
      <c r="G1048" s="6">
        <f>IF(OR(A1048="",D1048="",E1048=""),"",ROUND(MOD(E1048-D1048,1)*24-N(F1048)/60,2))</f>
        <v/>
      </c>
      <c r="H1048" s="7">
        <f>IF(C1048="","",IFERROR(INDEX(Sites!$B$2:$B$501,MATCH(C1048,Sites!$A$2:$A$501,0)),"?"))</f>
        <v/>
      </c>
      <c r="I1048" s="8">
        <f>IF(A1048="","",A1048-WEEKDAY(A1048,3))</f>
        <v/>
      </c>
      <c r="K1048" s="7">
        <f>IF(A1048="","",IF(OR(B1048="",C1048="",D1048="",E1048=""),"Missing info",IF(ISNA(MATCH(B1048,Staff!$A$2:$A$101,0)),"Unknown employee",IF(H1048="?","Unknown site",IF(G1048&lt;=0,"Check times",IF(G1048&gt;12,"Over 12h",IF(COUNTIFS($L$2:$L$2001,L1048)&gt;1,"Duplicate?",IF(A1048&gt;TODAY(),"Future date","OK"))))))))</f>
        <v/>
      </c>
      <c r="L1048">
        <f>IF(A1048="","",TEXT(A1048,"yyyy-mm-dd")&amp;"|"&amp;B1048&amp;"|"&amp;C1048)</f>
        <v/>
      </c>
    </row>
    <row r="1049">
      <c r="A1049" s="4" t="n"/>
      <c r="D1049" s="5" t="n"/>
      <c r="E1049" s="5" t="n"/>
      <c r="G1049" s="6">
        <f>IF(OR(A1049="",D1049="",E1049=""),"",ROUND(MOD(E1049-D1049,1)*24-N(F1049)/60,2))</f>
        <v/>
      </c>
      <c r="H1049" s="7">
        <f>IF(C1049="","",IFERROR(INDEX(Sites!$B$2:$B$501,MATCH(C1049,Sites!$A$2:$A$501,0)),"?"))</f>
        <v/>
      </c>
      <c r="I1049" s="8">
        <f>IF(A1049="","",A1049-WEEKDAY(A1049,3))</f>
        <v/>
      </c>
      <c r="K1049" s="7">
        <f>IF(A1049="","",IF(OR(B1049="",C1049="",D1049="",E1049=""),"Missing info",IF(ISNA(MATCH(B1049,Staff!$A$2:$A$101,0)),"Unknown employee",IF(H1049="?","Unknown site",IF(G1049&lt;=0,"Check times",IF(G1049&gt;12,"Over 12h",IF(COUNTIFS($L$2:$L$2001,L1049)&gt;1,"Duplicate?",IF(A1049&gt;TODAY(),"Future date","OK"))))))))</f>
        <v/>
      </c>
      <c r="L1049">
        <f>IF(A1049="","",TEXT(A1049,"yyyy-mm-dd")&amp;"|"&amp;B1049&amp;"|"&amp;C1049)</f>
        <v/>
      </c>
    </row>
    <row r="1050">
      <c r="A1050" s="4" t="n"/>
      <c r="D1050" s="5" t="n"/>
      <c r="E1050" s="5" t="n"/>
      <c r="G1050" s="6">
        <f>IF(OR(A1050="",D1050="",E1050=""),"",ROUND(MOD(E1050-D1050,1)*24-N(F1050)/60,2))</f>
        <v/>
      </c>
      <c r="H1050" s="7">
        <f>IF(C1050="","",IFERROR(INDEX(Sites!$B$2:$B$501,MATCH(C1050,Sites!$A$2:$A$501,0)),"?"))</f>
        <v/>
      </c>
      <c r="I1050" s="8">
        <f>IF(A1050="","",A1050-WEEKDAY(A1050,3))</f>
        <v/>
      </c>
      <c r="K1050" s="7">
        <f>IF(A1050="","",IF(OR(B1050="",C1050="",D1050="",E1050=""),"Missing info",IF(ISNA(MATCH(B1050,Staff!$A$2:$A$101,0)),"Unknown employee",IF(H1050="?","Unknown site",IF(G1050&lt;=0,"Check times",IF(G1050&gt;12,"Over 12h",IF(COUNTIFS($L$2:$L$2001,L1050)&gt;1,"Duplicate?",IF(A1050&gt;TODAY(),"Future date","OK"))))))))</f>
        <v/>
      </c>
      <c r="L1050">
        <f>IF(A1050="","",TEXT(A1050,"yyyy-mm-dd")&amp;"|"&amp;B1050&amp;"|"&amp;C1050)</f>
        <v/>
      </c>
    </row>
    <row r="1051">
      <c r="A1051" s="4" t="n"/>
      <c r="D1051" s="5" t="n"/>
      <c r="E1051" s="5" t="n"/>
      <c r="G1051" s="6">
        <f>IF(OR(A1051="",D1051="",E1051=""),"",ROUND(MOD(E1051-D1051,1)*24-N(F1051)/60,2))</f>
        <v/>
      </c>
      <c r="H1051" s="7">
        <f>IF(C1051="","",IFERROR(INDEX(Sites!$B$2:$B$501,MATCH(C1051,Sites!$A$2:$A$501,0)),"?"))</f>
        <v/>
      </c>
      <c r="I1051" s="8">
        <f>IF(A1051="","",A1051-WEEKDAY(A1051,3))</f>
        <v/>
      </c>
      <c r="K1051" s="7">
        <f>IF(A1051="","",IF(OR(B1051="",C1051="",D1051="",E1051=""),"Missing info",IF(ISNA(MATCH(B1051,Staff!$A$2:$A$101,0)),"Unknown employee",IF(H1051="?","Unknown site",IF(G1051&lt;=0,"Check times",IF(G1051&gt;12,"Over 12h",IF(COUNTIFS($L$2:$L$2001,L1051)&gt;1,"Duplicate?",IF(A1051&gt;TODAY(),"Future date","OK"))))))))</f>
        <v/>
      </c>
      <c r="L1051">
        <f>IF(A1051="","",TEXT(A1051,"yyyy-mm-dd")&amp;"|"&amp;B1051&amp;"|"&amp;C1051)</f>
        <v/>
      </c>
    </row>
    <row r="1052">
      <c r="A1052" s="4" t="n"/>
      <c r="D1052" s="5" t="n"/>
      <c r="E1052" s="5" t="n"/>
      <c r="G1052" s="6">
        <f>IF(OR(A1052="",D1052="",E1052=""),"",ROUND(MOD(E1052-D1052,1)*24-N(F1052)/60,2))</f>
        <v/>
      </c>
      <c r="H1052" s="7">
        <f>IF(C1052="","",IFERROR(INDEX(Sites!$B$2:$B$501,MATCH(C1052,Sites!$A$2:$A$501,0)),"?"))</f>
        <v/>
      </c>
      <c r="I1052" s="8">
        <f>IF(A1052="","",A1052-WEEKDAY(A1052,3))</f>
        <v/>
      </c>
      <c r="K1052" s="7">
        <f>IF(A1052="","",IF(OR(B1052="",C1052="",D1052="",E1052=""),"Missing info",IF(ISNA(MATCH(B1052,Staff!$A$2:$A$101,0)),"Unknown employee",IF(H1052="?","Unknown site",IF(G1052&lt;=0,"Check times",IF(G1052&gt;12,"Over 12h",IF(COUNTIFS($L$2:$L$2001,L1052)&gt;1,"Duplicate?",IF(A1052&gt;TODAY(),"Future date","OK"))))))))</f>
        <v/>
      </c>
      <c r="L1052">
        <f>IF(A1052="","",TEXT(A1052,"yyyy-mm-dd")&amp;"|"&amp;B1052&amp;"|"&amp;C1052)</f>
        <v/>
      </c>
    </row>
    <row r="1053">
      <c r="A1053" s="4" t="n"/>
      <c r="D1053" s="5" t="n"/>
      <c r="E1053" s="5" t="n"/>
      <c r="G1053" s="6">
        <f>IF(OR(A1053="",D1053="",E1053=""),"",ROUND(MOD(E1053-D1053,1)*24-N(F1053)/60,2))</f>
        <v/>
      </c>
      <c r="H1053" s="7">
        <f>IF(C1053="","",IFERROR(INDEX(Sites!$B$2:$B$501,MATCH(C1053,Sites!$A$2:$A$501,0)),"?"))</f>
        <v/>
      </c>
      <c r="I1053" s="8">
        <f>IF(A1053="","",A1053-WEEKDAY(A1053,3))</f>
        <v/>
      </c>
      <c r="K1053" s="7">
        <f>IF(A1053="","",IF(OR(B1053="",C1053="",D1053="",E1053=""),"Missing info",IF(ISNA(MATCH(B1053,Staff!$A$2:$A$101,0)),"Unknown employee",IF(H1053="?","Unknown site",IF(G1053&lt;=0,"Check times",IF(G1053&gt;12,"Over 12h",IF(COUNTIFS($L$2:$L$2001,L1053)&gt;1,"Duplicate?",IF(A1053&gt;TODAY(),"Future date","OK"))))))))</f>
        <v/>
      </c>
      <c r="L1053">
        <f>IF(A1053="","",TEXT(A1053,"yyyy-mm-dd")&amp;"|"&amp;B1053&amp;"|"&amp;C1053)</f>
        <v/>
      </c>
    </row>
    <row r="1054">
      <c r="A1054" s="4" t="n"/>
      <c r="D1054" s="5" t="n"/>
      <c r="E1054" s="5" t="n"/>
      <c r="G1054" s="6">
        <f>IF(OR(A1054="",D1054="",E1054=""),"",ROUND(MOD(E1054-D1054,1)*24-N(F1054)/60,2))</f>
        <v/>
      </c>
      <c r="H1054" s="7">
        <f>IF(C1054="","",IFERROR(INDEX(Sites!$B$2:$B$501,MATCH(C1054,Sites!$A$2:$A$501,0)),"?"))</f>
        <v/>
      </c>
      <c r="I1054" s="8">
        <f>IF(A1054="","",A1054-WEEKDAY(A1054,3))</f>
        <v/>
      </c>
      <c r="K1054" s="7">
        <f>IF(A1054="","",IF(OR(B1054="",C1054="",D1054="",E1054=""),"Missing info",IF(ISNA(MATCH(B1054,Staff!$A$2:$A$101,0)),"Unknown employee",IF(H1054="?","Unknown site",IF(G1054&lt;=0,"Check times",IF(G1054&gt;12,"Over 12h",IF(COUNTIFS($L$2:$L$2001,L1054)&gt;1,"Duplicate?",IF(A1054&gt;TODAY(),"Future date","OK"))))))))</f>
        <v/>
      </c>
      <c r="L1054">
        <f>IF(A1054="","",TEXT(A1054,"yyyy-mm-dd")&amp;"|"&amp;B1054&amp;"|"&amp;C1054)</f>
        <v/>
      </c>
    </row>
    <row r="1055">
      <c r="A1055" s="4" t="n"/>
      <c r="D1055" s="5" t="n"/>
      <c r="E1055" s="5" t="n"/>
      <c r="G1055" s="6">
        <f>IF(OR(A1055="",D1055="",E1055=""),"",ROUND(MOD(E1055-D1055,1)*24-N(F1055)/60,2))</f>
        <v/>
      </c>
      <c r="H1055" s="7">
        <f>IF(C1055="","",IFERROR(INDEX(Sites!$B$2:$B$501,MATCH(C1055,Sites!$A$2:$A$501,0)),"?"))</f>
        <v/>
      </c>
      <c r="I1055" s="8">
        <f>IF(A1055="","",A1055-WEEKDAY(A1055,3))</f>
        <v/>
      </c>
      <c r="K1055" s="7">
        <f>IF(A1055="","",IF(OR(B1055="",C1055="",D1055="",E1055=""),"Missing info",IF(ISNA(MATCH(B1055,Staff!$A$2:$A$101,0)),"Unknown employee",IF(H1055="?","Unknown site",IF(G1055&lt;=0,"Check times",IF(G1055&gt;12,"Over 12h",IF(COUNTIFS($L$2:$L$2001,L1055)&gt;1,"Duplicate?",IF(A1055&gt;TODAY(),"Future date","OK"))))))))</f>
        <v/>
      </c>
      <c r="L1055">
        <f>IF(A1055="","",TEXT(A1055,"yyyy-mm-dd")&amp;"|"&amp;B1055&amp;"|"&amp;C1055)</f>
        <v/>
      </c>
    </row>
    <row r="1056">
      <c r="A1056" s="4" t="n"/>
      <c r="D1056" s="5" t="n"/>
      <c r="E1056" s="5" t="n"/>
      <c r="G1056" s="6">
        <f>IF(OR(A1056="",D1056="",E1056=""),"",ROUND(MOD(E1056-D1056,1)*24-N(F1056)/60,2))</f>
        <v/>
      </c>
      <c r="H1056" s="7">
        <f>IF(C1056="","",IFERROR(INDEX(Sites!$B$2:$B$501,MATCH(C1056,Sites!$A$2:$A$501,0)),"?"))</f>
        <v/>
      </c>
      <c r="I1056" s="8">
        <f>IF(A1056="","",A1056-WEEKDAY(A1056,3))</f>
        <v/>
      </c>
      <c r="K1056" s="7">
        <f>IF(A1056="","",IF(OR(B1056="",C1056="",D1056="",E1056=""),"Missing info",IF(ISNA(MATCH(B1056,Staff!$A$2:$A$101,0)),"Unknown employee",IF(H1056="?","Unknown site",IF(G1056&lt;=0,"Check times",IF(G1056&gt;12,"Over 12h",IF(COUNTIFS($L$2:$L$2001,L1056)&gt;1,"Duplicate?",IF(A1056&gt;TODAY(),"Future date","OK"))))))))</f>
        <v/>
      </c>
      <c r="L1056">
        <f>IF(A1056="","",TEXT(A1056,"yyyy-mm-dd")&amp;"|"&amp;B1056&amp;"|"&amp;C1056)</f>
        <v/>
      </c>
    </row>
    <row r="1057">
      <c r="A1057" s="4" t="n"/>
      <c r="D1057" s="5" t="n"/>
      <c r="E1057" s="5" t="n"/>
      <c r="G1057" s="6">
        <f>IF(OR(A1057="",D1057="",E1057=""),"",ROUND(MOD(E1057-D1057,1)*24-N(F1057)/60,2))</f>
        <v/>
      </c>
      <c r="H1057" s="7">
        <f>IF(C1057="","",IFERROR(INDEX(Sites!$B$2:$B$501,MATCH(C1057,Sites!$A$2:$A$501,0)),"?"))</f>
        <v/>
      </c>
      <c r="I1057" s="8">
        <f>IF(A1057="","",A1057-WEEKDAY(A1057,3))</f>
        <v/>
      </c>
      <c r="K1057" s="7">
        <f>IF(A1057="","",IF(OR(B1057="",C1057="",D1057="",E1057=""),"Missing info",IF(ISNA(MATCH(B1057,Staff!$A$2:$A$101,0)),"Unknown employee",IF(H1057="?","Unknown site",IF(G1057&lt;=0,"Check times",IF(G1057&gt;12,"Over 12h",IF(COUNTIFS($L$2:$L$2001,L1057)&gt;1,"Duplicate?",IF(A1057&gt;TODAY(),"Future date","OK"))))))))</f>
        <v/>
      </c>
      <c r="L1057">
        <f>IF(A1057="","",TEXT(A1057,"yyyy-mm-dd")&amp;"|"&amp;B1057&amp;"|"&amp;C1057)</f>
        <v/>
      </c>
    </row>
    <row r="1058">
      <c r="A1058" s="4" t="n"/>
      <c r="D1058" s="5" t="n"/>
      <c r="E1058" s="5" t="n"/>
      <c r="G1058" s="6">
        <f>IF(OR(A1058="",D1058="",E1058=""),"",ROUND(MOD(E1058-D1058,1)*24-N(F1058)/60,2))</f>
        <v/>
      </c>
      <c r="H1058" s="7">
        <f>IF(C1058="","",IFERROR(INDEX(Sites!$B$2:$B$501,MATCH(C1058,Sites!$A$2:$A$501,0)),"?"))</f>
        <v/>
      </c>
      <c r="I1058" s="8">
        <f>IF(A1058="","",A1058-WEEKDAY(A1058,3))</f>
        <v/>
      </c>
      <c r="K1058" s="7">
        <f>IF(A1058="","",IF(OR(B1058="",C1058="",D1058="",E1058=""),"Missing info",IF(ISNA(MATCH(B1058,Staff!$A$2:$A$101,0)),"Unknown employee",IF(H1058="?","Unknown site",IF(G1058&lt;=0,"Check times",IF(G1058&gt;12,"Over 12h",IF(COUNTIFS($L$2:$L$2001,L1058)&gt;1,"Duplicate?",IF(A1058&gt;TODAY(),"Future date","OK"))))))))</f>
        <v/>
      </c>
      <c r="L1058">
        <f>IF(A1058="","",TEXT(A1058,"yyyy-mm-dd")&amp;"|"&amp;B1058&amp;"|"&amp;C1058)</f>
        <v/>
      </c>
    </row>
    <row r="1059">
      <c r="A1059" s="4" t="n"/>
      <c r="D1059" s="5" t="n"/>
      <c r="E1059" s="5" t="n"/>
      <c r="G1059" s="6">
        <f>IF(OR(A1059="",D1059="",E1059=""),"",ROUND(MOD(E1059-D1059,1)*24-N(F1059)/60,2))</f>
        <v/>
      </c>
      <c r="H1059" s="7">
        <f>IF(C1059="","",IFERROR(INDEX(Sites!$B$2:$B$501,MATCH(C1059,Sites!$A$2:$A$501,0)),"?"))</f>
        <v/>
      </c>
      <c r="I1059" s="8">
        <f>IF(A1059="","",A1059-WEEKDAY(A1059,3))</f>
        <v/>
      </c>
      <c r="K1059" s="7">
        <f>IF(A1059="","",IF(OR(B1059="",C1059="",D1059="",E1059=""),"Missing info",IF(ISNA(MATCH(B1059,Staff!$A$2:$A$101,0)),"Unknown employee",IF(H1059="?","Unknown site",IF(G1059&lt;=0,"Check times",IF(G1059&gt;12,"Over 12h",IF(COUNTIFS($L$2:$L$2001,L1059)&gt;1,"Duplicate?",IF(A1059&gt;TODAY(),"Future date","OK"))))))))</f>
        <v/>
      </c>
      <c r="L1059">
        <f>IF(A1059="","",TEXT(A1059,"yyyy-mm-dd")&amp;"|"&amp;B1059&amp;"|"&amp;C1059)</f>
        <v/>
      </c>
    </row>
    <row r="1060">
      <c r="A1060" s="4" t="n"/>
      <c r="D1060" s="5" t="n"/>
      <c r="E1060" s="5" t="n"/>
      <c r="G1060" s="6">
        <f>IF(OR(A1060="",D1060="",E1060=""),"",ROUND(MOD(E1060-D1060,1)*24-N(F1060)/60,2))</f>
        <v/>
      </c>
      <c r="H1060" s="7">
        <f>IF(C1060="","",IFERROR(INDEX(Sites!$B$2:$B$501,MATCH(C1060,Sites!$A$2:$A$501,0)),"?"))</f>
        <v/>
      </c>
      <c r="I1060" s="8">
        <f>IF(A1060="","",A1060-WEEKDAY(A1060,3))</f>
        <v/>
      </c>
      <c r="K1060" s="7">
        <f>IF(A1060="","",IF(OR(B1060="",C1060="",D1060="",E1060=""),"Missing info",IF(ISNA(MATCH(B1060,Staff!$A$2:$A$101,0)),"Unknown employee",IF(H1060="?","Unknown site",IF(G1060&lt;=0,"Check times",IF(G1060&gt;12,"Over 12h",IF(COUNTIFS($L$2:$L$2001,L1060)&gt;1,"Duplicate?",IF(A1060&gt;TODAY(),"Future date","OK"))))))))</f>
        <v/>
      </c>
      <c r="L1060">
        <f>IF(A1060="","",TEXT(A1060,"yyyy-mm-dd")&amp;"|"&amp;B1060&amp;"|"&amp;C1060)</f>
        <v/>
      </c>
    </row>
    <row r="1061">
      <c r="A1061" s="4" t="n"/>
      <c r="D1061" s="5" t="n"/>
      <c r="E1061" s="5" t="n"/>
      <c r="G1061" s="6">
        <f>IF(OR(A1061="",D1061="",E1061=""),"",ROUND(MOD(E1061-D1061,1)*24-N(F1061)/60,2))</f>
        <v/>
      </c>
      <c r="H1061" s="7">
        <f>IF(C1061="","",IFERROR(INDEX(Sites!$B$2:$B$501,MATCH(C1061,Sites!$A$2:$A$501,0)),"?"))</f>
        <v/>
      </c>
      <c r="I1061" s="8">
        <f>IF(A1061="","",A1061-WEEKDAY(A1061,3))</f>
        <v/>
      </c>
      <c r="K1061" s="7">
        <f>IF(A1061="","",IF(OR(B1061="",C1061="",D1061="",E1061=""),"Missing info",IF(ISNA(MATCH(B1061,Staff!$A$2:$A$101,0)),"Unknown employee",IF(H1061="?","Unknown site",IF(G1061&lt;=0,"Check times",IF(G1061&gt;12,"Over 12h",IF(COUNTIFS($L$2:$L$2001,L1061)&gt;1,"Duplicate?",IF(A1061&gt;TODAY(),"Future date","OK"))))))))</f>
        <v/>
      </c>
      <c r="L1061">
        <f>IF(A1061="","",TEXT(A1061,"yyyy-mm-dd")&amp;"|"&amp;B1061&amp;"|"&amp;C1061)</f>
        <v/>
      </c>
    </row>
    <row r="1062">
      <c r="A1062" s="4" t="n"/>
      <c r="D1062" s="5" t="n"/>
      <c r="E1062" s="5" t="n"/>
      <c r="G1062" s="6">
        <f>IF(OR(A1062="",D1062="",E1062=""),"",ROUND(MOD(E1062-D1062,1)*24-N(F1062)/60,2))</f>
        <v/>
      </c>
      <c r="H1062" s="7">
        <f>IF(C1062="","",IFERROR(INDEX(Sites!$B$2:$B$501,MATCH(C1062,Sites!$A$2:$A$501,0)),"?"))</f>
        <v/>
      </c>
      <c r="I1062" s="8">
        <f>IF(A1062="","",A1062-WEEKDAY(A1062,3))</f>
        <v/>
      </c>
      <c r="K1062" s="7">
        <f>IF(A1062="","",IF(OR(B1062="",C1062="",D1062="",E1062=""),"Missing info",IF(ISNA(MATCH(B1062,Staff!$A$2:$A$101,0)),"Unknown employee",IF(H1062="?","Unknown site",IF(G1062&lt;=0,"Check times",IF(G1062&gt;12,"Over 12h",IF(COUNTIFS($L$2:$L$2001,L1062)&gt;1,"Duplicate?",IF(A1062&gt;TODAY(),"Future date","OK"))))))))</f>
        <v/>
      </c>
      <c r="L1062">
        <f>IF(A1062="","",TEXT(A1062,"yyyy-mm-dd")&amp;"|"&amp;B1062&amp;"|"&amp;C1062)</f>
        <v/>
      </c>
    </row>
    <row r="1063">
      <c r="A1063" s="4" t="n"/>
      <c r="D1063" s="5" t="n"/>
      <c r="E1063" s="5" t="n"/>
      <c r="G1063" s="6">
        <f>IF(OR(A1063="",D1063="",E1063=""),"",ROUND(MOD(E1063-D1063,1)*24-N(F1063)/60,2))</f>
        <v/>
      </c>
      <c r="H1063" s="7">
        <f>IF(C1063="","",IFERROR(INDEX(Sites!$B$2:$B$501,MATCH(C1063,Sites!$A$2:$A$501,0)),"?"))</f>
        <v/>
      </c>
      <c r="I1063" s="8">
        <f>IF(A1063="","",A1063-WEEKDAY(A1063,3))</f>
        <v/>
      </c>
      <c r="K1063" s="7">
        <f>IF(A1063="","",IF(OR(B1063="",C1063="",D1063="",E1063=""),"Missing info",IF(ISNA(MATCH(B1063,Staff!$A$2:$A$101,0)),"Unknown employee",IF(H1063="?","Unknown site",IF(G1063&lt;=0,"Check times",IF(G1063&gt;12,"Over 12h",IF(COUNTIFS($L$2:$L$2001,L1063)&gt;1,"Duplicate?",IF(A1063&gt;TODAY(),"Future date","OK"))))))))</f>
        <v/>
      </c>
      <c r="L1063">
        <f>IF(A1063="","",TEXT(A1063,"yyyy-mm-dd")&amp;"|"&amp;B1063&amp;"|"&amp;C1063)</f>
        <v/>
      </c>
    </row>
    <row r="1064">
      <c r="A1064" s="4" t="n"/>
      <c r="D1064" s="5" t="n"/>
      <c r="E1064" s="5" t="n"/>
      <c r="G1064" s="6">
        <f>IF(OR(A1064="",D1064="",E1064=""),"",ROUND(MOD(E1064-D1064,1)*24-N(F1064)/60,2))</f>
        <v/>
      </c>
      <c r="H1064" s="7">
        <f>IF(C1064="","",IFERROR(INDEX(Sites!$B$2:$B$501,MATCH(C1064,Sites!$A$2:$A$501,0)),"?"))</f>
        <v/>
      </c>
      <c r="I1064" s="8">
        <f>IF(A1064="","",A1064-WEEKDAY(A1064,3))</f>
        <v/>
      </c>
      <c r="K1064" s="7">
        <f>IF(A1064="","",IF(OR(B1064="",C1064="",D1064="",E1064=""),"Missing info",IF(ISNA(MATCH(B1064,Staff!$A$2:$A$101,0)),"Unknown employee",IF(H1064="?","Unknown site",IF(G1064&lt;=0,"Check times",IF(G1064&gt;12,"Over 12h",IF(COUNTIFS($L$2:$L$2001,L1064)&gt;1,"Duplicate?",IF(A1064&gt;TODAY(),"Future date","OK"))))))))</f>
        <v/>
      </c>
      <c r="L1064">
        <f>IF(A1064="","",TEXT(A1064,"yyyy-mm-dd")&amp;"|"&amp;B1064&amp;"|"&amp;C1064)</f>
        <v/>
      </c>
    </row>
    <row r="1065">
      <c r="A1065" s="4" t="n"/>
      <c r="D1065" s="5" t="n"/>
      <c r="E1065" s="5" t="n"/>
      <c r="G1065" s="6">
        <f>IF(OR(A1065="",D1065="",E1065=""),"",ROUND(MOD(E1065-D1065,1)*24-N(F1065)/60,2))</f>
        <v/>
      </c>
      <c r="H1065" s="7">
        <f>IF(C1065="","",IFERROR(INDEX(Sites!$B$2:$B$501,MATCH(C1065,Sites!$A$2:$A$501,0)),"?"))</f>
        <v/>
      </c>
      <c r="I1065" s="8">
        <f>IF(A1065="","",A1065-WEEKDAY(A1065,3))</f>
        <v/>
      </c>
      <c r="K1065" s="7">
        <f>IF(A1065="","",IF(OR(B1065="",C1065="",D1065="",E1065=""),"Missing info",IF(ISNA(MATCH(B1065,Staff!$A$2:$A$101,0)),"Unknown employee",IF(H1065="?","Unknown site",IF(G1065&lt;=0,"Check times",IF(G1065&gt;12,"Over 12h",IF(COUNTIFS($L$2:$L$2001,L1065)&gt;1,"Duplicate?",IF(A1065&gt;TODAY(),"Future date","OK"))))))))</f>
        <v/>
      </c>
      <c r="L1065">
        <f>IF(A1065="","",TEXT(A1065,"yyyy-mm-dd")&amp;"|"&amp;B1065&amp;"|"&amp;C1065)</f>
        <v/>
      </c>
    </row>
    <row r="1066">
      <c r="A1066" s="4" t="n"/>
      <c r="D1066" s="5" t="n"/>
      <c r="E1066" s="5" t="n"/>
      <c r="G1066" s="6">
        <f>IF(OR(A1066="",D1066="",E1066=""),"",ROUND(MOD(E1066-D1066,1)*24-N(F1066)/60,2))</f>
        <v/>
      </c>
      <c r="H1066" s="7">
        <f>IF(C1066="","",IFERROR(INDEX(Sites!$B$2:$B$501,MATCH(C1066,Sites!$A$2:$A$501,0)),"?"))</f>
        <v/>
      </c>
      <c r="I1066" s="8">
        <f>IF(A1066="","",A1066-WEEKDAY(A1066,3))</f>
        <v/>
      </c>
      <c r="K1066" s="7">
        <f>IF(A1066="","",IF(OR(B1066="",C1066="",D1066="",E1066=""),"Missing info",IF(ISNA(MATCH(B1066,Staff!$A$2:$A$101,0)),"Unknown employee",IF(H1066="?","Unknown site",IF(G1066&lt;=0,"Check times",IF(G1066&gt;12,"Over 12h",IF(COUNTIFS($L$2:$L$2001,L1066)&gt;1,"Duplicate?",IF(A1066&gt;TODAY(),"Future date","OK"))))))))</f>
        <v/>
      </c>
      <c r="L1066">
        <f>IF(A1066="","",TEXT(A1066,"yyyy-mm-dd")&amp;"|"&amp;B1066&amp;"|"&amp;C1066)</f>
        <v/>
      </c>
    </row>
    <row r="1067">
      <c r="A1067" s="4" t="n"/>
      <c r="D1067" s="5" t="n"/>
      <c r="E1067" s="5" t="n"/>
      <c r="G1067" s="6">
        <f>IF(OR(A1067="",D1067="",E1067=""),"",ROUND(MOD(E1067-D1067,1)*24-N(F1067)/60,2))</f>
        <v/>
      </c>
      <c r="H1067" s="7">
        <f>IF(C1067="","",IFERROR(INDEX(Sites!$B$2:$B$501,MATCH(C1067,Sites!$A$2:$A$501,0)),"?"))</f>
        <v/>
      </c>
      <c r="I1067" s="8">
        <f>IF(A1067="","",A1067-WEEKDAY(A1067,3))</f>
        <v/>
      </c>
      <c r="K1067" s="7">
        <f>IF(A1067="","",IF(OR(B1067="",C1067="",D1067="",E1067=""),"Missing info",IF(ISNA(MATCH(B1067,Staff!$A$2:$A$101,0)),"Unknown employee",IF(H1067="?","Unknown site",IF(G1067&lt;=0,"Check times",IF(G1067&gt;12,"Over 12h",IF(COUNTIFS($L$2:$L$2001,L1067)&gt;1,"Duplicate?",IF(A1067&gt;TODAY(),"Future date","OK"))))))))</f>
        <v/>
      </c>
      <c r="L1067">
        <f>IF(A1067="","",TEXT(A1067,"yyyy-mm-dd")&amp;"|"&amp;B1067&amp;"|"&amp;C1067)</f>
        <v/>
      </c>
    </row>
    <row r="1068">
      <c r="A1068" s="4" t="n"/>
      <c r="D1068" s="5" t="n"/>
      <c r="E1068" s="5" t="n"/>
      <c r="G1068" s="6">
        <f>IF(OR(A1068="",D1068="",E1068=""),"",ROUND(MOD(E1068-D1068,1)*24-N(F1068)/60,2))</f>
        <v/>
      </c>
      <c r="H1068" s="7">
        <f>IF(C1068="","",IFERROR(INDEX(Sites!$B$2:$B$501,MATCH(C1068,Sites!$A$2:$A$501,0)),"?"))</f>
        <v/>
      </c>
      <c r="I1068" s="8">
        <f>IF(A1068="","",A1068-WEEKDAY(A1068,3))</f>
        <v/>
      </c>
      <c r="K1068" s="7">
        <f>IF(A1068="","",IF(OR(B1068="",C1068="",D1068="",E1068=""),"Missing info",IF(ISNA(MATCH(B1068,Staff!$A$2:$A$101,0)),"Unknown employee",IF(H1068="?","Unknown site",IF(G1068&lt;=0,"Check times",IF(G1068&gt;12,"Over 12h",IF(COUNTIFS($L$2:$L$2001,L1068)&gt;1,"Duplicate?",IF(A1068&gt;TODAY(),"Future date","OK"))))))))</f>
        <v/>
      </c>
      <c r="L1068">
        <f>IF(A1068="","",TEXT(A1068,"yyyy-mm-dd")&amp;"|"&amp;B1068&amp;"|"&amp;C1068)</f>
        <v/>
      </c>
    </row>
    <row r="1069">
      <c r="A1069" s="4" t="n"/>
      <c r="D1069" s="5" t="n"/>
      <c r="E1069" s="5" t="n"/>
      <c r="G1069" s="6">
        <f>IF(OR(A1069="",D1069="",E1069=""),"",ROUND(MOD(E1069-D1069,1)*24-N(F1069)/60,2))</f>
        <v/>
      </c>
      <c r="H1069" s="7">
        <f>IF(C1069="","",IFERROR(INDEX(Sites!$B$2:$B$501,MATCH(C1069,Sites!$A$2:$A$501,0)),"?"))</f>
        <v/>
      </c>
      <c r="I1069" s="8">
        <f>IF(A1069="","",A1069-WEEKDAY(A1069,3))</f>
        <v/>
      </c>
      <c r="K1069" s="7">
        <f>IF(A1069="","",IF(OR(B1069="",C1069="",D1069="",E1069=""),"Missing info",IF(ISNA(MATCH(B1069,Staff!$A$2:$A$101,0)),"Unknown employee",IF(H1069="?","Unknown site",IF(G1069&lt;=0,"Check times",IF(G1069&gt;12,"Over 12h",IF(COUNTIFS($L$2:$L$2001,L1069)&gt;1,"Duplicate?",IF(A1069&gt;TODAY(),"Future date","OK"))))))))</f>
        <v/>
      </c>
      <c r="L1069">
        <f>IF(A1069="","",TEXT(A1069,"yyyy-mm-dd")&amp;"|"&amp;B1069&amp;"|"&amp;C1069)</f>
        <v/>
      </c>
    </row>
    <row r="1070">
      <c r="A1070" s="4" t="n"/>
      <c r="D1070" s="5" t="n"/>
      <c r="E1070" s="5" t="n"/>
      <c r="G1070" s="6">
        <f>IF(OR(A1070="",D1070="",E1070=""),"",ROUND(MOD(E1070-D1070,1)*24-N(F1070)/60,2))</f>
        <v/>
      </c>
      <c r="H1070" s="7">
        <f>IF(C1070="","",IFERROR(INDEX(Sites!$B$2:$B$501,MATCH(C1070,Sites!$A$2:$A$501,0)),"?"))</f>
        <v/>
      </c>
      <c r="I1070" s="8">
        <f>IF(A1070="","",A1070-WEEKDAY(A1070,3))</f>
        <v/>
      </c>
      <c r="K1070" s="7">
        <f>IF(A1070="","",IF(OR(B1070="",C1070="",D1070="",E1070=""),"Missing info",IF(ISNA(MATCH(B1070,Staff!$A$2:$A$101,0)),"Unknown employee",IF(H1070="?","Unknown site",IF(G1070&lt;=0,"Check times",IF(G1070&gt;12,"Over 12h",IF(COUNTIFS($L$2:$L$2001,L1070)&gt;1,"Duplicate?",IF(A1070&gt;TODAY(),"Future date","OK"))))))))</f>
        <v/>
      </c>
      <c r="L1070">
        <f>IF(A1070="","",TEXT(A1070,"yyyy-mm-dd")&amp;"|"&amp;B1070&amp;"|"&amp;C1070)</f>
        <v/>
      </c>
    </row>
    <row r="1071">
      <c r="A1071" s="4" t="n"/>
      <c r="D1071" s="5" t="n"/>
      <c r="E1071" s="5" t="n"/>
      <c r="G1071" s="6">
        <f>IF(OR(A1071="",D1071="",E1071=""),"",ROUND(MOD(E1071-D1071,1)*24-N(F1071)/60,2))</f>
        <v/>
      </c>
      <c r="H1071" s="7">
        <f>IF(C1071="","",IFERROR(INDEX(Sites!$B$2:$B$501,MATCH(C1071,Sites!$A$2:$A$501,0)),"?"))</f>
        <v/>
      </c>
      <c r="I1071" s="8">
        <f>IF(A1071="","",A1071-WEEKDAY(A1071,3))</f>
        <v/>
      </c>
      <c r="K1071" s="7">
        <f>IF(A1071="","",IF(OR(B1071="",C1071="",D1071="",E1071=""),"Missing info",IF(ISNA(MATCH(B1071,Staff!$A$2:$A$101,0)),"Unknown employee",IF(H1071="?","Unknown site",IF(G1071&lt;=0,"Check times",IF(G1071&gt;12,"Over 12h",IF(COUNTIFS($L$2:$L$2001,L1071)&gt;1,"Duplicate?",IF(A1071&gt;TODAY(),"Future date","OK"))))))))</f>
        <v/>
      </c>
      <c r="L1071">
        <f>IF(A1071="","",TEXT(A1071,"yyyy-mm-dd")&amp;"|"&amp;B1071&amp;"|"&amp;C1071)</f>
        <v/>
      </c>
    </row>
    <row r="1072">
      <c r="A1072" s="4" t="n"/>
      <c r="D1072" s="5" t="n"/>
      <c r="E1072" s="5" t="n"/>
      <c r="G1072" s="6">
        <f>IF(OR(A1072="",D1072="",E1072=""),"",ROUND(MOD(E1072-D1072,1)*24-N(F1072)/60,2))</f>
        <v/>
      </c>
      <c r="H1072" s="7">
        <f>IF(C1072="","",IFERROR(INDEX(Sites!$B$2:$B$501,MATCH(C1072,Sites!$A$2:$A$501,0)),"?"))</f>
        <v/>
      </c>
      <c r="I1072" s="8">
        <f>IF(A1072="","",A1072-WEEKDAY(A1072,3))</f>
        <v/>
      </c>
      <c r="K1072" s="7">
        <f>IF(A1072="","",IF(OR(B1072="",C1072="",D1072="",E1072=""),"Missing info",IF(ISNA(MATCH(B1072,Staff!$A$2:$A$101,0)),"Unknown employee",IF(H1072="?","Unknown site",IF(G1072&lt;=0,"Check times",IF(G1072&gt;12,"Over 12h",IF(COUNTIFS($L$2:$L$2001,L1072)&gt;1,"Duplicate?",IF(A1072&gt;TODAY(),"Future date","OK"))))))))</f>
        <v/>
      </c>
      <c r="L1072">
        <f>IF(A1072="","",TEXT(A1072,"yyyy-mm-dd")&amp;"|"&amp;B1072&amp;"|"&amp;C1072)</f>
        <v/>
      </c>
    </row>
    <row r="1073">
      <c r="A1073" s="4" t="n"/>
      <c r="D1073" s="5" t="n"/>
      <c r="E1073" s="5" t="n"/>
      <c r="G1073" s="6">
        <f>IF(OR(A1073="",D1073="",E1073=""),"",ROUND(MOD(E1073-D1073,1)*24-N(F1073)/60,2))</f>
        <v/>
      </c>
      <c r="H1073" s="7">
        <f>IF(C1073="","",IFERROR(INDEX(Sites!$B$2:$B$501,MATCH(C1073,Sites!$A$2:$A$501,0)),"?"))</f>
        <v/>
      </c>
      <c r="I1073" s="8">
        <f>IF(A1073="","",A1073-WEEKDAY(A1073,3))</f>
        <v/>
      </c>
      <c r="K1073" s="7">
        <f>IF(A1073="","",IF(OR(B1073="",C1073="",D1073="",E1073=""),"Missing info",IF(ISNA(MATCH(B1073,Staff!$A$2:$A$101,0)),"Unknown employee",IF(H1073="?","Unknown site",IF(G1073&lt;=0,"Check times",IF(G1073&gt;12,"Over 12h",IF(COUNTIFS($L$2:$L$2001,L1073)&gt;1,"Duplicate?",IF(A1073&gt;TODAY(),"Future date","OK"))))))))</f>
        <v/>
      </c>
      <c r="L1073">
        <f>IF(A1073="","",TEXT(A1073,"yyyy-mm-dd")&amp;"|"&amp;B1073&amp;"|"&amp;C1073)</f>
        <v/>
      </c>
    </row>
    <row r="1074">
      <c r="A1074" s="4" t="n"/>
      <c r="D1074" s="5" t="n"/>
      <c r="E1074" s="5" t="n"/>
      <c r="G1074" s="6">
        <f>IF(OR(A1074="",D1074="",E1074=""),"",ROUND(MOD(E1074-D1074,1)*24-N(F1074)/60,2))</f>
        <v/>
      </c>
      <c r="H1074" s="7">
        <f>IF(C1074="","",IFERROR(INDEX(Sites!$B$2:$B$501,MATCH(C1074,Sites!$A$2:$A$501,0)),"?"))</f>
        <v/>
      </c>
      <c r="I1074" s="8">
        <f>IF(A1074="","",A1074-WEEKDAY(A1074,3))</f>
        <v/>
      </c>
      <c r="K1074" s="7">
        <f>IF(A1074="","",IF(OR(B1074="",C1074="",D1074="",E1074=""),"Missing info",IF(ISNA(MATCH(B1074,Staff!$A$2:$A$101,0)),"Unknown employee",IF(H1074="?","Unknown site",IF(G1074&lt;=0,"Check times",IF(G1074&gt;12,"Over 12h",IF(COUNTIFS($L$2:$L$2001,L1074)&gt;1,"Duplicate?",IF(A1074&gt;TODAY(),"Future date","OK"))))))))</f>
        <v/>
      </c>
      <c r="L1074">
        <f>IF(A1074="","",TEXT(A1074,"yyyy-mm-dd")&amp;"|"&amp;B1074&amp;"|"&amp;C1074)</f>
        <v/>
      </c>
    </row>
    <row r="1075">
      <c r="A1075" s="4" t="n"/>
      <c r="D1075" s="5" t="n"/>
      <c r="E1075" s="5" t="n"/>
      <c r="G1075" s="6">
        <f>IF(OR(A1075="",D1075="",E1075=""),"",ROUND(MOD(E1075-D1075,1)*24-N(F1075)/60,2))</f>
        <v/>
      </c>
      <c r="H1075" s="7">
        <f>IF(C1075="","",IFERROR(INDEX(Sites!$B$2:$B$501,MATCH(C1075,Sites!$A$2:$A$501,0)),"?"))</f>
        <v/>
      </c>
      <c r="I1075" s="8">
        <f>IF(A1075="","",A1075-WEEKDAY(A1075,3))</f>
        <v/>
      </c>
      <c r="K1075" s="7">
        <f>IF(A1075="","",IF(OR(B1075="",C1075="",D1075="",E1075=""),"Missing info",IF(ISNA(MATCH(B1075,Staff!$A$2:$A$101,0)),"Unknown employee",IF(H1075="?","Unknown site",IF(G1075&lt;=0,"Check times",IF(G1075&gt;12,"Over 12h",IF(COUNTIFS($L$2:$L$2001,L1075)&gt;1,"Duplicate?",IF(A1075&gt;TODAY(),"Future date","OK"))))))))</f>
        <v/>
      </c>
      <c r="L1075">
        <f>IF(A1075="","",TEXT(A1075,"yyyy-mm-dd")&amp;"|"&amp;B1075&amp;"|"&amp;C1075)</f>
        <v/>
      </c>
    </row>
    <row r="1076">
      <c r="A1076" s="4" t="n"/>
      <c r="D1076" s="5" t="n"/>
      <c r="E1076" s="5" t="n"/>
      <c r="G1076" s="6">
        <f>IF(OR(A1076="",D1076="",E1076=""),"",ROUND(MOD(E1076-D1076,1)*24-N(F1076)/60,2))</f>
        <v/>
      </c>
      <c r="H1076" s="7">
        <f>IF(C1076="","",IFERROR(INDEX(Sites!$B$2:$B$501,MATCH(C1076,Sites!$A$2:$A$501,0)),"?"))</f>
        <v/>
      </c>
      <c r="I1076" s="8">
        <f>IF(A1076="","",A1076-WEEKDAY(A1076,3))</f>
        <v/>
      </c>
      <c r="K1076" s="7">
        <f>IF(A1076="","",IF(OR(B1076="",C1076="",D1076="",E1076=""),"Missing info",IF(ISNA(MATCH(B1076,Staff!$A$2:$A$101,0)),"Unknown employee",IF(H1076="?","Unknown site",IF(G1076&lt;=0,"Check times",IF(G1076&gt;12,"Over 12h",IF(COUNTIFS($L$2:$L$2001,L1076)&gt;1,"Duplicate?",IF(A1076&gt;TODAY(),"Future date","OK"))))))))</f>
        <v/>
      </c>
      <c r="L1076">
        <f>IF(A1076="","",TEXT(A1076,"yyyy-mm-dd")&amp;"|"&amp;B1076&amp;"|"&amp;C1076)</f>
        <v/>
      </c>
    </row>
    <row r="1077">
      <c r="A1077" s="4" t="n"/>
      <c r="D1077" s="5" t="n"/>
      <c r="E1077" s="5" t="n"/>
      <c r="G1077" s="6">
        <f>IF(OR(A1077="",D1077="",E1077=""),"",ROUND(MOD(E1077-D1077,1)*24-N(F1077)/60,2))</f>
        <v/>
      </c>
      <c r="H1077" s="7">
        <f>IF(C1077="","",IFERROR(INDEX(Sites!$B$2:$B$501,MATCH(C1077,Sites!$A$2:$A$501,0)),"?"))</f>
        <v/>
      </c>
      <c r="I1077" s="8">
        <f>IF(A1077="","",A1077-WEEKDAY(A1077,3))</f>
        <v/>
      </c>
      <c r="K1077" s="7">
        <f>IF(A1077="","",IF(OR(B1077="",C1077="",D1077="",E1077=""),"Missing info",IF(ISNA(MATCH(B1077,Staff!$A$2:$A$101,0)),"Unknown employee",IF(H1077="?","Unknown site",IF(G1077&lt;=0,"Check times",IF(G1077&gt;12,"Over 12h",IF(COUNTIFS($L$2:$L$2001,L1077)&gt;1,"Duplicate?",IF(A1077&gt;TODAY(),"Future date","OK"))))))))</f>
        <v/>
      </c>
      <c r="L1077">
        <f>IF(A1077="","",TEXT(A1077,"yyyy-mm-dd")&amp;"|"&amp;B1077&amp;"|"&amp;C1077)</f>
        <v/>
      </c>
    </row>
    <row r="1078">
      <c r="A1078" s="4" t="n"/>
      <c r="D1078" s="5" t="n"/>
      <c r="E1078" s="5" t="n"/>
      <c r="G1078" s="6">
        <f>IF(OR(A1078="",D1078="",E1078=""),"",ROUND(MOD(E1078-D1078,1)*24-N(F1078)/60,2))</f>
        <v/>
      </c>
      <c r="H1078" s="7">
        <f>IF(C1078="","",IFERROR(INDEX(Sites!$B$2:$B$501,MATCH(C1078,Sites!$A$2:$A$501,0)),"?"))</f>
        <v/>
      </c>
      <c r="I1078" s="8">
        <f>IF(A1078="","",A1078-WEEKDAY(A1078,3))</f>
        <v/>
      </c>
      <c r="K1078" s="7">
        <f>IF(A1078="","",IF(OR(B1078="",C1078="",D1078="",E1078=""),"Missing info",IF(ISNA(MATCH(B1078,Staff!$A$2:$A$101,0)),"Unknown employee",IF(H1078="?","Unknown site",IF(G1078&lt;=0,"Check times",IF(G1078&gt;12,"Over 12h",IF(COUNTIFS($L$2:$L$2001,L1078)&gt;1,"Duplicate?",IF(A1078&gt;TODAY(),"Future date","OK"))))))))</f>
        <v/>
      </c>
      <c r="L1078">
        <f>IF(A1078="","",TEXT(A1078,"yyyy-mm-dd")&amp;"|"&amp;B1078&amp;"|"&amp;C1078)</f>
        <v/>
      </c>
    </row>
    <row r="1079">
      <c r="A1079" s="4" t="n"/>
      <c r="D1079" s="5" t="n"/>
      <c r="E1079" s="5" t="n"/>
      <c r="G1079" s="6">
        <f>IF(OR(A1079="",D1079="",E1079=""),"",ROUND(MOD(E1079-D1079,1)*24-N(F1079)/60,2))</f>
        <v/>
      </c>
      <c r="H1079" s="7">
        <f>IF(C1079="","",IFERROR(INDEX(Sites!$B$2:$B$501,MATCH(C1079,Sites!$A$2:$A$501,0)),"?"))</f>
        <v/>
      </c>
      <c r="I1079" s="8">
        <f>IF(A1079="","",A1079-WEEKDAY(A1079,3))</f>
        <v/>
      </c>
      <c r="K1079" s="7">
        <f>IF(A1079="","",IF(OR(B1079="",C1079="",D1079="",E1079=""),"Missing info",IF(ISNA(MATCH(B1079,Staff!$A$2:$A$101,0)),"Unknown employee",IF(H1079="?","Unknown site",IF(G1079&lt;=0,"Check times",IF(G1079&gt;12,"Over 12h",IF(COUNTIFS($L$2:$L$2001,L1079)&gt;1,"Duplicate?",IF(A1079&gt;TODAY(),"Future date","OK"))))))))</f>
        <v/>
      </c>
      <c r="L1079">
        <f>IF(A1079="","",TEXT(A1079,"yyyy-mm-dd")&amp;"|"&amp;B1079&amp;"|"&amp;C1079)</f>
        <v/>
      </c>
    </row>
    <row r="1080">
      <c r="A1080" s="4" t="n"/>
      <c r="D1080" s="5" t="n"/>
      <c r="E1080" s="5" t="n"/>
      <c r="G1080" s="6">
        <f>IF(OR(A1080="",D1080="",E1080=""),"",ROUND(MOD(E1080-D1080,1)*24-N(F1080)/60,2))</f>
        <v/>
      </c>
      <c r="H1080" s="7">
        <f>IF(C1080="","",IFERROR(INDEX(Sites!$B$2:$B$501,MATCH(C1080,Sites!$A$2:$A$501,0)),"?"))</f>
        <v/>
      </c>
      <c r="I1080" s="8">
        <f>IF(A1080="","",A1080-WEEKDAY(A1080,3))</f>
        <v/>
      </c>
      <c r="K1080" s="7">
        <f>IF(A1080="","",IF(OR(B1080="",C1080="",D1080="",E1080=""),"Missing info",IF(ISNA(MATCH(B1080,Staff!$A$2:$A$101,0)),"Unknown employee",IF(H1080="?","Unknown site",IF(G1080&lt;=0,"Check times",IF(G1080&gt;12,"Over 12h",IF(COUNTIFS($L$2:$L$2001,L1080)&gt;1,"Duplicate?",IF(A1080&gt;TODAY(),"Future date","OK"))))))))</f>
        <v/>
      </c>
      <c r="L1080">
        <f>IF(A1080="","",TEXT(A1080,"yyyy-mm-dd")&amp;"|"&amp;B1080&amp;"|"&amp;C1080)</f>
        <v/>
      </c>
    </row>
    <row r="1081">
      <c r="A1081" s="4" t="n"/>
      <c r="D1081" s="5" t="n"/>
      <c r="E1081" s="5" t="n"/>
      <c r="G1081" s="6">
        <f>IF(OR(A1081="",D1081="",E1081=""),"",ROUND(MOD(E1081-D1081,1)*24-N(F1081)/60,2))</f>
        <v/>
      </c>
      <c r="H1081" s="7">
        <f>IF(C1081="","",IFERROR(INDEX(Sites!$B$2:$B$501,MATCH(C1081,Sites!$A$2:$A$501,0)),"?"))</f>
        <v/>
      </c>
      <c r="I1081" s="8">
        <f>IF(A1081="","",A1081-WEEKDAY(A1081,3))</f>
        <v/>
      </c>
      <c r="K1081" s="7">
        <f>IF(A1081="","",IF(OR(B1081="",C1081="",D1081="",E1081=""),"Missing info",IF(ISNA(MATCH(B1081,Staff!$A$2:$A$101,0)),"Unknown employee",IF(H1081="?","Unknown site",IF(G1081&lt;=0,"Check times",IF(G1081&gt;12,"Over 12h",IF(COUNTIFS($L$2:$L$2001,L1081)&gt;1,"Duplicate?",IF(A1081&gt;TODAY(),"Future date","OK"))))))))</f>
        <v/>
      </c>
      <c r="L1081">
        <f>IF(A1081="","",TEXT(A1081,"yyyy-mm-dd")&amp;"|"&amp;B1081&amp;"|"&amp;C1081)</f>
        <v/>
      </c>
    </row>
    <row r="1082">
      <c r="A1082" s="4" t="n"/>
      <c r="D1082" s="5" t="n"/>
      <c r="E1082" s="5" t="n"/>
      <c r="G1082" s="6">
        <f>IF(OR(A1082="",D1082="",E1082=""),"",ROUND(MOD(E1082-D1082,1)*24-N(F1082)/60,2))</f>
        <v/>
      </c>
      <c r="H1082" s="7">
        <f>IF(C1082="","",IFERROR(INDEX(Sites!$B$2:$B$501,MATCH(C1082,Sites!$A$2:$A$501,0)),"?"))</f>
        <v/>
      </c>
      <c r="I1082" s="8">
        <f>IF(A1082="","",A1082-WEEKDAY(A1082,3))</f>
        <v/>
      </c>
      <c r="K1082" s="7">
        <f>IF(A1082="","",IF(OR(B1082="",C1082="",D1082="",E1082=""),"Missing info",IF(ISNA(MATCH(B1082,Staff!$A$2:$A$101,0)),"Unknown employee",IF(H1082="?","Unknown site",IF(G1082&lt;=0,"Check times",IF(G1082&gt;12,"Over 12h",IF(COUNTIFS($L$2:$L$2001,L1082)&gt;1,"Duplicate?",IF(A1082&gt;TODAY(),"Future date","OK"))))))))</f>
        <v/>
      </c>
      <c r="L1082">
        <f>IF(A1082="","",TEXT(A1082,"yyyy-mm-dd")&amp;"|"&amp;B1082&amp;"|"&amp;C1082)</f>
        <v/>
      </c>
    </row>
    <row r="1083">
      <c r="A1083" s="4" t="n"/>
      <c r="D1083" s="5" t="n"/>
      <c r="E1083" s="5" t="n"/>
      <c r="G1083" s="6">
        <f>IF(OR(A1083="",D1083="",E1083=""),"",ROUND(MOD(E1083-D1083,1)*24-N(F1083)/60,2))</f>
        <v/>
      </c>
      <c r="H1083" s="7">
        <f>IF(C1083="","",IFERROR(INDEX(Sites!$B$2:$B$501,MATCH(C1083,Sites!$A$2:$A$501,0)),"?"))</f>
        <v/>
      </c>
      <c r="I1083" s="8">
        <f>IF(A1083="","",A1083-WEEKDAY(A1083,3))</f>
        <v/>
      </c>
      <c r="K1083" s="7">
        <f>IF(A1083="","",IF(OR(B1083="",C1083="",D1083="",E1083=""),"Missing info",IF(ISNA(MATCH(B1083,Staff!$A$2:$A$101,0)),"Unknown employee",IF(H1083="?","Unknown site",IF(G1083&lt;=0,"Check times",IF(G1083&gt;12,"Over 12h",IF(COUNTIFS($L$2:$L$2001,L1083)&gt;1,"Duplicate?",IF(A1083&gt;TODAY(),"Future date","OK"))))))))</f>
        <v/>
      </c>
      <c r="L1083">
        <f>IF(A1083="","",TEXT(A1083,"yyyy-mm-dd")&amp;"|"&amp;B1083&amp;"|"&amp;C1083)</f>
        <v/>
      </c>
    </row>
    <row r="1084">
      <c r="A1084" s="4" t="n"/>
      <c r="D1084" s="5" t="n"/>
      <c r="E1084" s="5" t="n"/>
      <c r="G1084" s="6">
        <f>IF(OR(A1084="",D1084="",E1084=""),"",ROUND(MOD(E1084-D1084,1)*24-N(F1084)/60,2))</f>
        <v/>
      </c>
      <c r="H1084" s="7">
        <f>IF(C1084="","",IFERROR(INDEX(Sites!$B$2:$B$501,MATCH(C1084,Sites!$A$2:$A$501,0)),"?"))</f>
        <v/>
      </c>
      <c r="I1084" s="8">
        <f>IF(A1084="","",A1084-WEEKDAY(A1084,3))</f>
        <v/>
      </c>
      <c r="K1084" s="7">
        <f>IF(A1084="","",IF(OR(B1084="",C1084="",D1084="",E1084=""),"Missing info",IF(ISNA(MATCH(B1084,Staff!$A$2:$A$101,0)),"Unknown employee",IF(H1084="?","Unknown site",IF(G1084&lt;=0,"Check times",IF(G1084&gt;12,"Over 12h",IF(COUNTIFS($L$2:$L$2001,L1084)&gt;1,"Duplicate?",IF(A1084&gt;TODAY(),"Future date","OK"))))))))</f>
        <v/>
      </c>
      <c r="L1084">
        <f>IF(A1084="","",TEXT(A1084,"yyyy-mm-dd")&amp;"|"&amp;B1084&amp;"|"&amp;C1084)</f>
        <v/>
      </c>
    </row>
    <row r="1085">
      <c r="A1085" s="4" t="n"/>
      <c r="D1085" s="5" t="n"/>
      <c r="E1085" s="5" t="n"/>
      <c r="G1085" s="6">
        <f>IF(OR(A1085="",D1085="",E1085=""),"",ROUND(MOD(E1085-D1085,1)*24-N(F1085)/60,2))</f>
        <v/>
      </c>
      <c r="H1085" s="7">
        <f>IF(C1085="","",IFERROR(INDEX(Sites!$B$2:$B$501,MATCH(C1085,Sites!$A$2:$A$501,0)),"?"))</f>
        <v/>
      </c>
      <c r="I1085" s="8">
        <f>IF(A1085="","",A1085-WEEKDAY(A1085,3))</f>
        <v/>
      </c>
      <c r="K1085" s="7">
        <f>IF(A1085="","",IF(OR(B1085="",C1085="",D1085="",E1085=""),"Missing info",IF(ISNA(MATCH(B1085,Staff!$A$2:$A$101,0)),"Unknown employee",IF(H1085="?","Unknown site",IF(G1085&lt;=0,"Check times",IF(G1085&gt;12,"Over 12h",IF(COUNTIFS($L$2:$L$2001,L1085)&gt;1,"Duplicate?",IF(A1085&gt;TODAY(),"Future date","OK"))))))))</f>
        <v/>
      </c>
      <c r="L1085">
        <f>IF(A1085="","",TEXT(A1085,"yyyy-mm-dd")&amp;"|"&amp;B1085&amp;"|"&amp;C1085)</f>
        <v/>
      </c>
    </row>
    <row r="1086">
      <c r="A1086" s="4" t="n"/>
      <c r="D1086" s="5" t="n"/>
      <c r="E1086" s="5" t="n"/>
      <c r="G1086" s="6">
        <f>IF(OR(A1086="",D1086="",E1086=""),"",ROUND(MOD(E1086-D1086,1)*24-N(F1086)/60,2))</f>
        <v/>
      </c>
      <c r="H1086" s="7">
        <f>IF(C1086="","",IFERROR(INDEX(Sites!$B$2:$B$501,MATCH(C1086,Sites!$A$2:$A$501,0)),"?"))</f>
        <v/>
      </c>
      <c r="I1086" s="8">
        <f>IF(A1086="","",A1086-WEEKDAY(A1086,3))</f>
        <v/>
      </c>
      <c r="K1086" s="7">
        <f>IF(A1086="","",IF(OR(B1086="",C1086="",D1086="",E1086=""),"Missing info",IF(ISNA(MATCH(B1086,Staff!$A$2:$A$101,0)),"Unknown employee",IF(H1086="?","Unknown site",IF(G1086&lt;=0,"Check times",IF(G1086&gt;12,"Over 12h",IF(COUNTIFS($L$2:$L$2001,L1086)&gt;1,"Duplicate?",IF(A1086&gt;TODAY(),"Future date","OK"))))))))</f>
        <v/>
      </c>
      <c r="L1086">
        <f>IF(A1086="","",TEXT(A1086,"yyyy-mm-dd")&amp;"|"&amp;B1086&amp;"|"&amp;C1086)</f>
        <v/>
      </c>
    </row>
    <row r="1087">
      <c r="A1087" s="4" t="n"/>
      <c r="D1087" s="5" t="n"/>
      <c r="E1087" s="5" t="n"/>
      <c r="G1087" s="6">
        <f>IF(OR(A1087="",D1087="",E1087=""),"",ROUND(MOD(E1087-D1087,1)*24-N(F1087)/60,2))</f>
        <v/>
      </c>
      <c r="H1087" s="7">
        <f>IF(C1087="","",IFERROR(INDEX(Sites!$B$2:$B$501,MATCH(C1087,Sites!$A$2:$A$501,0)),"?"))</f>
        <v/>
      </c>
      <c r="I1087" s="8">
        <f>IF(A1087="","",A1087-WEEKDAY(A1087,3))</f>
        <v/>
      </c>
      <c r="K1087" s="7">
        <f>IF(A1087="","",IF(OR(B1087="",C1087="",D1087="",E1087=""),"Missing info",IF(ISNA(MATCH(B1087,Staff!$A$2:$A$101,0)),"Unknown employee",IF(H1087="?","Unknown site",IF(G1087&lt;=0,"Check times",IF(G1087&gt;12,"Over 12h",IF(COUNTIFS($L$2:$L$2001,L1087)&gt;1,"Duplicate?",IF(A1087&gt;TODAY(),"Future date","OK"))))))))</f>
        <v/>
      </c>
      <c r="L1087">
        <f>IF(A1087="","",TEXT(A1087,"yyyy-mm-dd")&amp;"|"&amp;B1087&amp;"|"&amp;C1087)</f>
        <v/>
      </c>
    </row>
    <row r="1088">
      <c r="A1088" s="4" t="n"/>
      <c r="D1088" s="5" t="n"/>
      <c r="E1088" s="5" t="n"/>
      <c r="G1088" s="6">
        <f>IF(OR(A1088="",D1088="",E1088=""),"",ROUND(MOD(E1088-D1088,1)*24-N(F1088)/60,2))</f>
        <v/>
      </c>
      <c r="H1088" s="7">
        <f>IF(C1088="","",IFERROR(INDEX(Sites!$B$2:$B$501,MATCH(C1088,Sites!$A$2:$A$501,0)),"?"))</f>
        <v/>
      </c>
      <c r="I1088" s="8">
        <f>IF(A1088="","",A1088-WEEKDAY(A1088,3))</f>
        <v/>
      </c>
      <c r="K1088" s="7">
        <f>IF(A1088="","",IF(OR(B1088="",C1088="",D1088="",E1088=""),"Missing info",IF(ISNA(MATCH(B1088,Staff!$A$2:$A$101,0)),"Unknown employee",IF(H1088="?","Unknown site",IF(G1088&lt;=0,"Check times",IF(G1088&gt;12,"Over 12h",IF(COUNTIFS($L$2:$L$2001,L1088)&gt;1,"Duplicate?",IF(A1088&gt;TODAY(),"Future date","OK"))))))))</f>
        <v/>
      </c>
      <c r="L1088">
        <f>IF(A1088="","",TEXT(A1088,"yyyy-mm-dd")&amp;"|"&amp;B1088&amp;"|"&amp;C1088)</f>
        <v/>
      </c>
    </row>
    <row r="1089">
      <c r="A1089" s="4" t="n"/>
      <c r="D1089" s="5" t="n"/>
      <c r="E1089" s="5" t="n"/>
      <c r="G1089" s="6">
        <f>IF(OR(A1089="",D1089="",E1089=""),"",ROUND(MOD(E1089-D1089,1)*24-N(F1089)/60,2))</f>
        <v/>
      </c>
      <c r="H1089" s="7">
        <f>IF(C1089="","",IFERROR(INDEX(Sites!$B$2:$B$501,MATCH(C1089,Sites!$A$2:$A$501,0)),"?"))</f>
        <v/>
      </c>
      <c r="I1089" s="8">
        <f>IF(A1089="","",A1089-WEEKDAY(A1089,3))</f>
        <v/>
      </c>
      <c r="K1089" s="7">
        <f>IF(A1089="","",IF(OR(B1089="",C1089="",D1089="",E1089=""),"Missing info",IF(ISNA(MATCH(B1089,Staff!$A$2:$A$101,0)),"Unknown employee",IF(H1089="?","Unknown site",IF(G1089&lt;=0,"Check times",IF(G1089&gt;12,"Over 12h",IF(COUNTIFS($L$2:$L$2001,L1089)&gt;1,"Duplicate?",IF(A1089&gt;TODAY(),"Future date","OK"))))))))</f>
        <v/>
      </c>
      <c r="L1089">
        <f>IF(A1089="","",TEXT(A1089,"yyyy-mm-dd")&amp;"|"&amp;B1089&amp;"|"&amp;C1089)</f>
        <v/>
      </c>
    </row>
    <row r="1090">
      <c r="A1090" s="4" t="n"/>
      <c r="D1090" s="5" t="n"/>
      <c r="E1090" s="5" t="n"/>
      <c r="G1090" s="6">
        <f>IF(OR(A1090="",D1090="",E1090=""),"",ROUND(MOD(E1090-D1090,1)*24-N(F1090)/60,2))</f>
        <v/>
      </c>
      <c r="H1090" s="7">
        <f>IF(C1090="","",IFERROR(INDEX(Sites!$B$2:$B$501,MATCH(C1090,Sites!$A$2:$A$501,0)),"?"))</f>
        <v/>
      </c>
      <c r="I1090" s="8">
        <f>IF(A1090="","",A1090-WEEKDAY(A1090,3))</f>
        <v/>
      </c>
      <c r="K1090" s="7">
        <f>IF(A1090="","",IF(OR(B1090="",C1090="",D1090="",E1090=""),"Missing info",IF(ISNA(MATCH(B1090,Staff!$A$2:$A$101,0)),"Unknown employee",IF(H1090="?","Unknown site",IF(G1090&lt;=0,"Check times",IF(G1090&gt;12,"Over 12h",IF(COUNTIFS($L$2:$L$2001,L1090)&gt;1,"Duplicate?",IF(A1090&gt;TODAY(),"Future date","OK"))))))))</f>
        <v/>
      </c>
      <c r="L1090">
        <f>IF(A1090="","",TEXT(A1090,"yyyy-mm-dd")&amp;"|"&amp;B1090&amp;"|"&amp;C1090)</f>
        <v/>
      </c>
    </row>
    <row r="1091">
      <c r="A1091" s="4" t="n"/>
      <c r="D1091" s="5" t="n"/>
      <c r="E1091" s="5" t="n"/>
      <c r="G1091" s="6">
        <f>IF(OR(A1091="",D1091="",E1091=""),"",ROUND(MOD(E1091-D1091,1)*24-N(F1091)/60,2))</f>
        <v/>
      </c>
      <c r="H1091" s="7">
        <f>IF(C1091="","",IFERROR(INDEX(Sites!$B$2:$B$501,MATCH(C1091,Sites!$A$2:$A$501,0)),"?"))</f>
        <v/>
      </c>
      <c r="I1091" s="8">
        <f>IF(A1091="","",A1091-WEEKDAY(A1091,3))</f>
        <v/>
      </c>
      <c r="K1091" s="7">
        <f>IF(A1091="","",IF(OR(B1091="",C1091="",D1091="",E1091=""),"Missing info",IF(ISNA(MATCH(B1091,Staff!$A$2:$A$101,0)),"Unknown employee",IF(H1091="?","Unknown site",IF(G1091&lt;=0,"Check times",IF(G1091&gt;12,"Over 12h",IF(COUNTIFS($L$2:$L$2001,L1091)&gt;1,"Duplicate?",IF(A1091&gt;TODAY(),"Future date","OK"))))))))</f>
        <v/>
      </c>
      <c r="L1091">
        <f>IF(A1091="","",TEXT(A1091,"yyyy-mm-dd")&amp;"|"&amp;B1091&amp;"|"&amp;C1091)</f>
        <v/>
      </c>
    </row>
    <row r="1092">
      <c r="A1092" s="4" t="n"/>
      <c r="D1092" s="5" t="n"/>
      <c r="E1092" s="5" t="n"/>
      <c r="G1092" s="6">
        <f>IF(OR(A1092="",D1092="",E1092=""),"",ROUND(MOD(E1092-D1092,1)*24-N(F1092)/60,2))</f>
        <v/>
      </c>
      <c r="H1092" s="7">
        <f>IF(C1092="","",IFERROR(INDEX(Sites!$B$2:$B$501,MATCH(C1092,Sites!$A$2:$A$501,0)),"?"))</f>
        <v/>
      </c>
      <c r="I1092" s="8">
        <f>IF(A1092="","",A1092-WEEKDAY(A1092,3))</f>
        <v/>
      </c>
      <c r="K1092" s="7">
        <f>IF(A1092="","",IF(OR(B1092="",C1092="",D1092="",E1092=""),"Missing info",IF(ISNA(MATCH(B1092,Staff!$A$2:$A$101,0)),"Unknown employee",IF(H1092="?","Unknown site",IF(G1092&lt;=0,"Check times",IF(G1092&gt;12,"Over 12h",IF(COUNTIFS($L$2:$L$2001,L1092)&gt;1,"Duplicate?",IF(A1092&gt;TODAY(),"Future date","OK"))))))))</f>
        <v/>
      </c>
      <c r="L1092">
        <f>IF(A1092="","",TEXT(A1092,"yyyy-mm-dd")&amp;"|"&amp;B1092&amp;"|"&amp;C1092)</f>
        <v/>
      </c>
    </row>
    <row r="1093">
      <c r="A1093" s="4" t="n"/>
      <c r="D1093" s="5" t="n"/>
      <c r="E1093" s="5" t="n"/>
      <c r="G1093" s="6">
        <f>IF(OR(A1093="",D1093="",E1093=""),"",ROUND(MOD(E1093-D1093,1)*24-N(F1093)/60,2))</f>
        <v/>
      </c>
      <c r="H1093" s="7">
        <f>IF(C1093="","",IFERROR(INDEX(Sites!$B$2:$B$501,MATCH(C1093,Sites!$A$2:$A$501,0)),"?"))</f>
        <v/>
      </c>
      <c r="I1093" s="8">
        <f>IF(A1093="","",A1093-WEEKDAY(A1093,3))</f>
        <v/>
      </c>
      <c r="K1093" s="7">
        <f>IF(A1093="","",IF(OR(B1093="",C1093="",D1093="",E1093=""),"Missing info",IF(ISNA(MATCH(B1093,Staff!$A$2:$A$101,0)),"Unknown employee",IF(H1093="?","Unknown site",IF(G1093&lt;=0,"Check times",IF(G1093&gt;12,"Over 12h",IF(COUNTIFS($L$2:$L$2001,L1093)&gt;1,"Duplicate?",IF(A1093&gt;TODAY(),"Future date","OK"))))))))</f>
        <v/>
      </c>
      <c r="L1093">
        <f>IF(A1093="","",TEXT(A1093,"yyyy-mm-dd")&amp;"|"&amp;B1093&amp;"|"&amp;C1093)</f>
        <v/>
      </c>
    </row>
    <row r="1094">
      <c r="A1094" s="4" t="n"/>
      <c r="D1094" s="5" t="n"/>
      <c r="E1094" s="5" t="n"/>
      <c r="G1094" s="6">
        <f>IF(OR(A1094="",D1094="",E1094=""),"",ROUND(MOD(E1094-D1094,1)*24-N(F1094)/60,2))</f>
        <v/>
      </c>
      <c r="H1094" s="7">
        <f>IF(C1094="","",IFERROR(INDEX(Sites!$B$2:$B$501,MATCH(C1094,Sites!$A$2:$A$501,0)),"?"))</f>
        <v/>
      </c>
      <c r="I1094" s="8">
        <f>IF(A1094="","",A1094-WEEKDAY(A1094,3))</f>
        <v/>
      </c>
      <c r="K1094" s="7">
        <f>IF(A1094="","",IF(OR(B1094="",C1094="",D1094="",E1094=""),"Missing info",IF(ISNA(MATCH(B1094,Staff!$A$2:$A$101,0)),"Unknown employee",IF(H1094="?","Unknown site",IF(G1094&lt;=0,"Check times",IF(G1094&gt;12,"Over 12h",IF(COUNTIFS($L$2:$L$2001,L1094)&gt;1,"Duplicate?",IF(A1094&gt;TODAY(),"Future date","OK"))))))))</f>
        <v/>
      </c>
      <c r="L1094">
        <f>IF(A1094="","",TEXT(A1094,"yyyy-mm-dd")&amp;"|"&amp;B1094&amp;"|"&amp;C1094)</f>
        <v/>
      </c>
    </row>
    <row r="1095">
      <c r="A1095" s="4" t="n"/>
      <c r="D1095" s="5" t="n"/>
      <c r="E1095" s="5" t="n"/>
      <c r="G1095" s="6">
        <f>IF(OR(A1095="",D1095="",E1095=""),"",ROUND(MOD(E1095-D1095,1)*24-N(F1095)/60,2))</f>
        <v/>
      </c>
      <c r="H1095" s="7">
        <f>IF(C1095="","",IFERROR(INDEX(Sites!$B$2:$B$501,MATCH(C1095,Sites!$A$2:$A$501,0)),"?"))</f>
        <v/>
      </c>
      <c r="I1095" s="8">
        <f>IF(A1095="","",A1095-WEEKDAY(A1095,3))</f>
        <v/>
      </c>
      <c r="K1095" s="7">
        <f>IF(A1095="","",IF(OR(B1095="",C1095="",D1095="",E1095=""),"Missing info",IF(ISNA(MATCH(B1095,Staff!$A$2:$A$101,0)),"Unknown employee",IF(H1095="?","Unknown site",IF(G1095&lt;=0,"Check times",IF(G1095&gt;12,"Over 12h",IF(COUNTIFS($L$2:$L$2001,L1095)&gt;1,"Duplicate?",IF(A1095&gt;TODAY(),"Future date","OK"))))))))</f>
        <v/>
      </c>
      <c r="L1095">
        <f>IF(A1095="","",TEXT(A1095,"yyyy-mm-dd")&amp;"|"&amp;B1095&amp;"|"&amp;C1095)</f>
        <v/>
      </c>
    </row>
    <row r="1096">
      <c r="A1096" s="4" t="n"/>
      <c r="D1096" s="5" t="n"/>
      <c r="E1096" s="5" t="n"/>
      <c r="G1096" s="6">
        <f>IF(OR(A1096="",D1096="",E1096=""),"",ROUND(MOD(E1096-D1096,1)*24-N(F1096)/60,2))</f>
        <v/>
      </c>
      <c r="H1096" s="7">
        <f>IF(C1096="","",IFERROR(INDEX(Sites!$B$2:$B$501,MATCH(C1096,Sites!$A$2:$A$501,0)),"?"))</f>
        <v/>
      </c>
      <c r="I1096" s="8">
        <f>IF(A1096="","",A1096-WEEKDAY(A1096,3))</f>
        <v/>
      </c>
      <c r="K1096" s="7">
        <f>IF(A1096="","",IF(OR(B1096="",C1096="",D1096="",E1096=""),"Missing info",IF(ISNA(MATCH(B1096,Staff!$A$2:$A$101,0)),"Unknown employee",IF(H1096="?","Unknown site",IF(G1096&lt;=0,"Check times",IF(G1096&gt;12,"Over 12h",IF(COUNTIFS($L$2:$L$2001,L1096)&gt;1,"Duplicate?",IF(A1096&gt;TODAY(),"Future date","OK"))))))))</f>
        <v/>
      </c>
      <c r="L1096">
        <f>IF(A1096="","",TEXT(A1096,"yyyy-mm-dd")&amp;"|"&amp;B1096&amp;"|"&amp;C1096)</f>
        <v/>
      </c>
    </row>
    <row r="1097">
      <c r="A1097" s="4" t="n"/>
      <c r="D1097" s="5" t="n"/>
      <c r="E1097" s="5" t="n"/>
      <c r="G1097" s="6">
        <f>IF(OR(A1097="",D1097="",E1097=""),"",ROUND(MOD(E1097-D1097,1)*24-N(F1097)/60,2))</f>
        <v/>
      </c>
      <c r="H1097" s="7">
        <f>IF(C1097="","",IFERROR(INDEX(Sites!$B$2:$B$501,MATCH(C1097,Sites!$A$2:$A$501,0)),"?"))</f>
        <v/>
      </c>
      <c r="I1097" s="8">
        <f>IF(A1097="","",A1097-WEEKDAY(A1097,3))</f>
        <v/>
      </c>
      <c r="K1097" s="7">
        <f>IF(A1097="","",IF(OR(B1097="",C1097="",D1097="",E1097=""),"Missing info",IF(ISNA(MATCH(B1097,Staff!$A$2:$A$101,0)),"Unknown employee",IF(H1097="?","Unknown site",IF(G1097&lt;=0,"Check times",IF(G1097&gt;12,"Over 12h",IF(COUNTIFS($L$2:$L$2001,L1097)&gt;1,"Duplicate?",IF(A1097&gt;TODAY(),"Future date","OK"))))))))</f>
        <v/>
      </c>
      <c r="L1097">
        <f>IF(A1097="","",TEXT(A1097,"yyyy-mm-dd")&amp;"|"&amp;B1097&amp;"|"&amp;C1097)</f>
        <v/>
      </c>
    </row>
    <row r="1098">
      <c r="A1098" s="4" t="n"/>
      <c r="D1098" s="5" t="n"/>
      <c r="E1098" s="5" t="n"/>
      <c r="G1098" s="6">
        <f>IF(OR(A1098="",D1098="",E1098=""),"",ROUND(MOD(E1098-D1098,1)*24-N(F1098)/60,2))</f>
        <v/>
      </c>
      <c r="H1098" s="7">
        <f>IF(C1098="","",IFERROR(INDEX(Sites!$B$2:$B$501,MATCH(C1098,Sites!$A$2:$A$501,0)),"?"))</f>
        <v/>
      </c>
      <c r="I1098" s="8">
        <f>IF(A1098="","",A1098-WEEKDAY(A1098,3))</f>
        <v/>
      </c>
      <c r="K1098" s="7">
        <f>IF(A1098="","",IF(OR(B1098="",C1098="",D1098="",E1098=""),"Missing info",IF(ISNA(MATCH(B1098,Staff!$A$2:$A$101,0)),"Unknown employee",IF(H1098="?","Unknown site",IF(G1098&lt;=0,"Check times",IF(G1098&gt;12,"Over 12h",IF(COUNTIFS($L$2:$L$2001,L1098)&gt;1,"Duplicate?",IF(A1098&gt;TODAY(),"Future date","OK"))))))))</f>
        <v/>
      </c>
      <c r="L1098">
        <f>IF(A1098="","",TEXT(A1098,"yyyy-mm-dd")&amp;"|"&amp;B1098&amp;"|"&amp;C1098)</f>
        <v/>
      </c>
    </row>
    <row r="1099">
      <c r="A1099" s="4" t="n"/>
      <c r="D1099" s="5" t="n"/>
      <c r="E1099" s="5" t="n"/>
      <c r="G1099" s="6">
        <f>IF(OR(A1099="",D1099="",E1099=""),"",ROUND(MOD(E1099-D1099,1)*24-N(F1099)/60,2))</f>
        <v/>
      </c>
      <c r="H1099" s="7">
        <f>IF(C1099="","",IFERROR(INDEX(Sites!$B$2:$B$501,MATCH(C1099,Sites!$A$2:$A$501,0)),"?"))</f>
        <v/>
      </c>
      <c r="I1099" s="8">
        <f>IF(A1099="","",A1099-WEEKDAY(A1099,3))</f>
        <v/>
      </c>
      <c r="K1099" s="7">
        <f>IF(A1099="","",IF(OR(B1099="",C1099="",D1099="",E1099=""),"Missing info",IF(ISNA(MATCH(B1099,Staff!$A$2:$A$101,0)),"Unknown employee",IF(H1099="?","Unknown site",IF(G1099&lt;=0,"Check times",IF(G1099&gt;12,"Over 12h",IF(COUNTIFS($L$2:$L$2001,L1099)&gt;1,"Duplicate?",IF(A1099&gt;TODAY(),"Future date","OK"))))))))</f>
        <v/>
      </c>
      <c r="L1099">
        <f>IF(A1099="","",TEXT(A1099,"yyyy-mm-dd")&amp;"|"&amp;B1099&amp;"|"&amp;C1099)</f>
        <v/>
      </c>
    </row>
    <row r="1100">
      <c r="A1100" s="4" t="n"/>
      <c r="D1100" s="5" t="n"/>
      <c r="E1100" s="5" t="n"/>
      <c r="G1100" s="6">
        <f>IF(OR(A1100="",D1100="",E1100=""),"",ROUND(MOD(E1100-D1100,1)*24-N(F1100)/60,2))</f>
        <v/>
      </c>
      <c r="H1100" s="7">
        <f>IF(C1100="","",IFERROR(INDEX(Sites!$B$2:$B$501,MATCH(C1100,Sites!$A$2:$A$501,0)),"?"))</f>
        <v/>
      </c>
      <c r="I1100" s="8">
        <f>IF(A1100="","",A1100-WEEKDAY(A1100,3))</f>
        <v/>
      </c>
      <c r="K1100" s="7">
        <f>IF(A1100="","",IF(OR(B1100="",C1100="",D1100="",E1100=""),"Missing info",IF(ISNA(MATCH(B1100,Staff!$A$2:$A$101,0)),"Unknown employee",IF(H1100="?","Unknown site",IF(G1100&lt;=0,"Check times",IF(G1100&gt;12,"Over 12h",IF(COUNTIFS($L$2:$L$2001,L1100)&gt;1,"Duplicate?",IF(A1100&gt;TODAY(),"Future date","OK"))))))))</f>
        <v/>
      </c>
      <c r="L1100">
        <f>IF(A1100="","",TEXT(A1100,"yyyy-mm-dd")&amp;"|"&amp;B1100&amp;"|"&amp;C1100)</f>
        <v/>
      </c>
    </row>
    <row r="1101">
      <c r="A1101" s="4" t="n"/>
      <c r="D1101" s="5" t="n"/>
      <c r="E1101" s="5" t="n"/>
      <c r="G1101" s="6">
        <f>IF(OR(A1101="",D1101="",E1101=""),"",ROUND(MOD(E1101-D1101,1)*24-N(F1101)/60,2))</f>
        <v/>
      </c>
      <c r="H1101" s="7">
        <f>IF(C1101="","",IFERROR(INDEX(Sites!$B$2:$B$501,MATCH(C1101,Sites!$A$2:$A$501,0)),"?"))</f>
        <v/>
      </c>
      <c r="I1101" s="8">
        <f>IF(A1101="","",A1101-WEEKDAY(A1101,3))</f>
        <v/>
      </c>
      <c r="K1101" s="7">
        <f>IF(A1101="","",IF(OR(B1101="",C1101="",D1101="",E1101=""),"Missing info",IF(ISNA(MATCH(B1101,Staff!$A$2:$A$101,0)),"Unknown employee",IF(H1101="?","Unknown site",IF(G1101&lt;=0,"Check times",IF(G1101&gt;12,"Over 12h",IF(COUNTIFS($L$2:$L$2001,L1101)&gt;1,"Duplicate?",IF(A1101&gt;TODAY(),"Future date","OK"))))))))</f>
        <v/>
      </c>
      <c r="L1101">
        <f>IF(A1101="","",TEXT(A1101,"yyyy-mm-dd")&amp;"|"&amp;B1101&amp;"|"&amp;C1101)</f>
        <v/>
      </c>
    </row>
    <row r="1102">
      <c r="A1102" s="4" t="n"/>
      <c r="D1102" s="5" t="n"/>
      <c r="E1102" s="5" t="n"/>
      <c r="G1102" s="6">
        <f>IF(OR(A1102="",D1102="",E1102=""),"",ROUND(MOD(E1102-D1102,1)*24-N(F1102)/60,2))</f>
        <v/>
      </c>
      <c r="H1102" s="7">
        <f>IF(C1102="","",IFERROR(INDEX(Sites!$B$2:$B$501,MATCH(C1102,Sites!$A$2:$A$501,0)),"?"))</f>
        <v/>
      </c>
      <c r="I1102" s="8">
        <f>IF(A1102="","",A1102-WEEKDAY(A1102,3))</f>
        <v/>
      </c>
      <c r="K1102" s="7">
        <f>IF(A1102="","",IF(OR(B1102="",C1102="",D1102="",E1102=""),"Missing info",IF(ISNA(MATCH(B1102,Staff!$A$2:$A$101,0)),"Unknown employee",IF(H1102="?","Unknown site",IF(G1102&lt;=0,"Check times",IF(G1102&gt;12,"Over 12h",IF(COUNTIFS($L$2:$L$2001,L1102)&gt;1,"Duplicate?",IF(A1102&gt;TODAY(),"Future date","OK"))))))))</f>
        <v/>
      </c>
      <c r="L1102">
        <f>IF(A1102="","",TEXT(A1102,"yyyy-mm-dd")&amp;"|"&amp;B1102&amp;"|"&amp;C1102)</f>
        <v/>
      </c>
    </row>
    <row r="1103">
      <c r="A1103" s="4" t="n"/>
      <c r="D1103" s="5" t="n"/>
      <c r="E1103" s="5" t="n"/>
      <c r="G1103" s="6">
        <f>IF(OR(A1103="",D1103="",E1103=""),"",ROUND(MOD(E1103-D1103,1)*24-N(F1103)/60,2))</f>
        <v/>
      </c>
      <c r="H1103" s="7">
        <f>IF(C1103="","",IFERROR(INDEX(Sites!$B$2:$B$501,MATCH(C1103,Sites!$A$2:$A$501,0)),"?"))</f>
        <v/>
      </c>
      <c r="I1103" s="8">
        <f>IF(A1103="","",A1103-WEEKDAY(A1103,3))</f>
        <v/>
      </c>
      <c r="K1103" s="7">
        <f>IF(A1103="","",IF(OR(B1103="",C1103="",D1103="",E1103=""),"Missing info",IF(ISNA(MATCH(B1103,Staff!$A$2:$A$101,0)),"Unknown employee",IF(H1103="?","Unknown site",IF(G1103&lt;=0,"Check times",IF(G1103&gt;12,"Over 12h",IF(COUNTIFS($L$2:$L$2001,L1103)&gt;1,"Duplicate?",IF(A1103&gt;TODAY(),"Future date","OK"))))))))</f>
        <v/>
      </c>
      <c r="L1103">
        <f>IF(A1103="","",TEXT(A1103,"yyyy-mm-dd")&amp;"|"&amp;B1103&amp;"|"&amp;C1103)</f>
        <v/>
      </c>
    </row>
    <row r="1104">
      <c r="A1104" s="4" t="n"/>
      <c r="D1104" s="5" t="n"/>
      <c r="E1104" s="5" t="n"/>
      <c r="G1104" s="6">
        <f>IF(OR(A1104="",D1104="",E1104=""),"",ROUND(MOD(E1104-D1104,1)*24-N(F1104)/60,2))</f>
        <v/>
      </c>
      <c r="H1104" s="7">
        <f>IF(C1104="","",IFERROR(INDEX(Sites!$B$2:$B$501,MATCH(C1104,Sites!$A$2:$A$501,0)),"?"))</f>
        <v/>
      </c>
      <c r="I1104" s="8">
        <f>IF(A1104="","",A1104-WEEKDAY(A1104,3))</f>
        <v/>
      </c>
      <c r="K1104" s="7">
        <f>IF(A1104="","",IF(OR(B1104="",C1104="",D1104="",E1104=""),"Missing info",IF(ISNA(MATCH(B1104,Staff!$A$2:$A$101,0)),"Unknown employee",IF(H1104="?","Unknown site",IF(G1104&lt;=0,"Check times",IF(G1104&gt;12,"Over 12h",IF(COUNTIFS($L$2:$L$2001,L1104)&gt;1,"Duplicate?",IF(A1104&gt;TODAY(),"Future date","OK"))))))))</f>
        <v/>
      </c>
      <c r="L1104">
        <f>IF(A1104="","",TEXT(A1104,"yyyy-mm-dd")&amp;"|"&amp;B1104&amp;"|"&amp;C1104)</f>
        <v/>
      </c>
    </row>
    <row r="1105">
      <c r="A1105" s="4" t="n"/>
      <c r="D1105" s="5" t="n"/>
      <c r="E1105" s="5" t="n"/>
      <c r="G1105" s="6">
        <f>IF(OR(A1105="",D1105="",E1105=""),"",ROUND(MOD(E1105-D1105,1)*24-N(F1105)/60,2))</f>
        <v/>
      </c>
      <c r="H1105" s="7">
        <f>IF(C1105="","",IFERROR(INDEX(Sites!$B$2:$B$501,MATCH(C1105,Sites!$A$2:$A$501,0)),"?"))</f>
        <v/>
      </c>
      <c r="I1105" s="8">
        <f>IF(A1105="","",A1105-WEEKDAY(A1105,3))</f>
        <v/>
      </c>
      <c r="K1105" s="7">
        <f>IF(A1105="","",IF(OR(B1105="",C1105="",D1105="",E1105=""),"Missing info",IF(ISNA(MATCH(B1105,Staff!$A$2:$A$101,0)),"Unknown employee",IF(H1105="?","Unknown site",IF(G1105&lt;=0,"Check times",IF(G1105&gt;12,"Over 12h",IF(COUNTIFS($L$2:$L$2001,L1105)&gt;1,"Duplicate?",IF(A1105&gt;TODAY(),"Future date","OK"))))))))</f>
        <v/>
      </c>
      <c r="L1105">
        <f>IF(A1105="","",TEXT(A1105,"yyyy-mm-dd")&amp;"|"&amp;B1105&amp;"|"&amp;C1105)</f>
        <v/>
      </c>
    </row>
    <row r="1106">
      <c r="A1106" s="4" t="n"/>
      <c r="D1106" s="5" t="n"/>
      <c r="E1106" s="5" t="n"/>
      <c r="G1106" s="6">
        <f>IF(OR(A1106="",D1106="",E1106=""),"",ROUND(MOD(E1106-D1106,1)*24-N(F1106)/60,2))</f>
        <v/>
      </c>
      <c r="H1106" s="7">
        <f>IF(C1106="","",IFERROR(INDEX(Sites!$B$2:$B$501,MATCH(C1106,Sites!$A$2:$A$501,0)),"?"))</f>
        <v/>
      </c>
      <c r="I1106" s="8">
        <f>IF(A1106="","",A1106-WEEKDAY(A1106,3))</f>
        <v/>
      </c>
      <c r="K1106" s="7">
        <f>IF(A1106="","",IF(OR(B1106="",C1106="",D1106="",E1106=""),"Missing info",IF(ISNA(MATCH(B1106,Staff!$A$2:$A$101,0)),"Unknown employee",IF(H1106="?","Unknown site",IF(G1106&lt;=0,"Check times",IF(G1106&gt;12,"Over 12h",IF(COUNTIFS($L$2:$L$2001,L1106)&gt;1,"Duplicate?",IF(A1106&gt;TODAY(),"Future date","OK"))))))))</f>
        <v/>
      </c>
      <c r="L1106">
        <f>IF(A1106="","",TEXT(A1106,"yyyy-mm-dd")&amp;"|"&amp;B1106&amp;"|"&amp;C1106)</f>
        <v/>
      </c>
    </row>
    <row r="1107">
      <c r="A1107" s="4" t="n"/>
      <c r="D1107" s="5" t="n"/>
      <c r="E1107" s="5" t="n"/>
      <c r="G1107" s="6">
        <f>IF(OR(A1107="",D1107="",E1107=""),"",ROUND(MOD(E1107-D1107,1)*24-N(F1107)/60,2))</f>
        <v/>
      </c>
      <c r="H1107" s="7">
        <f>IF(C1107="","",IFERROR(INDEX(Sites!$B$2:$B$501,MATCH(C1107,Sites!$A$2:$A$501,0)),"?"))</f>
        <v/>
      </c>
      <c r="I1107" s="8">
        <f>IF(A1107="","",A1107-WEEKDAY(A1107,3))</f>
        <v/>
      </c>
      <c r="K1107" s="7">
        <f>IF(A1107="","",IF(OR(B1107="",C1107="",D1107="",E1107=""),"Missing info",IF(ISNA(MATCH(B1107,Staff!$A$2:$A$101,0)),"Unknown employee",IF(H1107="?","Unknown site",IF(G1107&lt;=0,"Check times",IF(G1107&gt;12,"Over 12h",IF(COUNTIFS($L$2:$L$2001,L1107)&gt;1,"Duplicate?",IF(A1107&gt;TODAY(),"Future date","OK"))))))))</f>
        <v/>
      </c>
      <c r="L1107">
        <f>IF(A1107="","",TEXT(A1107,"yyyy-mm-dd")&amp;"|"&amp;B1107&amp;"|"&amp;C1107)</f>
        <v/>
      </c>
    </row>
    <row r="1108">
      <c r="A1108" s="4" t="n"/>
      <c r="D1108" s="5" t="n"/>
      <c r="E1108" s="5" t="n"/>
      <c r="G1108" s="6">
        <f>IF(OR(A1108="",D1108="",E1108=""),"",ROUND(MOD(E1108-D1108,1)*24-N(F1108)/60,2))</f>
        <v/>
      </c>
      <c r="H1108" s="7">
        <f>IF(C1108="","",IFERROR(INDEX(Sites!$B$2:$B$501,MATCH(C1108,Sites!$A$2:$A$501,0)),"?"))</f>
        <v/>
      </c>
      <c r="I1108" s="8">
        <f>IF(A1108="","",A1108-WEEKDAY(A1108,3))</f>
        <v/>
      </c>
      <c r="K1108" s="7">
        <f>IF(A1108="","",IF(OR(B1108="",C1108="",D1108="",E1108=""),"Missing info",IF(ISNA(MATCH(B1108,Staff!$A$2:$A$101,0)),"Unknown employee",IF(H1108="?","Unknown site",IF(G1108&lt;=0,"Check times",IF(G1108&gt;12,"Over 12h",IF(COUNTIFS($L$2:$L$2001,L1108)&gt;1,"Duplicate?",IF(A1108&gt;TODAY(),"Future date","OK"))))))))</f>
        <v/>
      </c>
      <c r="L1108">
        <f>IF(A1108="","",TEXT(A1108,"yyyy-mm-dd")&amp;"|"&amp;B1108&amp;"|"&amp;C1108)</f>
        <v/>
      </c>
    </row>
    <row r="1109">
      <c r="A1109" s="4" t="n"/>
      <c r="D1109" s="5" t="n"/>
      <c r="E1109" s="5" t="n"/>
      <c r="G1109" s="6">
        <f>IF(OR(A1109="",D1109="",E1109=""),"",ROUND(MOD(E1109-D1109,1)*24-N(F1109)/60,2))</f>
        <v/>
      </c>
      <c r="H1109" s="7">
        <f>IF(C1109="","",IFERROR(INDEX(Sites!$B$2:$B$501,MATCH(C1109,Sites!$A$2:$A$501,0)),"?"))</f>
        <v/>
      </c>
      <c r="I1109" s="8">
        <f>IF(A1109="","",A1109-WEEKDAY(A1109,3))</f>
        <v/>
      </c>
      <c r="K1109" s="7">
        <f>IF(A1109="","",IF(OR(B1109="",C1109="",D1109="",E1109=""),"Missing info",IF(ISNA(MATCH(B1109,Staff!$A$2:$A$101,0)),"Unknown employee",IF(H1109="?","Unknown site",IF(G1109&lt;=0,"Check times",IF(G1109&gt;12,"Over 12h",IF(COUNTIFS($L$2:$L$2001,L1109)&gt;1,"Duplicate?",IF(A1109&gt;TODAY(),"Future date","OK"))))))))</f>
        <v/>
      </c>
      <c r="L1109">
        <f>IF(A1109="","",TEXT(A1109,"yyyy-mm-dd")&amp;"|"&amp;B1109&amp;"|"&amp;C1109)</f>
        <v/>
      </c>
    </row>
    <row r="1110">
      <c r="A1110" s="4" t="n"/>
      <c r="D1110" s="5" t="n"/>
      <c r="E1110" s="5" t="n"/>
      <c r="G1110" s="6">
        <f>IF(OR(A1110="",D1110="",E1110=""),"",ROUND(MOD(E1110-D1110,1)*24-N(F1110)/60,2))</f>
        <v/>
      </c>
      <c r="H1110" s="7">
        <f>IF(C1110="","",IFERROR(INDEX(Sites!$B$2:$B$501,MATCH(C1110,Sites!$A$2:$A$501,0)),"?"))</f>
        <v/>
      </c>
      <c r="I1110" s="8">
        <f>IF(A1110="","",A1110-WEEKDAY(A1110,3))</f>
        <v/>
      </c>
      <c r="K1110" s="7">
        <f>IF(A1110="","",IF(OR(B1110="",C1110="",D1110="",E1110=""),"Missing info",IF(ISNA(MATCH(B1110,Staff!$A$2:$A$101,0)),"Unknown employee",IF(H1110="?","Unknown site",IF(G1110&lt;=0,"Check times",IF(G1110&gt;12,"Over 12h",IF(COUNTIFS($L$2:$L$2001,L1110)&gt;1,"Duplicate?",IF(A1110&gt;TODAY(),"Future date","OK"))))))))</f>
        <v/>
      </c>
      <c r="L1110">
        <f>IF(A1110="","",TEXT(A1110,"yyyy-mm-dd")&amp;"|"&amp;B1110&amp;"|"&amp;C1110)</f>
        <v/>
      </c>
    </row>
    <row r="1111">
      <c r="A1111" s="4" t="n"/>
      <c r="D1111" s="5" t="n"/>
      <c r="E1111" s="5" t="n"/>
      <c r="G1111" s="6">
        <f>IF(OR(A1111="",D1111="",E1111=""),"",ROUND(MOD(E1111-D1111,1)*24-N(F1111)/60,2))</f>
        <v/>
      </c>
      <c r="H1111" s="7">
        <f>IF(C1111="","",IFERROR(INDEX(Sites!$B$2:$B$501,MATCH(C1111,Sites!$A$2:$A$501,0)),"?"))</f>
        <v/>
      </c>
      <c r="I1111" s="8">
        <f>IF(A1111="","",A1111-WEEKDAY(A1111,3))</f>
        <v/>
      </c>
      <c r="K1111" s="7">
        <f>IF(A1111="","",IF(OR(B1111="",C1111="",D1111="",E1111=""),"Missing info",IF(ISNA(MATCH(B1111,Staff!$A$2:$A$101,0)),"Unknown employee",IF(H1111="?","Unknown site",IF(G1111&lt;=0,"Check times",IF(G1111&gt;12,"Over 12h",IF(COUNTIFS($L$2:$L$2001,L1111)&gt;1,"Duplicate?",IF(A1111&gt;TODAY(),"Future date","OK"))))))))</f>
        <v/>
      </c>
      <c r="L1111">
        <f>IF(A1111="","",TEXT(A1111,"yyyy-mm-dd")&amp;"|"&amp;B1111&amp;"|"&amp;C1111)</f>
        <v/>
      </c>
    </row>
    <row r="1112">
      <c r="A1112" s="4" t="n"/>
      <c r="D1112" s="5" t="n"/>
      <c r="E1112" s="5" t="n"/>
      <c r="G1112" s="6">
        <f>IF(OR(A1112="",D1112="",E1112=""),"",ROUND(MOD(E1112-D1112,1)*24-N(F1112)/60,2))</f>
        <v/>
      </c>
      <c r="H1112" s="7">
        <f>IF(C1112="","",IFERROR(INDEX(Sites!$B$2:$B$501,MATCH(C1112,Sites!$A$2:$A$501,0)),"?"))</f>
        <v/>
      </c>
      <c r="I1112" s="8">
        <f>IF(A1112="","",A1112-WEEKDAY(A1112,3))</f>
        <v/>
      </c>
      <c r="K1112" s="7">
        <f>IF(A1112="","",IF(OR(B1112="",C1112="",D1112="",E1112=""),"Missing info",IF(ISNA(MATCH(B1112,Staff!$A$2:$A$101,0)),"Unknown employee",IF(H1112="?","Unknown site",IF(G1112&lt;=0,"Check times",IF(G1112&gt;12,"Over 12h",IF(COUNTIFS($L$2:$L$2001,L1112)&gt;1,"Duplicate?",IF(A1112&gt;TODAY(),"Future date","OK"))))))))</f>
        <v/>
      </c>
      <c r="L1112">
        <f>IF(A1112="","",TEXT(A1112,"yyyy-mm-dd")&amp;"|"&amp;B1112&amp;"|"&amp;C1112)</f>
        <v/>
      </c>
    </row>
    <row r="1113">
      <c r="A1113" s="4" t="n"/>
      <c r="D1113" s="5" t="n"/>
      <c r="E1113" s="5" t="n"/>
      <c r="G1113" s="6">
        <f>IF(OR(A1113="",D1113="",E1113=""),"",ROUND(MOD(E1113-D1113,1)*24-N(F1113)/60,2))</f>
        <v/>
      </c>
      <c r="H1113" s="7">
        <f>IF(C1113="","",IFERROR(INDEX(Sites!$B$2:$B$501,MATCH(C1113,Sites!$A$2:$A$501,0)),"?"))</f>
        <v/>
      </c>
      <c r="I1113" s="8">
        <f>IF(A1113="","",A1113-WEEKDAY(A1113,3))</f>
        <v/>
      </c>
      <c r="K1113" s="7">
        <f>IF(A1113="","",IF(OR(B1113="",C1113="",D1113="",E1113=""),"Missing info",IF(ISNA(MATCH(B1113,Staff!$A$2:$A$101,0)),"Unknown employee",IF(H1113="?","Unknown site",IF(G1113&lt;=0,"Check times",IF(G1113&gt;12,"Over 12h",IF(COUNTIFS($L$2:$L$2001,L1113)&gt;1,"Duplicate?",IF(A1113&gt;TODAY(),"Future date","OK"))))))))</f>
        <v/>
      </c>
      <c r="L1113">
        <f>IF(A1113="","",TEXT(A1113,"yyyy-mm-dd")&amp;"|"&amp;B1113&amp;"|"&amp;C1113)</f>
        <v/>
      </c>
    </row>
    <row r="1114">
      <c r="A1114" s="4" t="n"/>
      <c r="D1114" s="5" t="n"/>
      <c r="E1114" s="5" t="n"/>
      <c r="G1114" s="6">
        <f>IF(OR(A1114="",D1114="",E1114=""),"",ROUND(MOD(E1114-D1114,1)*24-N(F1114)/60,2))</f>
        <v/>
      </c>
      <c r="H1114" s="7">
        <f>IF(C1114="","",IFERROR(INDEX(Sites!$B$2:$B$501,MATCH(C1114,Sites!$A$2:$A$501,0)),"?"))</f>
        <v/>
      </c>
      <c r="I1114" s="8">
        <f>IF(A1114="","",A1114-WEEKDAY(A1114,3))</f>
        <v/>
      </c>
      <c r="K1114" s="7">
        <f>IF(A1114="","",IF(OR(B1114="",C1114="",D1114="",E1114=""),"Missing info",IF(ISNA(MATCH(B1114,Staff!$A$2:$A$101,0)),"Unknown employee",IF(H1114="?","Unknown site",IF(G1114&lt;=0,"Check times",IF(G1114&gt;12,"Over 12h",IF(COUNTIFS($L$2:$L$2001,L1114)&gt;1,"Duplicate?",IF(A1114&gt;TODAY(),"Future date","OK"))))))))</f>
        <v/>
      </c>
      <c r="L1114">
        <f>IF(A1114="","",TEXT(A1114,"yyyy-mm-dd")&amp;"|"&amp;B1114&amp;"|"&amp;C1114)</f>
        <v/>
      </c>
    </row>
    <row r="1115">
      <c r="A1115" s="4" t="n"/>
      <c r="D1115" s="5" t="n"/>
      <c r="E1115" s="5" t="n"/>
      <c r="G1115" s="6">
        <f>IF(OR(A1115="",D1115="",E1115=""),"",ROUND(MOD(E1115-D1115,1)*24-N(F1115)/60,2))</f>
        <v/>
      </c>
      <c r="H1115" s="7">
        <f>IF(C1115="","",IFERROR(INDEX(Sites!$B$2:$B$501,MATCH(C1115,Sites!$A$2:$A$501,0)),"?"))</f>
        <v/>
      </c>
      <c r="I1115" s="8">
        <f>IF(A1115="","",A1115-WEEKDAY(A1115,3))</f>
        <v/>
      </c>
      <c r="K1115" s="7">
        <f>IF(A1115="","",IF(OR(B1115="",C1115="",D1115="",E1115=""),"Missing info",IF(ISNA(MATCH(B1115,Staff!$A$2:$A$101,0)),"Unknown employee",IF(H1115="?","Unknown site",IF(G1115&lt;=0,"Check times",IF(G1115&gt;12,"Over 12h",IF(COUNTIFS($L$2:$L$2001,L1115)&gt;1,"Duplicate?",IF(A1115&gt;TODAY(),"Future date","OK"))))))))</f>
        <v/>
      </c>
      <c r="L1115">
        <f>IF(A1115="","",TEXT(A1115,"yyyy-mm-dd")&amp;"|"&amp;B1115&amp;"|"&amp;C1115)</f>
        <v/>
      </c>
    </row>
    <row r="1116">
      <c r="A1116" s="4" t="n"/>
      <c r="D1116" s="5" t="n"/>
      <c r="E1116" s="5" t="n"/>
      <c r="G1116" s="6">
        <f>IF(OR(A1116="",D1116="",E1116=""),"",ROUND(MOD(E1116-D1116,1)*24-N(F1116)/60,2))</f>
        <v/>
      </c>
      <c r="H1116" s="7">
        <f>IF(C1116="","",IFERROR(INDEX(Sites!$B$2:$B$501,MATCH(C1116,Sites!$A$2:$A$501,0)),"?"))</f>
        <v/>
      </c>
      <c r="I1116" s="8">
        <f>IF(A1116="","",A1116-WEEKDAY(A1116,3))</f>
        <v/>
      </c>
      <c r="K1116" s="7">
        <f>IF(A1116="","",IF(OR(B1116="",C1116="",D1116="",E1116=""),"Missing info",IF(ISNA(MATCH(B1116,Staff!$A$2:$A$101,0)),"Unknown employee",IF(H1116="?","Unknown site",IF(G1116&lt;=0,"Check times",IF(G1116&gt;12,"Over 12h",IF(COUNTIFS($L$2:$L$2001,L1116)&gt;1,"Duplicate?",IF(A1116&gt;TODAY(),"Future date","OK"))))))))</f>
        <v/>
      </c>
      <c r="L1116">
        <f>IF(A1116="","",TEXT(A1116,"yyyy-mm-dd")&amp;"|"&amp;B1116&amp;"|"&amp;C1116)</f>
        <v/>
      </c>
    </row>
    <row r="1117">
      <c r="A1117" s="4" t="n"/>
      <c r="D1117" s="5" t="n"/>
      <c r="E1117" s="5" t="n"/>
      <c r="G1117" s="6">
        <f>IF(OR(A1117="",D1117="",E1117=""),"",ROUND(MOD(E1117-D1117,1)*24-N(F1117)/60,2))</f>
        <v/>
      </c>
      <c r="H1117" s="7">
        <f>IF(C1117="","",IFERROR(INDEX(Sites!$B$2:$B$501,MATCH(C1117,Sites!$A$2:$A$501,0)),"?"))</f>
        <v/>
      </c>
      <c r="I1117" s="8">
        <f>IF(A1117="","",A1117-WEEKDAY(A1117,3))</f>
        <v/>
      </c>
      <c r="K1117" s="7">
        <f>IF(A1117="","",IF(OR(B1117="",C1117="",D1117="",E1117=""),"Missing info",IF(ISNA(MATCH(B1117,Staff!$A$2:$A$101,0)),"Unknown employee",IF(H1117="?","Unknown site",IF(G1117&lt;=0,"Check times",IF(G1117&gt;12,"Over 12h",IF(COUNTIFS($L$2:$L$2001,L1117)&gt;1,"Duplicate?",IF(A1117&gt;TODAY(),"Future date","OK"))))))))</f>
        <v/>
      </c>
      <c r="L1117">
        <f>IF(A1117="","",TEXT(A1117,"yyyy-mm-dd")&amp;"|"&amp;B1117&amp;"|"&amp;C1117)</f>
        <v/>
      </c>
    </row>
    <row r="1118">
      <c r="A1118" s="4" t="n"/>
      <c r="D1118" s="5" t="n"/>
      <c r="E1118" s="5" t="n"/>
      <c r="G1118" s="6">
        <f>IF(OR(A1118="",D1118="",E1118=""),"",ROUND(MOD(E1118-D1118,1)*24-N(F1118)/60,2))</f>
        <v/>
      </c>
      <c r="H1118" s="7">
        <f>IF(C1118="","",IFERROR(INDEX(Sites!$B$2:$B$501,MATCH(C1118,Sites!$A$2:$A$501,0)),"?"))</f>
        <v/>
      </c>
      <c r="I1118" s="8">
        <f>IF(A1118="","",A1118-WEEKDAY(A1118,3))</f>
        <v/>
      </c>
      <c r="K1118" s="7">
        <f>IF(A1118="","",IF(OR(B1118="",C1118="",D1118="",E1118=""),"Missing info",IF(ISNA(MATCH(B1118,Staff!$A$2:$A$101,0)),"Unknown employee",IF(H1118="?","Unknown site",IF(G1118&lt;=0,"Check times",IF(G1118&gt;12,"Over 12h",IF(COUNTIFS($L$2:$L$2001,L1118)&gt;1,"Duplicate?",IF(A1118&gt;TODAY(),"Future date","OK"))))))))</f>
        <v/>
      </c>
      <c r="L1118">
        <f>IF(A1118="","",TEXT(A1118,"yyyy-mm-dd")&amp;"|"&amp;B1118&amp;"|"&amp;C1118)</f>
        <v/>
      </c>
    </row>
    <row r="1119">
      <c r="A1119" s="4" t="n"/>
      <c r="D1119" s="5" t="n"/>
      <c r="E1119" s="5" t="n"/>
      <c r="G1119" s="6">
        <f>IF(OR(A1119="",D1119="",E1119=""),"",ROUND(MOD(E1119-D1119,1)*24-N(F1119)/60,2))</f>
        <v/>
      </c>
      <c r="H1119" s="7">
        <f>IF(C1119="","",IFERROR(INDEX(Sites!$B$2:$B$501,MATCH(C1119,Sites!$A$2:$A$501,0)),"?"))</f>
        <v/>
      </c>
      <c r="I1119" s="8">
        <f>IF(A1119="","",A1119-WEEKDAY(A1119,3))</f>
        <v/>
      </c>
      <c r="K1119" s="7">
        <f>IF(A1119="","",IF(OR(B1119="",C1119="",D1119="",E1119=""),"Missing info",IF(ISNA(MATCH(B1119,Staff!$A$2:$A$101,0)),"Unknown employee",IF(H1119="?","Unknown site",IF(G1119&lt;=0,"Check times",IF(G1119&gt;12,"Over 12h",IF(COUNTIFS($L$2:$L$2001,L1119)&gt;1,"Duplicate?",IF(A1119&gt;TODAY(),"Future date","OK"))))))))</f>
        <v/>
      </c>
      <c r="L1119">
        <f>IF(A1119="","",TEXT(A1119,"yyyy-mm-dd")&amp;"|"&amp;B1119&amp;"|"&amp;C1119)</f>
        <v/>
      </c>
    </row>
    <row r="1120">
      <c r="A1120" s="4" t="n"/>
      <c r="D1120" s="5" t="n"/>
      <c r="E1120" s="5" t="n"/>
      <c r="G1120" s="6">
        <f>IF(OR(A1120="",D1120="",E1120=""),"",ROUND(MOD(E1120-D1120,1)*24-N(F1120)/60,2))</f>
        <v/>
      </c>
      <c r="H1120" s="7">
        <f>IF(C1120="","",IFERROR(INDEX(Sites!$B$2:$B$501,MATCH(C1120,Sites!$A$2:$A$501,0)),"?"))</f>
        <v/>
      </c>
      <c r="I1120" s="8">
        <f>IF(A1120="","",A1120-WEEKDAY(A1120,3))</f>
        <v/>
      </c>
      <c r="K1120" s="7">
        <f>IF(A1120="","",IF(OR(B1120="",C1120="",D1120="",E1120=""),"Missing info",IF(ISNA(MATCH(B1120,Staff!$A$2:$A$101,0)),"Unknown employee",IF(H1120="?","Unknown site",IF(G1120&lt;=0,"Check times",IF(G1120&gt;12,"Over 12h",IF(COUNTIFS($L$2:$L$2001,L1120)&gt;1,"Duplicate?",IF(A1120&gt;TODAY(),"Future date","OK"))))))))</f>
        <v/>
      </c>
      <c r="L1120">
        <f>IF(A1120="","",TEXT(A1120,"yyyy-mm-dd")&amp;"|"&amp;B1120&amp;"|"&amp;C1120)</f>
        <v/>
      </c>
    </row>
    <row r="1121">
      <c r="A1121" s="4" t="n"/>
      <c r="D1121" s="5" t="n"/>
      <c r="E1121" s="5" t="n"/>
      <c r="G1121" s="6">
        <f>IF(OR(A1121="",D1121="",E1121=""),"",ROUND(MOD(E1121-D1121,1)*24-N(F1121)/60,2))</f>
        <v/>
      </c>
      <c r="H1121" s="7">
        <f>IF(C1121="","",IFERROR(INDEX(Sites!$B$2:$B$501,MATCH(C1121,Sites!$A$2:$A$501,0)),"?"))</f>
        <v/>
      </c>
      <c r="I1121" s="8">
        <f>IF(A1121="","",A1121-WEEKDAY(A1121,3))</f>
        <v/>
      </c>
      <c r="K1121" s="7">
        <f>IF(A1121="","",IF(OR(B1121="",C1121="",D1121="",E1121=""),"Missing info",IF(ISNA(MATCH(B1121,Staff!$A$2:$A$101,0)),"Unknown employee",IF(H1121="?","Unknown site",IF(G1121&lt;=0,"Check times",IF(G1121&gt;12,"Over 12h",IF(COUNTIFS($L$2:$L$2001,L1121)&gt;1,"Duplicate?",IF(A1121&gt;TODAY(),"Future date","OK"))))))))</f>
        <v/>
      </c>
      <c r="L1121">
        <f>IF(A1121="","",TEXT(A1121,"yyyy-mm-dd")&amp;"|"&amp;B1121&amp;"|"&amp;C1121)</f>
        <v/>
      </c>
    </row>
    <row r="1122">
      <c r="A1122" s="4" t="n"/>
      <c r="D1122" s="5" t="n"/>
      <c r="E1122" s="5" t="n"/>
      <c r="G1122" s="6">
        <f>IF(OR(A1122="",D1122="",E1122=""),"",ROUND(MOD(E1122-D1122,1)*24-N(F1122)/60,2))</f>
        <v/>
      </c>
      <c r="H1122" s="7">
        <f>IF(C1122="","",IFERROR(INDEX(Sites!$B$2:$B$501,MATCH(C1122,Sites!$A$2:$A$501,0)),"?"))</f>
        <v/>
      </c>
      <c r="I1122" s="8">
        <f>IF(A1122="","",A1122-WEEKDAY(A1122,3))</f>
        <v/>
      </c>
      <c r="K1122" s="7">
        <f>IF(A1122="","",IF(OR(B1122="",C1122="",D1122="",E1122=""),"Missing info",IF(ISNA(MATCH(B1122,Staff!$A$2:$A$101,0)),"Unknown employee",IF(H1122="?","Unknown site",IF(G1122&lt;=0,"Check times",IF(G1122&gt;12,"Over 12h",IF(COUNTIFS($L$2:$L$2001,L1122)&gt;1,"Duplicate?",IF(A1122&gt;TODAY(),"Future date","OK"))))))))</f>
        <v/>
      </c>
      <c r="L1122">
        <f>IF(A1122="","",TEXT(A1122,"yyyy-mm-dd")&amp;"|"&amp;B1122&amp;"|"&amp;C1122)</f>
        <v/>
      </c>
    </row>
    <row r="1123">
      <c r="A1123" s="4" t="n"/>
      <c r="D1123" s="5" t="n"/>
      <c r="E1123" s="5" t="n"/>
      <c r="G1123" s="6">
        <f>IF(OR(A1123="",D1123="",E1123=""),"",ROUND(MOD(E1123-D1123,1)*24-N(F1123)/60,2))</f>
        <v/>
      </c>
      <c r="H1123" s="7">
        <f>IF(C1123="","",IFERROR(INDEX(Sites!$B$2:$B$501,MATCH(C1123,Sites!$A$2:$A$501,0)),"?"))</f>
        <v/>
      </c>
      <c r="I1123" s="8">
        <f>IF(A1123="","",A1123-WEEKDAY(A1123,3))</f>
        <v/>
      </c>
      <c r="K1123" s="7">
        <f>IF(A1123="","",IF(OR(B1123="",C1123="",D1123="",E1123=""),"Missing info",IF(ISNA(MATCH(B1123,Staff!$A$2:$A$101,0)),"Unknown employee",IF(H1123="?","Unknown site",IF(G1123&lt;=0,"Check times",IF(G1123&gt;12,"Over 12h",IF(COUNTIFS($L$2:$L$2001,L1123)&gt;1,"Duplicate?",IF(A1123&gt;TODAY(),"Future date","OK"))))))))</f>
        <v/>
      </c>
      <c r="L1123">
        <f>IF(A1123="","",TEXT(A1123,"yyyy-mm-dd")&amp;"|"&amp;B1123&amp;"|"&amp;C1123)</f>
        <v/>
      </c>
    </row>
    <row r="1124">
      <c r="A1124" s="4" t="n"/>
      <c r="D1124" s="5" t="n"/>
      <c r="E1124" s="5" t="n"/>
      <c r="G1124" s="6">
        <f>IF(OR(A1124="",D1124="",E1124=""),"",ROUND(MOD(E1124-D1124,1)*24-N(F1124)/60,2))</f>
        <v/>
      </c>
      <c r="H1124" s="7">
        <f>IF(C1124="","",IFERROR(INDEX(Sites!$B$2:$B$501,MATCH(C1124,Sites!$A$2:$A$501,0)),"?"))</f>
        <v/>
      </c>
      <c r="I1124" s="8">
        <f>IF(A1124="","",A1124-WEEKDAY(A1124,3))</f>
        <v/>
      </c>
      <c r="K1124" s="7">
        <f>IF(A1124="","",IF(OR(B1124="",C1124="",D1124="",E1124=""),"Missing info",IF(ISNA(MATCH(B1124,Staff!$A$2:$A$101,0)),"Unknown employee",IF(H1124="?","Unknown site",IF(G1124&lt;=0,"Check times",IF(G1124&gt;12,"Over 12h",IF(COUNTIFS($L$2:$L$2001,L1124)&gt;1,"Duplicate?",IF(A1124&gt;TODAY(),"Future date","OK"))))))))</f>
        <v/>
      </c>
      <c r="L1124">
        <f>IF(A1124="","",TEXT(A1124,"yyyy-mm-dd")&amp;"|"&amp;B1124&amp;"|"&amp;C1124)</f>
        <v/>
      </c>
    </row>
    <row r="1125">
      <c r="A1125" s="4" t="n"/>
      <c r="D1125" s="5" t="n"/>
      <c r="E1125" s="5" t="n"/>
      <c r="G1125" s="6">
        <f>IF(OR(A1125="",D1125="",E1125=""),"",ROUND(MOD(E1125-D1125,1)*24-N(F1125)/60,2))</f>
        <v/>
      </c>
      <c r="H1125" s="7">
        <f>IF(C1125="","",IFERROR(INDEX(Sites!$B$2:$B$501,MATCH(C1125,Sites!$A$2:$A$501,0)),"?"))</f>
        <v/>
      </c>
      <c r="I1125" s="8">
        <f>IF(A1125="","",A1125-WEEKDAY(A1125,3))</f>
        <v/>
      </c>
      <c r="K1125" s="7">
        <f>IF(A1125="","",IF(OR(B1125="",C1125="",D1125="",E1125=""),"Missing info",IF(ISNA(MATCH(B1125,Staff!$A$2:$A$101,0)),"Unknown employee",IF(H1125="?","Unknown site",IF(G1125&lt;=0,"Check times",IF(G1125&gt;12,"Over 12h",IF(COUNTIFS($L$2:$L$2001,L1125)&gt;1,"Duplicate?",IF(A1125&gt;TODAY(),"Future date","OK"))))))))</f>
        <v/>
      </c>
      <c r="L1125">
        <f>IF(A1125="","",TEXT(A1125,"yyyy-mm-dd")&amp;"|"&amp;B1125&amp;"|"&amp;C1125)</f>
        <v/>
      </c>
    </row>
    <row r="1126">
      <c r="A1126" s="4" t="n"/>
      <c r="D1126" s="5" t="n"/>
      <c r="E1126" s="5" t="n"/>
      <c r="G1126" s="6">
        <f>IF(OR(A1126="",D1126="",E1126=""),"",ROUND(MOD(E1126-D1126,1)*24-N(F1126)/60,2))</f>
        <v/>
      </c>
      <c r="H1126" s="7">
        <f>IF(C1126="","",IFERROR(INDEX(Sites!$B$2:$B$501,MATCH(C1126,Sites!$A$2:$A$501,0)),"?"))</f>
        <v/>
      </c>
      <c r="I1126" s="8">
        <f>IF(A1126="","",A1126-WEEKDAY(A1126,3))</f>
        <v/>
      </c>
      <c r="K1126" s="7">
        <f>IF(A1126="","",IF(OR(B1126="",C1126="",D1126="",E1126=""),"Missing info",IF(ISNA(MATCH(B1126,Staff!$A$2:$A$101,0)),"Unknown employee",IF(H1126="?","Unknown site",IF(G1126&lt;=0,"Check times",IF(G1126&gt;12,"Over 12h",IF(COUNTIFS($L$2:$L$2001,L1126)&gt;1,"Duplicate?",IF(A1126&gt;TODAY(),"Future date","OK"))))))))</f>
        <v/>
      </c>
      <c r="L1126">
        <f>IF(A1126="","",TEXT(A1126,"yyyy-mm-dd")&amp;"|"&amp;B1126&amp;"|"&amp;C1126)</f>
        <v/>
      </c>
    </row>
    <row r="1127">
      <c r="A1127" s="4" t="n"/>
      <c r="D1127" s="5" t="n"/>
      <c r="E1127" s="5" t="n"/>
      <c r="G1127" s="6">
        <f>IF(OR(A1127="",D1127="",E1127=""),"",ROUND(MOD(E1127-D1127,1)*24-N(F1127)/60,2))</f>
        <v/>
      </c>
      <c r="H1127" s="7">
        <f>IF(C1127="","",IFERROR(INDEX(Sites!$B$2:$B$501,MATCH(C1127,Sites!$A$2:$A$501,0)),"?"))</f>
        <v/>
      </c>
      <c r="I1127" s="8">
        <f>IF(A1127="","",A1127-WEEKDAY(A1127,3))</f>
        <v/>
      </c>
      <c r="K1127" s="7">
        <f>IF(A1127="","",IF(OR(B1127="",C1127="",D1127="",E1127=""),"Missing info",IF(ISNA(MATCH(B1127,Staff!$A$2:$A$101,0)),"Unknown employee",IF(H1127="?","Unknown site",IF(G1127&lt;=0,"Check times",IF(G1127&gt;12,"Over 12h",IF(COUNTIFS($L$2:$L$2001,L1127)&gt;1,"Duplicate?",IF(A1127&gt;TODAY(),"Future date","OK"))))))))</f>
        <v/>
      </c>
      <c r="L1127">
        <f>IF(A1127="","",TEXT(A1127,"yyyy-mm-dd")&amp;"|"&amp;B1127&amp;"|"&amp;C1127)</f>
        <v/>
      </c>
    </row>
    <row r="1128">
      <c r="A1128" s="4" t="n"/>
      <c r="D1128" s="5" t="n"/>
      <c r="E1128" s="5" t="n"/>
      <c r="G1128" s="6">
        <f>IF(OR(A1128="",D1128="",E1128=""),"",ROUND(MOD(E1128-D1128,1)*24-N(F1128)/60,2))</f>
        <v/>
      </c>
      <c r="H1128" s="7">
        <f>IF(C1128="","",IFERROR(INDEX(Sites!$B$2:$B$501,MATCH(C1128,Sites!$A$2:$A$501,0)),"?"))</f>
        <v/>
      </c>
      <c r="I1128" s="8">
        <f>IF(A1128="","",A1128-WEEKDAY(A1128,3))</f>
        <v/>
      </c>
      <c r="K1128" s="7">
        <f>IF(A1128="","",IF(OR(B1128="",C1128="",D1128="",E1128=""),"Missing info",IF(ISNA(MATCH(B1128,Staff!$A$2:$A$101,0)),"Unknown employee",IF(H1128="?","Unknown site",IF(G1128&lt;=0,"Check times",IF(G1128&gt;12,"Over 12h",IF(COUNTIFS($L$2:$L$2001,L1128)&gt;1,"Duplicate?",IF(A1128&gt;TODAY(),"Future date","OK"))))))))</f>
        <v/>
      </c>
      <c r="L1128">
        <f>IF(A1128="","",TEXT(A1128,"yyyy-mm-dd")&amp;"|"&amp;B1128&amp;"|"&amp;C1128)</f>
        <v/>
      </c>
    </row>
    <row r="1129">
      <c r="A1129" s="4" t="n"/>
      <c r="D1129" s="5" t="n"/>
      <c r="E1129" s="5" t="n"/>
      <c r="G1129" s="6">
        <f>IF(OR(A1129="",D1129="",E1129=""),"",ROUND(MOD(E1129-D1129,1)*24-N(F1129)/60,2))</f>
        <v/>
      </c>
      <c r="H1129" s="7">
        <f>IF(C1129="","",IFERROR(INDEX(Sites!$B$2:$B$501,MATCH(C1129,Sites!$A$2:$A$501,0)),"?"))</f>
        <v/>
      </c>
      <c r="I1129" s="8">
        <f>IF(A1129="","",A1129-WEEKDAY(A1129,3))</f>
        <v/>
      </c>
      <c r="K1129" s="7">
        <f>IF(A1129="","",IF(OR(B1129="",C1129="",D1129="",E1129=""),"Missing info",IF(ISNA(MATCH(B1129,Staff!$A$2:$A$101,0)),"Unknown employee",IF(H1129="?","Unknown site",IF(G1129&lt;=0,"Check times",IF(G1129&gt;12,"Over 12h",IF(COUNTIFS($L$2:$L$2001,L1129)&gt;1,"Duplicate?",IF(A1129&gt;TODAY(),"Future date","OK"))))))))</f>
        <v/>
      </c>
      <c r="L1129">
        <f>IF(A1129="","",TEXT(A1129,"yyyy-mm-dd")&amp;"|"&amp;B1129&amp;"|"&amp;C1129)</f>
        <v/>
      </c>
    </row>
    <row r="1130">
      <c r="A1130" s="4" t="n"/>
      <c r="D1130" s="5" t="n"/>
      <c r="E1130" s="5" t="n"/>
      <c r="G1130" s="6">
        <f>IF(OR(A1130="",D1130="",E1130=""),"",ROUND(MOD(E1130-D1130,1)*24-N(F1130)/60,2))</f>
        <v/>
      </c>
      <c r="H1130" s="7">
        <f>IF(C1130="","",IFERROR(INDEX(Sites!$B$2:$B$501,MATCH(C1130,Sites!$A$2:$A$501,0)),"?"))</f>
        <v/>
      </c>
      <c r="I1130" s="8">
        <f>IF(A1130="","",A1130-WEEKDAY(A1130,3))</f>
        <v/>
      </c>
      <c r="K1130" s="7">
        <f>IF(A1130="","",IF(OR(B1130="",C1130="",D1130="",E1130=""),"Missing info",IF(ISNA(MATCH(B1130,Staff!$A$2:$A$101,0)),"Unknown employee",IF(H1130="?","Unknown site",IF(G1130&lt;=0,"Check times",IF(G1130&gt;12,"Over 12h",IF(COUNTIFS($L$2:$L$2001,L1130)&gt;1,"Duplicate?",IF(A1130&gt;TODAY(),"Future date","OK"))))))))</f>
        <v/>
      </c>
      <c r="L1130">
        <f>IF(A1130="","",TEXT(A1130,"yyyy-mm-dd")&amp;"|"&amp;B1130&amp;"|"&amp;C1130)</f>
        <v/>
      </c>
    </row>
    <row r="1131">
      <c r="A1131" s="4" t="n"/>
      <c r="D1131" s="5" t="n"/>
      <c r="E1131" s="5" t="n"/>
      <c r="G1131" s="6">
        <f>IF(OR(A1131="",D1131="",E1131=""),"",ROUND(MOD(E1131-D1131,1)*24-N(F1131)/60,2))</f>
        <v/>
      </c>
      <c r="H1131" s="7">
        <f>IF(C1131="","",IFERROR(INDEX(Sites!$B$2:$B$501,MATCH(C1131,Sites!$A$2:$A$501,0)),"?"))</f>
        <v/>
      </c>
      <c r="I1131" s="8">
        <f>IF(A1131="","",A1131-WEEKDAY(A1131,3))</f>
        <v/>
      </c>
      <c r="K1131" s="7">
        <f>IF(A1131="","",IF(OR(B1131="",C1131="",D1131="",E1131=""),"Missing info",IF(ISNA(MATCH(B1131,Staff!$A$2:$A$101,0)),"Unknown employee",IF(H1131="?","Unknown site",IF(G1131&lt;=0,"Check times",IF(G1131&gt;12,"Over 12h",IF(COUNTIFS($L$2:$L$2001,L1131)&gt;1,"Duplicate?",IF(A1131&gt;TODAY(),"Future date","OK"))))))))</f>
        <v/>
      </c>
      <c r="L1131">
        <f>IF(A1131="","",TEXT(A1131,"yyyy-mm-dd")&amp;"|"&amp;B1131&amp;"|"&amp;C1131)</f>
        <v/>
      </c>
    </row>
    <row r="1132">
      <c r="A1132" s="4" t="n"/>
      <c r="D1132" s="5" t="n"/>
      <c r="E1132" s="5" t="n"/>
      <c r="G1132" s="6">
        <f>IF(OR(A1132="",D1132="",E1132=""),"",ROUND(MOD(E1132-D1132,1)*24-N(F1132)/60,2))</f>
        <v/>
      </c>
      <c r="H1132" s="7">
        <f>IF(C1132="","",IFERROR(INDEX(Sites!$B$2:$B$501,MATCH(C1132,Sites!$A$2:$A$501,0)),"?"))</f>
        <v/>
      </c>
      <c r="I1132" s="8">
        <f>IF(A1132="","",A1132-WEEKDAY(A1132,3))</f>
        <v/>
      </c>
      <c r="K1132" s="7">
        <f>IF(A1132="","",IF(OR(B1132="",C1132="",D1132="",E1132=""),"Missing info",IF(ISNA(MATCH(B1132,Staff!$A$2:$A$101,0)),"Unknown employee",IF(H1132="?","Unknown site",IF(G1132&lt;=0,"Check times",IF(G1132&gt;12,"Over 12h",IF(COUNTIFS($L$2:$L$2001,L1132)&gt;1,"Duplicate?",IF(A1132&gt;TODAY(),"Future date","OK"))))))))</f>
        <v/>
      </c>
      <c r="L1132">
        <f>IF(A1132="","",TEXT(A1132,"yyyy-mm-dd")&amp;"|"&amp;B1132&amp;"|"&amp;C1132)</f>
        <v/>
      </c>
    </row>
    <row r="1133">
      <c r="A1133" s="4" t="n"/>
      <c r="D1133" s="5" t="n"/>
      <c r="E1133" s="5" t="n"/>
      <c r="G1133" s="6">
        <f>IF(OR(A1133="",D1133="",E1133=""),"",ROUND(MOD(E1133-D1133,1)*24-N(F1133)/60,2))</f>
        <v/>
      </c>
      <c r="H1133" s="7">
        <f>IF(C1133="","",IFERROR(INDEX(Sites!$B$2:$B$501,MATCH(C1133,Sites!$A$2:$A$501,0)),"?"))</f>
        <v/>
      </c>
      <c r="I1133" s="8">
        <f>IF(A1133="","",A1133-WEEKDAY(A1133,3))</f>
        <v/>
      </c>
      <c r="K1133" s="7">
        <f>IF(A1133="","",IF(OR(B1133="",C1133="",D1133="",E1133=""),"Missing info",IF(ISNA(MATCH(B1133,Staff!$A$2:$A$101,0)),"Unknown employee",IF(H1133="?","Unknown site",IF(G1133&lt;=0,"Check times",IF(G1133&gt;12,"Over 12h",IF(COUNTIFS($L$2:$L$2001,L1133)&gt;1,"Duplicate?",IF(A1133&gt;TODAY(),"Future date","OK"))))))))</f>
        <v/>
      </c>
      <c r="L1133">
        <f>IF(A1133="","",TEXT(A1133,"yyyy-mm-dd")&amp;"|"&amp;B1133&amp;"|"&amp;C1133)</f>
        <v/>
      </c>
    </row>
    <row r="1134">
      <c r="A1134" s="4" t="n"/>
      <c r="D1134" s="5" t="n"/>
      <c r="E1134" s="5" t="n"/>
      <c r="G1134" s="6">
        <f>IF(OR(A1134="",D1134="",E1134=""),"",ROUND(MOD(E1134-D1134,1)*24-N(F1134)/60,2))</f>
        <v/>
      </c>
      <c r="H1134" s="7">
        <f>IF(C1134="","",IFERROR(INDEX(Sites!$B$2:$B$501,MATCH(C1134,Sites!$A$2:$A$501,0)),"?"))</f>
        <v/>
      </c>
      <c r="I1134" s="8">
        <f>IF(A1134="","",A1134-WEEKDAY(A1134,3))</f>
        <v/>
      </c>
      <c r="K1134" s="7">
        <f>IF(A1134="","",IF(OR(B1134="",C1134="",D1134="",E1134=""),"Missing info",IF(ISNA(MATCH(B1134,Staff!$A$2:$A$101,0)),"Unknown employee",IF(H1134="?","Unknown site",IF(G1134&lt;=0,"Check times",IF(G1134&gt;12,"Over 12h",IF(COUNTIFS($L$2:$L$2001,L1134)&gt;1,"Duplicate?",IF(A1134&gt;TODAY(),"Future date","OK"))))))))</f>
        <v/>
      </c>
      <c r="L1134">
        <f>IF(A1134="","",TEXT(A1134,"yyyy-mm-dd")&amp;"|"&amp;B1134&amp;"|"&amp;C1134)</f>
        <v/>
      </c>
    </row>
    <row r="1135">
      <c r="A1135" s="4" t="n"/>
      <c r="D1135" s="5" t="n"/>
      <c r="E1135" s="5" t="n"/>
      <c r="G1135" s="6">
        <f>IF(OR(A1135="",D1135="",E1135=""),"",ROUND(MOD(E1135-D1135,1)*24-N(F1135)/60,2))</f>
        <v/>
      </c>
      <c r="H1135" s="7">
        <f>IF(C1135="","",IFERROR(INDEX(Sites!$B$2:$B$501,MATCH(C1135,Sites!$A$2:$A$501,0)),"?"))</f>
        <v/>
      </c>
      <c r="I1135" s="8">
        <f>IF(A1135="","",A1135-WEEKDAY(A1135,3))</f>
        <v/>
      </c>
      <c r="K1135" s="7">
        <f>IF(A1135="","",IF(OR(B1135="",C1135="",D1135="",E1135=""),"Missing info",IF(ISNA(MATCH(B1135,Staff!$A$2:$A$101,0)),"Unknown employee",IF(H1135="?","Unknown site",IF(G1135&lt;=0,"Check times",IF(G1135&gt;12,"Over 12h",IF(COUNTIFS($L$2:$L$2001,L1135)&gt;1,"Duplicate?",IF(A1135&gt;TODAY(),"Future date","OK"))))))))</f>
        <v/>
      </c>
      <c r="L1135">
        <f>IF(A1135="","",TEXT(A1135,"yyyy-mm-dd")&amp;"|"&amp;B1135&amp;"|"&amp;C1135)</f>
        <v/>
      </c>
    </row>
    <row r="1136">
      <c r="A1136" s="4" t="n"/>
      <c r="D1136" s="5" t="n"/>
      <c r="E1136" s="5" t="n"/>
      <c r="G1136" s="6">
        <f>IF(OR(A1136="",D1136="",E1136=""),"",ROUND(MOD(E1136-D1136,1)*24-N(F1136)/60,2))</f>
        <v/>
      </c>
      <c r="H1136" s="7">
        <f>IF(C1136="","",IFERROR(INDEX(Sites!$B$2:$B$501,MATCH(C1136,Sites!$A$2:$A$501,0)),"?"))</f>
        <v/>
      </c>
      <c r="I1136" s="8">
        <f>IF(A1136="","",A1136-WEEKDAY(A1136,3))</f>
        <v/>
      </c>
      <c r="K1136" s="7">
        <f>IF(A1136="","",IF(OR(B1136="",C1136="",D1136="",E1136=""),"Missing info",IF(ISNA(MATCH(B1136,Staff!$A$2:$A$101,0)),"Unknown employee",IF(H1136="?","Unknown site",IF(G1136&lt;=0,"Check times",IF(G1136&gt;12,"Over 12h",IF(COUNTIFS($L$2:$L$2001,L1136)&gt;1,"Duplicate?",IF(A1136&gt;TODAY(),"Future date","OK"))))))))</f>
        <v/>
      </c>
      <c r="L1136">
        <f>IF(A1136="","",TEXT(A1136,"yyyy-mm-dd")&amp;"|"&amp;B1136&amp;"|"&amp;C1136)</f>
        <v/>
      </c>
    </row>
    <row r="1137">
      <c r="A1137" s="4" t="n"/>
      <c r="D1137" s="5" t="n"/>
      <c r="E1137" s="5" t="n"/>
      <c r="G1137" s="6">
        <f>IF(OR(A1137="",D1137="",E1137=""),"",ROUND(MOD(E1137-D1137,1)*24-N(F1137)/60,2))</f>
        <v/>
      </c>
      <c r="H1137" s="7">
        <f>IF(C1137="","",IFERROR(INDEX(Sites!$B$2:$B$501,MATCH(C1137,Sites!$A$2:$A$501,0)),"?"))</f>
        <v/>
      </c>
      <c r="I1137" s="8">
        <f>IF(A1137="","",A1137-WEEKDAY(A1137,3))</f>
        <v/>
      </c>
      <c r="K1137" s="7">
        <f>IF(A1137="","",IF(OR(B1137="",C1137="",D1137="",E1137=""),"Missing info",IF(ISNA(MATCH(B1137,Staff!$A$2:$A$101,0)),"Unknown employee",IF(H1137="?","Unknown site",IF(G1137&lt;=0,"Check times",IF(G1137&gt;12,"Over 12h",IF(COUNTIFS($L$2:$L$2001,L1137)&gt;1,"Duplicate?",IF(A1137&gt;TODAY(),"Future date","OK"))))))))</f>
        <v/>
      </c>
      <c r="L1137">
        <f>IF(A1137="","",TEXT(A1137,"yyyy-mm-dd")&amp;"|"&amp;B1137&amp;"|"&amp;C1137)</f>
        <v/>
      </c>
    </row>
    <row r="1138">
      <c r="A1138" s="4" t="n"/>
      <c r="D1138" s="5" t="n"/>
      <c r="E1138" s="5" t="n"/>
      <c r="G1138" s="6">
        <f>IF(OR(A1138="",D1138="",E1138=""),"",ROUND(MOD(E1138-D1138,1)*24-N(F1138)/60,2))</f>
        <v/>
      </c>
      <c r="H1138" s="7">
        <f>IF(C1138="","",IFERROR(INDEX(Sites!$B$2:$B$501,MATCH(C1138,Sites!$A$2:$A$501,0)),"?"))</f>
        <v/>
      </c>
      <c r="I1138" s="8">
        <f>IF(A1138="","",A1138-WEEKDAY(A1138,3))</f>
        <v/>
      </c>
      <c r="K1138" s="7">
        <f>IF(A1138="","",IF(OR(B1138="",C1138="",D1138="",E1138=""),"Missing info",IF(ISNA(MATCH(B1138,Staff!$A$2:$A$101,0)),"Unknown employee",IF(H1138="?","Unknown site",IF(G1138&lt;=0,"Check times",IF(G1138&gt;12,"Over 12h",IF(COUNTIFS($L$2:$L$2001,L1138)&gt;1,"Duplicate?",IF(A1138&gt;TODAY(),"Future date","OK"))))))))</f>
        <v/>
      </c>
      <c r="L1138">
        <f>IF(A1138="","",TEXT(A1138,"yyyy-mm-dd")&amp;"|"&amp;B1138&amp;"|"&amp;C1138)</f>
        <v/>
      </c>
    </row>
    <row r="1139">
      <c r="A1139" s="4" t="n"/>
      <c r="D1139" s="5" t="n"/>
      <c r="E1139" s="5" t="n"/>
      <c r="G1139" s="6">
        <f>IF(OR(A1139="",D1139="",E1139=""),"",ROUND(MOD(E1139-D1139,1)*24-N(F1139)/60,2))</f>
        <v/>
      </c>
      <c r="H1139" s="7">
        <f>IF(C1139="","",IFERROR(INDEX(Sites!$B$2:$B$501,MATCH(C1139,Sites!$A$2:$A$501,0)),"?"))</f>
        <v/>
      </c>
      <c r="I1139" s="8">
        <f>IF(A1139="","",A1139-WEEKDAY(A1139,3))</f>
        <v/>
      </c>
      <c r="K1139" s="7">
        <f>IF(A1139="","",IF(OR(B1139="",C1139="",D1139="",E1139=""),"Missing info",IF(ISNA(MATCH(B1139,Staff!$A$2:$A$101,0)),"Unknown employee",IF(H1139="?","Unknown site",IF(G1139&lt;=0,"Check times",IF(G1139&gt;12,"Over 12h",IF(COUNTIFS($L$2:$L$2001,L1139)&gt;1,"Duplicate?",IF(A1139&gt;TODAY(),"Future date","OK"))))))))</f>
        <v/>
      </c>
      <c r="L1139">
        <f>IF(A1139="","",TEXT(A1139,"yyyy-mm-dd")&amp;"|"&amp;B1139&amp;"|"&amp;C1139)</f>
        <v/>
      </c>
    </row>
    <row r="1140">
      <c r="A1140" s="4" t="n"/>
      <c r="D1140" s="5" t="n"/>
      <c r="E1140" s="5" t="n"/>
      <c r="G1140" s="6">
        <f>IF(OR(A1140="",D1140="",E1140=""),"",ROUND(MOD(E1140-D1140,1)*24-N(F1140)/60,2))</f>
        <v/>
      </c>
      <c r="H1140" s="7">
        <f>IF(C1140="","",IFERROR(INDEX(Sites!$B$2:$B$501,MATCH(C1140,Sites!$A$2:$A$501,0)),"?"))</f>
        <v/>
      </c>
      <c r="I1140" s="8">
        <f>IF(A1140="","",A1140-WEEKDAY(A1140,3))</f>
        <v/>
      </c>
      <c r="K1140" s="7">
        <f>IF(A1140="","",IF(OR(B1140="",C1140="",D1140="",E1140=""),"Missing info",IF(ISNA(MATCH(B1140,Staff!$A$2:$A$101,0)),"Unknown employee",IF(H1140="?","Unknown site",IF(G1140&lt;=0,"Check times",IF(G1140&gt;12,"Over 12h",IF(COUNTIFS($L$2:$L$2001,L1140)&gt;1,"Duplicate?",IF(A1140&gt;TODAY(),"Future date","OK"))))))))</f>
        <v/>
      </c>
      <c r="L1140">
        <f>IF(A1140="","",TEXT(A1140,"yyyy-mm-dd")&amp;"|"&amp;B1140&amp;"|"&amp;C1140)</f>
        <v/>
      </c>
    </row>
    <row r="1141">
      <c r="A1141" s="4" t="n"/>
      <c r="D1141" s="5" t="n"/>
      <c r="E1141" s="5" t="n"/>
      <c r="G1141" s="6">
        <f>IF(OR(A1141="",D1141="",E1141=""),"",ROUND(MOD(E1141-D1141,1)*24-N(F1141)/60,2))</f>
        <v/>
      </c>
      <c r="H1141" s="7">
        <f>IF(C1141="","",IFERROR(INDEX(Sites!$B$2:$B$501,MATCH(C1141,Sites!$A$2:$A$501,0)),"?"))</f>
        <v/>
      </c>
      <c r="I1141" s="8">
        <f>IF(A1141="","",A1141-WEEKDAY(A1141,3))</f>
        <v/>
      </c>
      <c r="K1141" s="7">
        <f>IF(A1141="","",IF(OR(B1141="",C1141="",D1141="",E1141=""),"Missing info",IF(ISNA(MATCH(B1141,Staff!$A$2:$A$101,0)),"Unknown employee",IF(H1141="?","Unknown site",IF(G1141&lt;=0,"Check times",IF(G1141&gt;12,"Over 12h",IF(COUNTIFS($L$2:$L$2001,L1141)&gt;1,"Duplicate?",IF(A1141&gt;TODAY(),"Future date","OK"))))))))</f>
        <v/>
      </c>
      <c r="L1141">
        <f>IF(A1141="","",TEXT(A1141,"yyyy-mm-dd")&amp;"|"&amp;B1141&amp;"|"&amp;C1141)</f>
        <v/>
      </c>
    </row>
    <row r="1142">
      <c r="A1142" s="4" t="n"/>
      <c r="D1142" s="5" t="n"/>
      <c r="E1142" s="5" t="n"/>
      <c r="G1142" s="6">
        <f>IF(OR(A1142="",D1142="",E1142=""),"",ROUND(MOD(E1142-D1142,1)*24-N(F1142)/60,2))</f>
        <v/>
      </c>
      <c r="H1142" s="7">
        <f>IF(C1142="","",IFERROR(INDEX(Sites!$B$2:$B$501,MATCH(C1142,Sites!$A$2:$A$501,0)),"?"))</f>
        <v/>
      </c>
      <c r="I1142" s="8">
        <f>IF(A1142="","",A1142-WEEKDAY(A1142,3))</f>
        <v/>
      </c>
      <c r="K1142" s="7">
        <f>IF(A1142="","",IF(OR(B1142="",C1142="",D1142="",E1142=""),"Missing info",IF(ISNA(MATCH(B1142,Staff!$A$2:$A$101,0)),"Unknown employee",IF(H1142="?","Unknown site",IF(G1142&lt;=0,"Check times",IF(G1142&gt;12,"Over 12h",IF(COUNTIFS($L$2:$L$2001,L1142)&gt;1,"Duplicate?",IF(A1142&gt;TODAY(),"Future date","OK"))))))))</f>
        <v/>
      </c>
      <c r="L1142">
        <f>IF(A1142="","",TEXT(A1142,"yyyy-mm-dd")&amp;"|"&amp;B1142&amp;"|"&amp;C1142)</f>
        <v/>
      </c>
    </row>
    <row r="1143">
      <c r="A1143" s="4" t="n"/>
      <c r="D1143" s="5" t="n"/>
      <c r="E1143" s="5" t="n"/>
      <c r="G1143" s="6">
        <f>IF(OR(A1143="",D1143="",E1143=""),"",ROUND(MOD(E1143-D1143,1)*24-N(F1143)/60,2))</f>
        <v/>
      </c>
      <c r="H1143" s="7">
        <f>IF(C1143="","",IFERROR(INDEX(Sites!$B$2:$B$501,MATCH(C1143,Sites!$A$2:$A$501,0)),"?"))</f>
        <v/>
      </c>
      <c r="I1143" s="8">
        <f>IF(A1143="","",A1143-WEEKDAY(A1143,3))</f>
        <v/>
      </c>
      <c r="K1143" s="7">
        <f>IF(A1143="","",IF(OR(B1143="",C1143="",D1143="",E1143=""),"Missing info",IF(ISNA(MATCH(B1143,Staff!$A$2:$A$101,0)),"Unknown employee",IF(H1143="?","Unknown site",IF(G1143&lt;=0,"Check times",IF(G1143&gt;12,"Over 12h",IF(COUNTIFS($L$2:$L$2001,L1143)&gt;1,"Duplicate?",IF(A1143&gt;TODAY(),"Future date","OK"))))))))</f>
        <v/>
      </c>
      <c r="L1143">
        <f>IF(A1143="","",TEXT(A1143,"yyyy-mm-dd")&amp;"|"&amp;B1143&amp;"|"&amp;C1143)</f>
        <v/>
      </c>
    </row>
    <row r="1144">
      <c r="A1144" s="4" t="n"/>
      <c r="D1144" s="5" t="n"/>
      <c r="E1144" s="5" t="n"/>
      <c r="G1144" s="6">
        <f>IF(OR(A1144="",D1144="",E1144=""),"",ROUND(MOD(E1144-D1144,1)*24-N(F1144)/60,2))</f>
        <v/>
      </c>
      <c r="H1144" s="7">
        <f>IF(C1144="","",IFERROR(INDEX(Sites!$B$2:$B$501,MATCH(C1144,Sites!$A$2:$A$501,0)),"?"))</f>
        <v/>
      </c>
      <c r="I1144" s="8">
        <f>IF(A1144="","",A1144-WEEKDAY(A1144,3))</f>
        <v/>
      </c>
      <c r="K1144" s="7">
        <f>IF(A1144="","",IF(OR(B1144="",C1144="",D1144="",E1144=""),"Missing info",IF(ISNA(MATCH(B1144,Staff!$A$2:$A$101,0)),"Unknown employee",IF(H1144="?","Unknown site",IF(G1144&lt;=0,"Check times",IF(G1144&gt;12,"Over 12h",IF(COUNTIFS($L$2:$L$2001,L1144)&gt;1,"Duplicate?",IF(A1144&gt;TODAY(),"Future date","OK"))))))))</f>
        <v/>
      </c>
      <c r="L1144">
        <f>IF(A1144="","",TEXT(A1144,"yyyy-mm-dd")&amp;"|"&amp;B1144&amp;"|"&amp;C1144)</f>
        <v/>
      </c>
    </row>
    <row r="1145">
      <c r="A1145" s="4" t="n"/>
      <c r="D1145" s="5" t="n"/>
      <c r="E1145" s="5" t="n"/>
      <c r="G1145" s="6">
        <f>IF(OR(A1145="",D1145="",E1145=""),"",ROUND(MOD(E1145-D1145,1)*24-N(F1145)/60,2))</f>
        <v/>
      </c>
      <c r="H1145" s="7">
        <f>IF(C1145="","",IFERROR(INDEX(Sites!$B$2:$B$501,MATCH(C1145,Sites!$A$2:$A$501,0)),"?"))</f>
        <v/>
      </c>
      <c r="I1145" s="8">
        <f>IF(A1145="","",A1145-WEEKDAY(A1145,3))</f>
        <v/>
      </c>
      <c r="K1145" s="7">
        <f>IF(A1145="","",IF(OR(B1145="",C1145="",D1145="",E1145=""),"Missing info",IF(ISNA(MATCH(B1145,Staff!$A$2:$A$101,0)),"Unknown employee",IF(H1145="?","Unknown site",IF(G1145&lt;=0,"Check times",IF(G1145&gt;12,"Over 12h",IF(COUNTIFS($L$2:$L$2001,L1145)&gt;1,"Duplicate?",IF(A1145&gt;TODAY(),"Future date","OK"))))))))</f>
        <v/>
      </c>
      <c r="L1145">
        <f>IF(A1145="","",TEXT(A1145,"yyyy-mm-dd")&amp;"|"&amp;B1145&amp;"|"&amp;C1145)</f>
        <v/>
      </c>
    </row>
    <row r="1146">
      <c r="A1146" s="4" t="n"/>
      <c r="D1146" s="5" t="n"/>
      <c r="E1146" s="5" t="n"/>
      <c r="G1146" s="6">
        <f>IF(OR(A1146="",D1146="",E1146=""),"",ROUND(MOD(E1146-D1146,1)*24-N(F1146)/60,2))</f>
        <v/>
      </c>
      <c r="H1146" s="7">
        <f>IF(C1146="","",IFERROR(INDEX(Sites!$B$2:$B$501,MATCH(C1146,Sites!$A$2:$A$501,0)),"?"))</f>
        <v/>
      </c>
      <c r="I1146" s="8">
        <f>IF(A1146="","",A1146-WEEKDAY(A1146,3))</f>
        <v/>
      </c>
      <c r="K1146" s="7">
        <f>IF(A1146="","",IF(OR(B1146="",C1146="",D1146="",E1146=""),"Missing info",IF(ISNA(MATCH(B1146,Staff!$A$2:$A$101,0)),"Unknown employee",IF(H1146="?","Unknown site",IF(G1146&lt;=0,"Check times",IF(G1146&gt;12,"Over 12h",IF(COUNTIFS($L$2:$L$2001,L1146)&gt;1,"Duplicate?",IF(A1146&gt;TODAY(),"Future date","OK"))))))))</f>
        <v/>
      </c>
      <c r="L1146">
        <f>IF(A1146="","",TEXT(A1146,"yyyy-mm-dd")&amp;"|"&amp;B1146&amp;"|"&amp;C1146)</f>
        <v/>
      </c>
    </row>
    <row r="1147">
      <c r="A1147" s="4" t="n"/>
      <c r="D1147" s="5" t="n"/>
      <c r="E1147" s="5" t="n"/>
      <c r="G1147" s="6">
        <f>IF(OR(A1147="",D1147="",E1147=""),"",ROUND(MOD(E1147-D1147,1)*24-N(F1147)/60,2))</f>
        <v/>
      </c>
      <c r="H1147" s="7">
        <f>IF(C1147="","",IFERROR(INDEX(Sites!$B$2:$B$501,MATCH(C1147,Sites!$A$2:$A$501,0)),"?"))</f>
        <v/>
      </c>
      <c r="I1147" s="8">
        <f>IF(A1147="","",A1147-WEEKDAY(A1147,3))</f>
        <v/>
      </c>
      <c r="K1147" s="7">
        <f>IF(A1147="","",IF(OR(B1147="",C1147="",D1147="",E1147=""),"Missing info",IF(ISNA(MATCH(B1147,Staff!$A$2:$A$101,0)),"Unknown employee",IF(H1147="?","Unknown site",IF(G1147&lt;=0,"Check times",IF(G1147&gt;12,"Over 12h",IF(COUNTIFS($L$2:$L$2001,L1147)&gt;1,"Duplicate?",IF(A1147&gt;TODAY(),"Future date","OK"))))))))</f>
        <v/>
      </c>
      <c r="L1147">
        <f>IF(A1147="","",TEXT(A1147,"yyyy-mm-dd")&amp;"|"&amp;B1147&amp;"|"&amp;C1147)</f>
        <v/>
      </c>
    </row>
    <row r="1148">
      <c r="A1148" s="4" t="n"/>
      <c r="D1148" s="5" t="n"/>
      <c r="E1148" s="5" t="n"/>
      <c r="G1148" s="6">
        <f>IF(OR(A1148="",D1148="",E1148=""),"",ROUND(MOD(E1148-D1148,1)*24-N(F1148)/60,2))</f>
        <v/>
      </c>
      <c r="H1148" s="7">
        <f>IF(C1148="","",IFERROR(INDEX(Sites!$B$2:$B$501,MATCH(C1148,Sites!$A$2:$A$501,0)),"?"))</f>
        <v/>
      </c>
      <c r="I1148" s="8">
        <f>IF(A1148="","",A1148-WEEKDAY(A1148,3))</f>
        <v/>
      </c>
      <c r="K1148" s="7">
        <f>IF(A1148="","",IF(OR(B1148="",C1148="",D1148="",E1148=""),"Missing info",IF(ISNA(MATCH(B1148,Staff!$A$2:$A$101,0)),"Unknown employee",IF(H1148="?","Unknown site",IF(G1148&lt;=0,"Check times",IF(G1148&gt;12,"Over 12h",IF(COUNTIFS($L$2:$L$2001,L1148)&gt;1,"Duplicate?",IF(A1148&gt;TODAY(),"Future date","OK"))))))))</f>
        <v/>
      </c>
      <c r="L1148">
        <f>IF(A1148="","",TEXT(A1148,"yyyy-mm-dd")&amp;"|"&amp;B1148&amp;"|"&amp;C1148)</f>
        <v/>
      </c>
    </row>
    <row r="1149">
      <c r="A1149" s="4" t="n"/>
      <c r="D1149" s="5" t="n"/>
      <c r="E1149" s="5" t="n"/>
      <c r="G1149" s="6">
        <f>IF(OR(A1149="",D1149="",E1149=""),"",ROUND(MOD(E1149-D1149,1)*24-N(F1149)/60,2))</f>
        <v/>
      </c>
      <c r="H1149" s="7">
        <f>IF(C1149="","",IFERROR(INDEX(Sites!$B$2:$B$501,MATCH(C1149,Sites!$A$2:$A$501,0)),"?"))</f>
        <v/>
      </c>
      <c r="I1149" s="8">
        <f>IF(A1149="","",A1149-WEEKDAY(A1149,3))</f>
        <v/>
      </c>
      <c r="K1149" s="7">
        <f>IF(A1149="","",IF(OR(B1149="",C1149="",D1149="",E1149=""),"Missing info",IF(ISNA(MATCH(B1149,Staff!$A$2:$A$101,0)),"Unknown employee",IF(H1149="?","Unknown site",IF(G1149&lt;=0,"Check times",IF(G1149&gt;12,"Over 12h",IF(COUNTIFS($L$2:$L$2001,L1149)&gt;1,"Duplicate?",IF(A1149&gt;TODAY(),"Future date","OK"))))))))</f>
        <v/>
      </c>
      <c r="L1149">
        <f>IF(A1149="","",TEXT(A1149,"yyyy-mm-dd")&amp;"|"&amp;B1149&amp;"|"&amp;C1149)</f>
        <v/>
      </c>
    </row>
    <row r="1150">
      <c r="A1150" s="4" t="n"/>
      <c r="D1150" s="5" t="n"/>
      <c r="E1150" s="5" t="n"/>
      <c r="G1150" s="6">
        <f>IF(OR(A1150="",D1150="",E1150=""),"",ROUND(MOD(E1150-D1150,1)*24-N(F1150)/60,2))</f>
        <v/>
      </c>
      <c r="H1150" s="7">
        <f>IF(C1150="","",IFERROR(INDEX(Sites!$B$2:$B$501,MATCH(C1150,Sites!$A$2:$A$501,0)),"?"))</f>
        <v/>
      </c>
      <c r="I1150" s="8">
        <f>IF(A1150="","",A1150-WEEKDAY(A1150,3))</f>
        <v/>
      </c>
      <c r="K1150" s="7">
        <f>IF(A1150="","",IF(OR(B1150="",C1150="",D1150="",E1150=""),"Missing info",IF(ISNA(MATCH(B1150,Staff!$A$2:$A$101,0)),"Unknown employee",IF(H1150="?","Unknown site",IF(G1150&lt;=0,"Check times",IF(G1150&gt;12,"Over 12h",IF(COUNTIFS($L$2:$L$2001,L1150)&gt;1,"Duplicate?",IF(A1150&gt;TODAY(),"Future date","OK"))))))))</f>
        <v/>
      </c>
      <c r="L1150">
        <f>IF(A1150="","",TEXT(A1150,"yyyy-mm-dd")&amp;"|"&amp;B1150&amp;"|"&amp;C1150)</f>
        <v/>
      </c>
    </row>
    <row r="1151">
      <c r="A1151" s="4" t="n"/>
      <c r="D1151" s="5" t="n"/>
      <c r="E1151" s="5" t="n"/>
      <c r="G1151" s="6">
        <f>IF(OR(A1151="",D1151="",E1151=""),"",ROUND(MOD(E1151-D1151,1)*24-N(F1151)/60,2))</f>
        <v/>
      </c>
      <c r="H1151" s="7">
        <f>IF(C1151="","",IFERROR(INDEX(Sites!$B$2:$B$501,MATCH(C1151,Sites!$A$2:$A$501,0)),"?"))</f>
        <v/>
      </c>
      <c r="I1151" s="8">
        <f>IF(A1151="","",A1151-WEEKDAY(A1151,3))</f>
        <v/>
      </c>
      <c r="K1151" s="7">
        <f>IF(A1151="","",IF(OR(B1151="",C1151="",D1151="",E1151=""),"Missing info",IF(ISNA(MATCH(B1151,Staff!$A$2:$A$101,0)),"Unknown employee",IF(H1151="?","Unknown site",IF(G1151&lt;=0,"Check times",IF(G1151&gt;12,"Over 12h",IF(COUNTIFS($L$2:$L$2001,L1151)&gt;1,"Duplicate?",IF(A1151&gt;TODAY(),"Future date","OK"))))))))</f>
        <v/>
      </c>
      <c r="L1151">
        <f>IF(A1151="","",TEXT(A1151,"yyyy-mm-dd")&amp;"|"&amp;B1151&amp;"|"&amp;C1151)</f>
        <v/>
      </c>
    </row>
    <row r="1152">
      <c r="A1152" s="4" t="n"/>
      <c r="D1152" s="5" t="n"/>
      <c r="E1152" s="5" t="n"/>
      <c r="G1152" s="6">
        <f>IF(OR(A1152="",D1152="",E1152=""),"",ROUND(MOD(E1152-D1152,1)*24-N(F1152)/60,2))</f>
        <v/>
      </c>
      <c r="H1152" s="7">
        <f>IF(C1152="","",IFERROR(INDEX(Sites!$B$2:$B$501,MATCH(C1152,Sites!$A$2:$A$501,0)),"?"))</f>
        <v/>
      </c>
      <c r="I1152" s="8">
        <f>IF(A1152="","",A1152-WEEKDAY(A1152,3))</f>
        <v/>
      </c>
      <c r="K1152" s="7">
        <f>IF(A1152="","",IF(OR(B1152="",C1152="",D1152="",E1152=""),"Missing info",IF(ISNA(MATCH(B1152,Staff!$A$2:$A$101,0)),"Unknown employee",IF(H1152="?","Unknown site",IF(G1152&lt;=0,"Check times",IF(G1152&gt;12,"Over 12h",IF(COUNTIFS($L$2:$L$2001,L1152)&gt;1,"Duplicate?",IF(A1152&gt;TODAY(),"Future date","OK"))))))))</f>
        <v/>
      </c>
      <c r="L1152">
        <f>IF(A1152="","",TEXT(A1152,"yyyy-mm-dd")&amp;"|"&amp;B1152&amp;"|"&amp;C1152)</f>
        <v/>
      </c>
    </row>
    <row r="1153">
      <c r="A1153" s="4" t="n"/>
      <c r="D1153" s="5" t="n"/>
      <c r="E1153" s="5" t="n"/>
      <c r="G1153" s="6">
        <f>IF(OR(A1153="",D1153="",E1153=""),"",ROUND(MOD(E1153-D1153,1)*24-N(F1153)/60,2))</f>
        <v/>
      </c>
      <c r="H1153" s="7">
        <f>IF(C1153="","",IFERROR(INDEX(Sites!$B$2:$B$501,MATCH(C1153,Sites!$A$2:$A$501,0)),"?"))</f>
        <v/>
      </c>
      <c r="I1153" s="8">
        <f>IF(A1153="","",A1153-WEEKDAY(A1153,3))</f>
        <v/>
      </c>
      <c r="K1153" s="7">
        <f>IF(A1153="","",IF(OR(B1153="",C1153="",D1153="",E1153=""),"Missing info",IF(ISNA(MATCH(B1153,Staff!$A$2:$A$101,0)),"Unknown employee",IF(H1153="?","Unknown site",IF(G1153&lt;=0,"Check times",IF(G1153&gt;12,"Over 12h",IF(COUNTIFS($L$2:$L$2001,L1153)&gt;1,"Duplicate?",IF(A1153&gt;TODAY(),"Future date","OK"))))))))</f>
        <v/>
      </c>
      <c r="L1153">
        <f>IF(A1153="","",TEXT(A1153,"yyyy-mm-dd")&amp;"|"&amp;B1153&amp;"|"&amp;C1153)</f>
        <v/>
      </c>
    </row>
    <row r="1154">
      <c r="A1154" s="4" t="n"/>
      <c r="D1154" s="5" t="n"/>
      <c r="E1154" s="5" t="n"/>
      <c r="G1154" s="6">
        <f>IF(OR(A1154="",D1154="",E1154=""),"",ROUND(MOD(E1154-D1154,1)*24-N(F1154)/60,2))</f>
        <v/>
      </c>
      <c r="H1154" s="7">
        <f>IF(C1154="","",IFERROR(INDEX(Sites!$B$2:$B$501,MATCH(C1154,Sites!$A$2:$A$501,0)),"?"))</f>
        <v/>
      </c>
      <c r="I1154" s="8">
        <f>IF(A1154="","",A1154-WEEKDAY(A1154,3))</f>
        <v/>
      </c>
      <c r="K1154" s="7">
        <f>IF(A1154="","",IF(OR(B1154="",C1154="",D1154="",E1154=""),"Missing info",IF(ISNA(MATCH(B1154,Staff!$A$2:$A$101,0)),"Unknown employee",IF(H1154="?","Unknown site",IF(G1154&lt;=0,"Check times",IF(G1154&gt;12,"Over 12h",IF(COUNTIFS($L$2:$L$2001,L1154)&gt;1,"Duplicate?",IF(A1154&gt;TODAY(),"Future date","OK"))))))))</f>
        <v/>
      </c>
      <c r="L1154">
        <f>IF(A1154="","",TEXT(A1154,"yyyy-mm-dd")&amp;"|"&amp;B1154&amp;"|"&amp;C1154)</f>
        <v/>
      </c>
    </row>
    <row r="1155">
      <c r="A1155" s="4" t="n"/>
      <c r="D1155" s="5" t="n"/>
      <c r="E1155" s="5" t="n"/>
      <c r="G1155" s="6">
        <f>IF(OR(A1155="",D1155="",E1155=""),"",ROUND(MOD(E1155-D1155,1)*24-N(F1155)/60,2))</f>
        <v/>
      </c>
      <c r="H1155" s="7">
        <f>IF(C1155="","",IFERROR(INDEX(Sites!$B$2:$B$501,MATCH(C1155,Sites!$A$2:$A$501,0)),"?"))</f>
        <v/>
      </c>
      <c r="I1155" s="8">
        <f>IF(A1155="","",A1155-WEEKDAY(A1155,3))</f>
        <v/>
      </c>
      <c r="K1155" s="7">
        <f>IF(A1155="","",IF(OR(B1155="",C1155="",D1155="",E1155=""),"Missing info",IF(ISNA(MATCH(B1155,Staff!$A$2:$A$101,0)),"Unknown employee",IF(H1155="?","Unknown site",IF(G1155&lt;=0,"Check times",IF(G1155&gt;12,"Over 12h",IF(COUNTIFS($L$2:$L$2001,L1155)&gt;1,"Duplicate?",IF(A1155&gt;TODAY(),"Future date","OK"))))))))</f>
        <v/>
      </c>
      <c r="L1155">
        <f>IF(A1155="","",TEXT(A1155,"yyyy-mm-dd")&amp;"|"&amp;B1155&amp;"|"&amp;C1155)</f>
        <v/>
      </c>
    </row>
    <row r="1156">
      <c r="A1156" s="4" t="n"/>
      <c r="D1156" s="5" t="n"/>
      <c r="E1156" s="5" t="n"/>
      <c r="G1156" s="6">
        <f>IF(OR(A1156="",D1156="",E1156=""),"",ROUND(MOD(E1156-D1156,1)*24-N(F1156)/60,2))</f>
        <v/>
      </c>
      <c r="H1156" s="7">
        <f>IF(C1156="","",IFERROR(INDEX(Sites!$B$2:$B$501,MATCH(C1156,Sites!$A$2:$A$501,0)),"?"))</f>
        <v/>
      </c>
      <c r="I1156" s="8">
        <f>IF(A1156="","",A1156-WEEKDAY(A1156,3))</f>
        <v/>
      </c>
      <c r="K1156" s="7">
        <f>IF(A1156="","",IF(OR(B1156="",C1156="",D1156="",E1156=""),"Missing info",IF(ISNA(MATCH(B1156,Staff!$A$2:$A$101,0)),"Unknown employee",IF(H1156="?","Unknown site",IF(G1156&lt;=0,"Check times",IF(G1156&gt;12,"Over 12h",IF(COUNTIFS($L$2:$L$2001,L1156)&gt;1,"Duplicate?",IF(A1156&gt;TODAY(),"Future date","OK"))))))))</f>
        <v/>
      </c>
      <c r="L1156">
        <f>IF(A1156="","",TEXT(A1156,"yyyy-mm-dd")&amp;"|"&amp;B1156&amp;"|"&amp;C1156)</f>
        <v/>
      </c>
    </row>
    <row r="1157">
      <c r="A1157" s="4" t="n"/>
      <c r="D1157" s="5" t="n"/>
      <c r="E1157" s="5" t="n"/>
      <c r="G1157" s="6">
        <f>IF(OR(A1157="",D1157="",E1157=""),"",ROUND(MOD(E1157-D1157,1)*24-N(F1157)/60,2))</f>
        <v/>
      </c>
      <c r="H1157" s="7">
        <f>IF(C1157="","",IFERROR(INDEX(Sites!$B$2:$B$501,MATCH(C1157,Sites!$A$2:$A$501,0)),"?"))</f>
        <v/>
      </c>
      <c r="I1157" s="8">
        <f>IF(A1157="","",A1157-WEEKDAY(A1157,3))</f>
        <v/>
      </c>
      <c r="K1157" s="7">
        <f>IF(A1157="","",IF(OR(B1157="",C1157="",D1157="",E1157=""),"Missing info",IF(ISNA(MATCH(B1157,Staff!$A$2:$A$101,0)),"Unknown employee",IF(H1157="?","Unknown site",IF(G1157&lt;=0,"Check times",IF(G1157&gt;12,"Over 12h",IF(COUNTIFS($L$2:$L$2001,L1157)&gt;1,"Duplicate?",IF(A1157&gt;TODAY(),"Future date","OK"))))))))</f>
        <v/>
      </c>
      <c r="L1157">
        <f>IF(A1157="","",TEXT(A1157,"yyyy-mm-dd")&amp;"|"&amp;B1157&amp;"|"&amp;C1157)</f>
        <v/>
      </c>
    </row>
    <row r="1158">
      <c r="A1158" s="4" t="n"/>
      <c r="D1158" s="5" t="n"/>
      <c r="E1158" s="5" t="n"/>
      <c r="G1158" s="6">
        <f>IF(OR(A1158="",D1158="",E1158=""),"",ROUND(MOD(E1158-D1158,1)*24-N(F1158)/60,2))</f>
        <v/>
      </c>
      <c r="H1158" s="7">
        <f>IF(C1158="","",IFERROR(INDEX(Sites!$B$2:$B$501,MATCH(C1158,Sites!$A$2:$A$501,0)),"?"))</f>
        <v/>
      </c>
      <c r="I1158" s="8">
        <f>IF(A1158="","",A1158-WEEKDAY(A1158,3))</f>
        <v/>
      </c>
      <c r="K1158" s="7">
        <f>IF(A1158="","",IF(OR(B1158="",C1158="",D1158="",E1158=""),"Missing info",IF(ISNA(MATCH(B1158,Staff!$A$2:$A$101,0)),"Unknown employee",IF(H1158="?","Unknown site",IF(G1158&lt;=0,"Check times",IF(G1158&gt;12,"Over 12h",IF(COUNTIFS($L$2:$L$2001,L1158)&gt;1,"Duplicate?",IF(A1158&gt;TODAY(),"Future date","OK"))))))))</f>
        <v/>
      </c>
      <c r="L1158">
        <f>IF(A1158="","",TEXT(A1158,"yyyy-mm-dd")&amp;"|"&amp;B1158&amp;"|"&amp;C1158)</f>
        <v/>
      </c>
    </row>
    <row r="1159">
      <c r="A1159" s="4" t="n"/>
      <c r="D1159" s="5" t="n"/>
      <c r="E1159" s="5" t="n"/>
      <c r="G1159" s="6">
        <f>IF(OR(A1159="",D1159="",E1159=""),"",ROUND(MOD(E1159-D1159,1)*24-N(F1159)/60,2))</f>
        <v/>
      </c>
      <c r="H1159" s="7">
        <f>IF(C1159="","",IFERROR(INDEX(Sites!$B$2:$B$501,MATCH(C1159,Sites!$A$2:$A$501,0)),"?"))</f>
        <v/>
      </c>
      <c r="I1159" s="8">
        <f>IF(A1159="","",A1159-WEEKDAY(A1159,3))</f>
        <v/>
      </c>
      <c r="K1159" s="7">
        <f>IF(A1159="","",IF(OR(B1159="",C1159="",D1159="",E1159=""),"Missing info",IF(ISNA(MATCH(B1159,Staff!$A$2:$A$101,0)),"Unknown employee",IF(H1159="?","Unknown site",IF(G1159&lt;=0,"Check times",IF(G1159&gt;12,"Over 12h",IF(COUNTIFS($L$2:$L$2001,L1159)&gt;1,"Duplicate?",IF(A1159&gt;TODAY(),"Future date","OK"))))))))</f>
        <v/>
      </c>
      <c r="L1159">
        <f>IF(A1159="","",TEXT(A1159,"yyyy-mm-dd")&amp;"|"&amp;B1159&amp;"|"&amp;C1159)</f>
        <v/>
      </c>
    </row>
    <row r="1160">
      <c r="A1160" s="4" t="n"/>
      <c r="D1160" s="5" t="n"/>
      <c r="E1160" s="5" t="n"/>
      <c r="G1160" s="6">
        <f>IF(OR(A1160="",D1160="",E1160=""),"",ROUND(MOD(E1160-D1160,1)*24-N(F1160)/60,2))</f>
        <v/>
      </c>
      <c r="H1160" s="7">
        <f>IF(C1160="","",IFERROR(INDEX(Sites!$B$2:$B$501,MATCH(C1160,Sites!$A$2:$A$501,0)),"?"))</f>
        <v/>
      </c>
      <c r="I1160" s="8">
        <f>IF(A1160="","",A1160-WEEKDAY(A1160,3))</f>
        <v/>
      </c>
      <c r="K1160" s="7">
        <f>IF(A1160="","",IF(OR(B1160="",C1160="",D1160="",E1160=""),"Missing info",IF(ISNA(MATCH(B1160,Staff!$A$2:$A$101,0)),"Unknown employee",IF(H1160="?","Unknown site",IF(G1160&lt;=0,"Check times",IF(G1160&gt;12,"Over 12h",IF(COUNTIFS($L$2:$L$2001,L1160)&gt;1,"Duplicate?",IF(A1160&gt;TODAY(),"Future date","OK"))))))))</f>
        <v/>
      </c>
      <c r="L1160">
        <f>IF(A1160="","",TEXT(A1160,"yyyy-mm-dd")&amp;"|"&amp;B1160&amp;"|"&amp;C1160)</f>
        <v/>
      </c>
    </row>
    <row r="1161">
      <c r="A1161" s="4" t="n"/>
      <c r="D1161" s="5" t="n"/>
      <c r="E1161" s="5" t="n"/>
      <c r="G1161" s="6">
        <f>IF(OR(A1161="",D1161="",E1161=""),"",ROUND(MOD(E1161-D1161,1)*24-N(F1161)/60,2))</f>
        <v/>
      </c>
      <c r="H1161" s="7">
        <f>IF(C1161="","",IFERROR(INDEX(Sites!$B$2:$B$501,MATCH(C1161,Sites!$A$2:$A$501,0)),"?"))</f>
        <v/>
      </c>
      <c r="I1161" s="8">
        <f>IF(A1161="","",A1161-WEEKDAY(A1161,3))</f>
        <v/>
      </c>
      <c r="K1161" s="7">
        <f>IF(A1161="","",IF(OR(B1161="",C1161="",D1161="",E1161=""),"Missing info",IF(ISNA(MATCH(B1161,Staff!$A$2:$A$101,0)),"Unknown employee",IF(H1161="?","Unknown site",IF(G1161&lt;=0,"Check times",IF(G1161&gt;12,"Over 12h",IF(COUNTIFS($L$2:$L$2001,L1161)&gt;1,"Duplicate?",IF(A1161&gt;TODAY(),"Future date","OK"))))))))</f>
        <v/>
      </c>
      <c r="L1161">
        <f>IF(A1161="","",TEXT(A1161,"yyyy-mm-dd")&amp;"|"&amp;B1161&amp;"|"&amp;C1161)</f>
        <v/>
      </c>
    </row>
    <row r="1162">
      <c r="A1162" s="4" t="n"/>
      <c r="D1162" s="5" t="n"/>
      <c r="E1162" s="5" t="n"/>
      <c r="G1162" s="6">
        <f>IF(OR(A1162="",D1162="",E1162=""),"",ROUND(MOD(E1162-D1162,1)*24-N(F1162)/60,2))</f>
        <v/>
      </c>
      <c r="H1162" s="7">
        <f>IF(C1162="","",IFERROR(INDEX(Sites!$B$2:$B$501,MATCH(C1162,Sites!$A$2:$A$501,0)),"?"))</f>
        <v/>
      </c>
      <c r="I1162" s="8">
        <f>IF(A1162="","",A1162-WEEKDAY(A1162,3))</f>
        <v/>
      </c>
      <c r="K1162" s="7">
        <f>IF(A1162="","",IF(OR(B1162="",C1162="",D1162="",E1162=""),"Missing info",IF(ISNA(MATCH(B1162,Staff!$A$2:$A$101,0)),"Unknown employee",IF(H1162="?","Unknown site",IF(G1162&lt;=0,"Check times",IF(G1162&gt;12,"Over 12h",IF(COUNTIFS($L$2:$L$2001,L1162)&gt;1,"Duplicate?",IF(A1162&gt;TODAY(),"Future date","OK"))))))))</f>
        <v/>
      </c>
      <c r="L1162">
        <f>IF(A1162="","",TEXT(A1162,"yyyy-mm-dd")&amp;"|"&amp;B1162&amp;"|"&amp;C1162)</f>
        <v/>
      </c>
    </row>
    <row r="1163">
      <c r="A1163" s="4" t="n"/>
      <c r="D1163" s="5" t="n"/>
      <c r="E1163" s="5" t="n"/>
      <c r="G1163" s="6">
        <f>IF(OR(A1163="",D1163="",E1163=""),"",ROUND(MOD(E1163-D1163,1)*24-N(F1163)/60,2))</f>
        <v/>
      </c>
      <c r="H1163" s="7">
        <f>IF(C1163="","",IFERROR(INDEX(Sites!$B$2:$B$501,MATCH(C1163,Sites!$A$2:$A$501,0)),"?"))</f>
        <v/>
      </c>
      <c r="I1163" s="8">
        <f>IF(A1163="","",A1163-WEEKDAY(A1163,3))</f>
        <v/>
      </c>
      <c r="K1163" s="7">
        <f>IF(A1163="","",IF(OR(B1163="",C1163="",D1163="",E1163=""),"Missing info",IF(ISNA(MATCH(B1163,Staff!$A$2:$A$101,0)),"Unknown employee",IF(H1163="?","Unknown site",IF(G1163&lt;=0,"Check times",IF(G1163&gt;12,"Over 12h",IF(COUNTIFS($L$2:$L$2001,L1163)&gt;1,"Duplicate?",IF(A1163&gt;TODAY(),"Future date","OK"))))))))</f>
        <v/>
      </c>
      <c r="L1163">
        <f>IF(A1163="","",TEXT(A1163,"yyyy-mm-dd")&amp;"|"&amp;B1163&amp;"|"&amp;C1163)</f>
        <v/>
      </c>
    </row>
    <row r="1164">
      <c r="A1164" s="4" t="n"/>
      <c r="D1164" s="5" t="n"/>
      <c r="E1164" s="5" t="n"/>
      <c r="G1164" s="6">
        <f>IF(OR(A1164="",D1164="",E1164=""),"",ROUND(MOD(E1164-D1164,1)*24-N(F1164)/60,2))</f>
        <v/>
      </c>
      <c r="H1164" s="7">
        <f>IF(C1164="","",IFERROR(INDEX(Sites!$B$2:$B$501,MATCH(C1164,Sites!$A$2:$A$501,0)),"?"))</f>
        <v/>
      </c>
      <c r="I1164" s="8">
        <f>IF(A1164="","",A1164-WEEKDAY(A1164,3))</f>
        <v/>
      </c>
      <c r="K1164" s="7">
        <f>IF(A1164="","",IF(OR(B1164="",C1164="",D1164="",E1164=""),"Missing info",IF(ISNA(MATCH(B1164,Staff!$A$2:$A$101,0)),"Unknown employee",IF(H1164="?","Unknown site",IF(G1164&lt;=0,"Check times",IF(G1164&gt;12,"Over 12h",IF(COUNTIFS($L$2:$L$2001,L1164)&gt;1,"Duplicate?",IF(A1164&gt;TODAY(),"Future date","OK"))))))))</f>
        <v/>
      </c>
      <c r="L1164">
        <f>IF(A1164="","",TEXT(A1164,"yyyy-mm-dd")&amp;"|"&amp;B1164&amp;"|"&amp;C1164)</f>
        <v/>
      </c>
    </row>
    <row r="1165">
      <c r="A1165" s="4" t="n"/>
      <c r="D1165" s="5" t="n"/>
      <c r="E1165" s="5" t="n"/>
      <c r="G1165" s="6">
        <f>IF(OR(A1165="",D1165="",E1165=""),"",ROUND(MOD(E1165-D1165,1)*24-N(F1165)/60,2))</f>
        <v/>
      </c>
      <c r="H1165" s="7">
        <f>IF(C1165="","",IFERROR(INDEX(Sites!$B$2:$B$501,MATCH(C1165,Sites!$A$2:$A$501,0)),"?"))</f>
        <v/>
      </c>
      <c r="I1165" s="8">
        <f>IF(A1165="","",A1165-WEEKDAY(A1165,3))</f>
        <v/>
      </c>
      <c r="K1165" s="7">
        <f>IF(A1165="","",IF(OR(B1165="",C1165="",D1165="",E1165=""),"Missing info",IF(ISNA(MATCH(B1165,Staff!$A$2:$A$101,0)),"Unknown employee",IF(H1165="?","Unknown site",IF(G1165&lt;=0,"Check times",IF(G1165&gt;12,"Over 12h",IF(COUNTIFS($L$2:$L$2001,L1165)&gt;1,"Duplicate?",IF(A1165&gt;TODAY(),"Future date","OK"))))))))</f>
        <v/>
      </c>
      <c r="L1165">
        <f>IF(A1165="","",TEXT(A1165,"yyyy-mm-dd")&amp;"|"&amp;B1165&amp;"|"&amp;C1165)</f>
        <v/>
      </c>
    </row>
    <row r="1166">
      <c r="A1166" s="4" t="n"/>
      <c r="D1166" s="5" t="n"/>
      <c r="E1166" s="5" t="n"/>
      <c r="G1166" s="6">
        <f>IF(OR(A1166="",D1166="",E1166=""),"",ROUND(MOD(E1166-D1166,1)*24-N(F1166)/60,2))</f>
        <v/>
      </c>
      <c r="H1166" s="7">
        <f>IF(C1166="","",IFERROR(INDEX(Sites!$B$2:$B$501,MATCH(C1166,Sites!$A$2:$A$501,0)),"?"))</f>
        <v/>
      </c>
      <c r="I1166" s="8">
        <f>IF(A1166="","",A1166-WEEKDAY(A1166,3))</f>
        <v/>
      </c>
      <c r="K1166" s="7">
        <f>IF(A1166="","",IF(OR(B1166="",C1166="",D1166="",E1166=""),"Missing info",IF(ISNA(MATCH(B1166,Staff!$A$2:$A$101,0)),"Unknown employee",IF(H1166="?","Unknown site",IF(G1166&lt;=0,"Check times",IF(G1166&gt;12,"Over 12h",IF(COUNTIFS($L$2:$L$2001,L1166)&gt;1,"Duplicate?",IF(A1166&gt;TODAY(),"Future date","OK"))))))))</f>
        <v/>
      </c>
      <c r="L1166">
        <f>IF(A1166="","",TEXT(A1166,"yyyy-mm-dd")&amp;"|"&amp;B1166&amp;"|"&amp;C1166)</f>
        <v/>
      </c>
    </row>
    <row r="1167">
      <c r="A1167" s="4" t="n"/>
      <c r="D1167" s="5" t="n"/>
      <c r="E1167" s="5" t="n"/>
      <c r="G1167" s="6">
        <f>IF(OR(A1167="",D1167="",E1167=""),"",ROUND(MOD(E1167-D1167,1)*24-N(F1167)/60,2))</f>
        <v/>
      </c>
      <c r="H1167" s="7">
        <f>IF(C1167="","",IFERROR(INDEX(Sites!$B$2:$B$501,MATCH(C1167,Sites!$A$2:$A$501,0)),"?"))</f>
        <v/>
      </c>
      <c r="I1167" s="8">
        <f>IF(A1167="","",A1167-WEEKDAY(A1167,3))</f>
        <v/>
      </c>
      <c r="K1167" s="7">
        <f>IF(A1167="","",IF(OR(B1167="",C1167="",D1167="",E1167=""),"Missing info",IF(ISNA(MATCH(B1167,Staff!$A$2:$A$101,0)),"Unknown employee",IF(H1167="?","Unknown site",IF(G1167&lt;=0,"Check times",IF(G1167&gt;12,"Over 12h",IF(COUNTIFS($L$2:$L$2001,L1167)&gt;1,"Duplicate?",IF(A1167&gt;TODAY(),"Future date","OK"))))))))</f>
        <v/>
      </c>
      <c r="L1167">
        <f>IF(A1167="","",TEXT(A1167,"yyyy-mm-dd")&amp;"|"&amp;B1167&amp;"|"&amp;C1167)</f>
        <v/>
      </c>
    </row>
    <row r="1168">
      <c r="A1168" s="4" t="n"/>
      <c r="D1168" s="5" t="n"/>
      <c r="E1168" s="5" t="n"/>
      <c r="G1168" s="6">
        <f>IF(OR(A1168="",D1168="",E1168=""),"",ROUND(MOD(E1168-D1168,1)*24-N(F1168)/60,2))</f>
        <v/>
      </c>
      <c r="H1168" s="7">
        <f>IF(C1168="","",IFERROR(INDEX(Sites!$B$2:$B$501,MATCH(C1168,Sites!$A$2:$A$501,0)),"?"))</f>
        <v/>
      </c>
      <c r="I1168" s="8">
        <f>IF(A1168="","",A1168-WEEKDAY(A1168,3))</f>
        <v/>
      </c>
      <c r="K1168" s="7">
        <f>IF(A1168="","",IF(OR(B1168="",C1168="",D1168="",E1168=""),"Missing info",IF(ISNA(MATCH(B1168,Staff!$A$2:$A$101,0)),"Unknown employee",IF(H1168="?","Unknown site",IF(G1168&lt;=0,"Check times",IF(G1168&gt;12,"Over 12h",IF(COUNTIFS($L$2:$L$2001,L1168)&gt;1,"Duplicate?",IF(A1168&gt;TODAY(),"Future date","OK"))))))))</f>
        <v/>
      </c>
      <c r="L1168">
        <f>IF(A1168="","",TEXT(A1168,"yyyy-mm-dd")&amp;"|"&amp;B1168&amp;"|"&amp;C1168)</f>
        <v/>
      </c>
    </row>
    <row r="1169">
      <c r="A1169" s="4" t="n"/>
      <c r="D1169" s="5" t="n"/>
      <c r="E1169" s="5" t="n"/>
      <c r="G1169" s="6">
        <f>IF(OR(A1169="",D1169="",E1169=""),"",ROUND(MOD(E1169-D1169,1)*24-N(F1169)/60,2))</f>
        <v/>
      </c>
      <c r="H1169" s="7">
        <f>IF(C1169="","",IFERROR(INDEX(Sites!$B$2:$B$501,MATCH(C1169,Sites!$A$2:$A$501,0)),"?"))</f>
        <v/>
      </c>
      <c r="I1169" s="8">
        <f>IF(A1169="","",A1169-WEEKDAY(A1169,3))</f>
        <v/>
      </c>
      <c r="K1169" s="7">
        <f>IF(A1169="","",IF(OR(B1169="",C1169="",D1169="",E1169=""),"Missing info",IF(ISNA(MATCH(B1169,Staff!$A$2:$A$101,0)),"Unknown employee",IF(H1169="?","Unknown site",IF(G1169&lt;=0,"Check times",IF(G1169&gt;12,"Over 12h",IF(COUNTIFS($L$2:$L$2001,L1169)&gt;1,"Duplicate?",IF(A1169&gt;TODAY(),"Future date","OK"))))))))</f>
        <v/>
      </c>
      <c r="L1169">
        <f>IF(A1169="","",TEXT(A1169,"yyyy-mm-dd")&amp;"|"&amp;B1169&amp;"|"&amp;C1169)</f>
        <v/>
      </c>
    </row>
    <row r="1170">
      <c r="A1170" s="4" t="n"/>
      <c r="D1170" s="5" t="n"/>
      <c r="E1170" s="5" t="n"/>
      <c r="G1170" s="6">
        <f>IF(OR(A1170="",D1170="",E1170=""),"",ROUND(MOD(E1170-D1170,1)*24-N(F1170)/60,2))</f>
        <v/>
      </c>
      <c r="H1170" s="7">
        <f>IF(C1170="","",IFERROR(INDEX(Sites!$B$2:$B$501,MATCH(C1170,Sites!$A$2:$A$501,0)),"?"))</f>
        <v/>
      </c>
      <c r="I1170" s="8">
        <f>IF(A1170="","",A1170-WEEKDAY(A1170,3))</f>
        <v/>
      </c>
      <c r="K1170" s="7">
        <f>IF(A1170="","",IF(OR(B1170="",C1170="",D1170="",E1170=""),"Missing info",IF(ISNA(MATCH(B1170,Staff!$A$2:$A$101,0)),"Unknown employee",IF(H1170="?","Unknown site",IF(G1170&lt;=0,"Check times",IF(G1170&gt;12,"Over 12h",IF(COUNTIFS($L$2:$L$2001,L1170)&gt;1,"Duplicate?",IF(A1170&gt;TODAY(),"Future date","OK"))))))))</f>
        <v/>
      </c>
      <c r="L1170">
        <f>IF(A1170="","",TEXT(A1170,"yyyy-mm-dd")&amp;"|"&amp;B1170&amp;"|"&amp;C1170)</f>
        <v/>
      </c>
    </row>
    <row r="1171">
      <c r="A1171" s="4" t="n"/>
      <c r="D1171" s="5" t="n"/>
      <c r="E1171" s="5" t="n"/>
      <c r="G1171" s="6">
        <f>IF(OR(A1171="",D1171="",E1171=""),"",ROUND(MOD(E1171-D1171,1)*24-N(F1171)/60,2))</f>
        <v/>
      </c>
      <c r="H1171" s="7">
        <f>IF(C1171="","",IFERROR(INDEX(Sites!$B$2:$B$501,MATCH(C1171,Sites!$A$2:$A$501,0)),"?"))</f>
        <v/>
      </c>
      <c r="I1171" s="8">
        <f>IF(A1171="","",A1171-WEEKDAY(A1171,3))</f>
        <v/>
      </c>
      <c r="K1171" s="7">
        <f>IF(A1171="","",IF(OR(B1171="",C1171="",D1171="",E1171=""),"Missing info",IF(ISNA(MATCH(B1171,Staff!$A$2:$A$101,0)),"Unknown employee",IF(H1171="?","Unknown site",IF(G1171&lt;=0,"Check times",IF(G1171&gt;12,"Over 12h",IF(COUNTIFS($L$2:$L$2001,L1171)&gt;1,"Duplicate?",IF(A1171&gt;TODAY(),"Future date","OK"))))))))</f>
        <v/>
      </c>
      <c r="L1171">
        <f>IF(A1171="","",TEXT(A1171,"yyyy-mm-dd")&amp;"|"&amp;B1171&amp;"|"&amp;C1171)</f>
        <v/>
      </c>
    </row>
    <row r="1172">
      <c r="A1172" s="4" t="n"/>
      <c r="D1172" s="5" t="n"/>
      <c r="E1172" s="5" t="n"/>
      <c r="G1172" s="6">
        <f>IF(OR(A1172="",D1172="",E1172=""),"",ROUND(MOD(E1172-D1172,1)*24-N(F1172)/60,2))</f>
        <v/>
      </c>
      <c r="H1172" s="7">
        <f>IF(C1172="","",IFERROR(INDEX(Sites!$B$2:$B$501,MATCH(C1172,Sites!$A$2:$A$501,0)),"?"))</f>
        <v/>
      </c>
      <c r="I1172" s="8">
        <f>IF(A1172="","",A1172-WEEKDAY(A1172,3))</f>
        <v/>
      </c>
      <c r="K1172" s="7">
        <f>IF(A1172="","",IF(OR(B1172="",C1172="",D1172="",E1172=""),"Missing info",IF(ISNA(MATCH(B1172,Staff!$A$2:$A$101,0)),"Unknown employee",IF(H1172="?","Unknown site",IF(G1172&lt;=0,"Check times",IF(G1172&gt;12,"Over 12h",IF(COUNTIFS($L$2:$L$2001,L1172)&gt;1,"Duplicate?",IF(A1172&gt;TODAY(),"Future date","OK"))))))))</f>
        <v/>
      </c>
      <c r="L1172">
        <f>IF(A1172="","",TEXT(A1172,"yyyy-mm-dd")&amp;"|"&amp;B1172&amp;"|"&amp;C1172)</f>
        <v/>
      </c>
    </row>
    <row r="1173">
      <c r="A1173" s="4" t="n"/>
      <c r="D1173" s="5" t="n"/>
      <c r="E1173" s="5" t="n"/>
      <c r="G1173" s="6">
        <f>IF(OR(A1173="",D1173="",E1173=""),"",ROUND(MOD(E1173-D1173,1)*24-N(F1173)/60,2))</f>
        <v/>
      </c>
      <c r="H1173" s="7">
        <f>IF(C1173="","",IFERROR(INDEX(Sites!$B$2:$B$501,MATCH(C1173,Sites!$A$2:$A$501,0)),"?"))</f>
        <v/>
      </c>
      <c r="I1173" s="8">
        <f>IF(A1173="","",A1173-WEEKDAY(A1173,3))</f>
        <v/>
      </c>
      <c r="K1173" s="7">
        <f>IF(A1173="","",IF(OR(B1173="",C1173="",D1173="",E1173=""),"Missing info",IF(ISNA(MATCH(B1173,Staff!$A$2:$A$101,0)),"Unknown employee",IF(H1173="?","Unknown site",IF(G1173&lt;=0,"Check times",IF(G1173&gt;12,"Over 12h",IF(COUNTIFS($L$2:$L$2001,L1173)&gt;1,"Duplicate?",IF(A1173&gt;TODAY(),"Future date","OK"))))))))</f>
        <v/>
      </c>
      <c r="L1173">
        <f>IF(A1173="","",TEXT(A1173,"yyyy-mm-dd")&amp;"|"&amp;B1173&amp;"|"&amp;C1173)</f>
        <v/>
      </c>
    </row>
    <row r="1174">
      <c r="A1174" s="4" t="n"/>
      <c r="D1174" s="5" t="n"/>
      <c r="E1174" s="5" t="n"/>
      <c r="G1174" s="6">
        <f>IF(OR(A1174="",D1174="",E1174=""),"",ROUND(MOD(E1174-D1174,1)*24-N(F1174)/60,2))</f>
        <v/>
      </c>
      <c r="H1174" s="7">
        <f>IF(C1174="","",IFERROR(INDEX(Sites!$B$2:$B$501,MATCH(C1174,Sites!$A$2:$A$501,0)),"?"))</f>
        <v/>
      </c>
      <c r="I1174" s="8">
        <f>IF(A1174="","",A1174-WEEKDAY(A1174,3))</f>
        <v/>
      </c>
      <c r="K1174" s="7">
        <f>IF(A1174="","",IF(OR(B1174="",C1174="",D1174="",E1174=""),"Missing info",IF(ISNA(MATCH(B1174,Staff!$A$2:$A$101,0)),"Unknown employee",IF(H1174="?","Unknown site",IF(G1174&lt;=0,"Check times",IF(G1174&gt;12,"Over 12h",IF(COUNTIFS($L$2:$L$2001,L1174)&gt;1,"Duplicate?",IF(A1174&gt;TODAY(),"Future date","OK"))))))))</f>
        <v/>
      </c>
      <c r="L1174">
        <f>IF(A1174="","",TEXT(A1174,"yyyy-mm-dd")&amp;"|"&amp;B1174&amp;"|"&amp;C1174)</f>
        <v/>
      </c>
    </row>
    <row r="1175">
      <c r="A1175" s="4" t="n"/>
      <c r="D1175" s="5" t="n"/>
      <c r="E1175" s="5" t="n"/>
      <c r="G1175" s="6">
        <f>IF(OR(A1175="",D1175="",E1175=""),"",ROUND(MOD(E1175-D1175,1)*24-N(F1175)/60,2))</f>
        <v/>
      </c>
      <c r="H1175" s="7">
        <f>IF(C1175="","",IFERROR(INDEX(Sites!$B$2:$B$501,MATCH(C1175,Sites!$A$2:$A$501,0)),"?"))</f>
        <v/>
      </c>
      <c r="I1175" s="8">
        <f>IF(A1175="","",A1175-WEEKDAY(A1175,3))</f>
        <v/>
      </c>
      <c r="K1175" s="7">
        <f>IF(A1175="","",IF(OR(B1175="",C1175="",D1175="",E1175=""),"Missing info",IF(ISNA(MATCH(B1175,Staff!$A$2:$A$101,0)),"Unknown employee",IF(H1175="?","Unknown site",IF(G1175&lt;=0,"Check times",IF(G1175&gt;12,"Over 12h",IF(COUNTIFS($L$2:$L$2001,L1175)&gt;1,"Duplicate?",IF(A1175&gt;TODAY(),"Future date","OK"))))))))</f>
        <v/>
      </c>
      <c r="L1175">
        <f>IF(A1175="","",TEXT(A1175,"yyyy-mm-dd")&amp;"|"&amp;B1175&amp;"|"&amp;C1175)</f>
        <v/>
      </c>
    </row>
    <row r="1176">
      <c r="A1176" s="4" t="n"/>
      <c r="D1176" s="5" t="n"/>
      <c r="E1176" s="5" t="n"/>
      <c r="G1176" s="6">
        <f>IF(OR(A1176="",D1176="",E1176=""),"",ROUND(MOD(E1176-D1176,1)*24-N(F1176)/60,2))</f>
        <v/>
      </c>
      <c r="H1176" s="7">
        <f>IF(C1176="","",IFERROR(INDEX(Sites!$B$2:$B$501,MATCH(C1176,Sites!$A$2:$A$501,0)),"?"))</f>
        <v/>
      </c>
      <c r="I1176" s="8">
        <f>IF(A1176="","",A1176-WEEKDAY(A1176,3))</f>
        <v/>
      </c>
      <c r="K1176" s="7">
        <f>IF(A1176="","",IF(OR(B1176="",C1176="",D1176="",E1176=""),"Missing info",IF(ISNA(MATCH(B1176,Staff!$A$2:$A$101,0)),"Unknown employee",IF(H1176="?","Unknown site",IF(G1176&lt;=0,"Check times",IF(G1176&gt;12,"Over 12h",IF(COUNTIFS($L$2:$L$2001,L1176)&gt;1,"Duplicate?",IF(A1176&gt;TODAY(),"Future date","OK"))))))))</f>
        <v/>
      </c>
      <c r="L1176">
        <f>IF(A1176="","",TEXT(A1176,"yyyy-mm-dd")&amp;"|"&amp;B1176&amp;"|"&amp;C1176)</f>
        <v/>
      </c>
    </row>
    <row r="1177">
      <c r="A1177" s="4" t="n"/>
      <c r="D1177" s="5" t="n"/>
      <c r="E1177" s="5" t="n"/>
      <c r="G1177" s="6">
        <f>IF(OR(A1177="",D1177="",E1177=""),"",ROUND(MOD(E1177-D1177,1)*24-N(F1177)/60,2))</f>
        <v/>
      </c>
      <c r="H1177" s="7">
        <f>IF(C1177="","",IFERROR(INDEX(Sites!$B$2:$B$501,MATCH(C1177,Sites!$A$2:$A$501,0)),"?"))</f>
        <v/>
      </c>
      <c r="I1177" s="8">
        <f>IF(A1177="","",A1177-WEEKDAY(A1177,3))</f>
        <v/>
      </c>
      <c r="K1177" s="7">
        <f>IF(A1177="","",IF(OR(B1177="",C1177="",D1177="",E1177=""),"Missing info",IF(ISNA(MATCH(B1177,Staff!$A$2:$A$101,0)),"Unknown employee",IF(H1177="?","Unknown site",IF(G1177&lt;=0,"Check times",IF(G1177&gt;12,"Over 12h",IF(COUNTIFS($L$2:$L$2001,L1177)&gt;1,"Duplicate?",IF(A1177&gt;TODAY(),"Future date","OK"))))))))</f>
        <v/>
      </c>
      <c r="L1177">
        <f>IF(A1177="","",TEXT(A1177,"yyyy-mm-dd")&amp;"|"&amp;B1177&amp;"|"&amp;C1177)</f>
        <v/>
      </c>
    </row>
    <row r="1178">
      <c r="A1178" s="4" t="n"/>
      <c r="D1178" s="5" t="n"/>
      <c r="E1178" s="5" t="n"/>
      <c r="G1178" s="6">
        <f>IF(OR(A1178="",D1178="",E1178=""),"",ROUND(MOD(E1178-D1178,1)*24-N(F1178)/60,2))</f>
        <v/>
      </c>
      <c r="H1178" s="7">
        <f>IF(C1178="","",IFERROR(INDEX(Sites!$B$2:$B$501,MATCH(C1178,Sites!$A$2:$A$501,0)),"?"))</f>
        <v/>
      </c>
      <c r="I1178" s="8">
        <f>IF(A1178="","",A1178-WEEKDAY(A1178,3))</f>
        <v/>
      </c>
      <c r="K1178" s="7">
        <f>IF(A1178="","",IF(OR(B1178="",C1178="",D1178="",E1178=""),"Missing info",IF(ISNA(MATCH(B1178,Staff!$A$2:$A$101,0)),"Unknown employee",IF(H1178="?","Unknown site",IF(G1178&lt;=0,"Check times",IF(G1178&gt;12,"Over 12h",IF(COUNTIFS($L$2:$L$2001,L1178)&gt;1,"Duplicate?",IF(A1178&gt;TODAY(),"Future date","OK"))))))))</f>
        <v/>
      </c>
      <c r="L1178">
        <f>IF(A1178="","",TEXT(A1178,"yyyy-mm-dd")&amp;"|"&amp;B1178&amp;"|"&amp;C1178)</f>
        <v/>
      </c>
    </row>
    <row r="1179">
      <c r="A1179" s="4" t="n"/>
      <c r="D1179" s="5" t="n"/>
      <c r="E1179" s="5" t="n"/>
      <c r="G1179" s="6">
        <f>IF(OR(A1179="",D1179="",E1179=""),"",ROUND(MOD(E1179-D1179,1)*24-N(F1179)/60,2))</f>
        <v/>
      </c>
      <c r="H1179" s="7">
        <f>IF(C1179="","",IFERROR(INDEX(Sites!$B$2:$B$501,MATCH(C1179,Sites!$A$2:$A$501,0)),"?"))</f>
        <v/>
      </c>
      <c r="I1179" s="8">
        <f>IF(A1179="","",A1179-WEEKDAY(A1179,3))</f>
        <v/>
      </c>
      <c r="K1179" s="7">
        <f>IF(A1179="","",IF(OR(B1179="",C1179="",D1179="",E1179=""),"Missing info",IF(ISNA(MATCH(B1179,Staff!$A$2:$A$101,0)),"Unknown employee",IF(H1179="?","Unknown site",IF(G1179&lt;=0,"Check times",IF(G1179&gt;12,"Over 12h",IF(COUNTIFS($L$2:$L$2001,L1179)&gt;1,"Duplicate?",IF(A1179&gt;TODAY(),"Future date","OK"))))))))</f>
        <v/>
      </c>
      <c r="L1179">
        <f>IF(A1179="","",TEXT(A1179,"yyyy-mm-dd")&amp;"|"&amp;B1179&amp;"|"&amp;C1179)</f>
        <v/>
      </c>
    </row>
    <row r="1180">
      <c r="A1180" s="4" t="n"/>
      <c r="D1180" s="5" t="n"/>
      <c r="E1180" s="5" t="n"/>
      <c r="G1180" s="6">
        <f>IF(OR(A1180="",D1180="",E1180=""),"",ROUND(MOD(E1180-D1180,1)*24-N(F1180)/60,2))</f>
        <v/>
      </c>
      <c r="H1180" s="7">
        <f>IF(C1180="","",IFERROR(INDEX(Sites!$B$2:$B$501,MATCH(C1180,Sites!$A$2:$A$501,0)),"?"))</f>
        <v/>
      </c>
      <c r="I1180" s="8">
        <f>IF(A1180="","",A1180-WEEKDAY(A1180,3))</f>
        <v/>
      </c>
      <c r="K1180" s="7">
        <f>IF(A1180="","",IF(OR(B1180="",C1180="",D1180="",E1180=""),"Missing info",IF(ISNA(MATCH(B1180,Staff!$A$2:$A$101,0)),"Unknown employee",IF(H1180="?","Unknown site",IF(G1180&lt;=0,"Check times",IF(G1180&gt;12,"Over 12h",IF(COUNTIFS($L$2:$L$2001,L1180)&gt;1,"Duplicate?",IF(A1180&gt;TODAY(),"Future date","OK"))))))))</f>
        <v/>
      </c>
      <c r="L1180">
        <f>IF(A1180="","",TEXT(A1180,"yyyy-mm-dd")&amp;"|"&amp;B1180&amp;"|"&amp;C1180)</f>
        <v/>
      </c>
    </row>
    <row r="1181">
      <c r="A1181" s="4" t="n"/>
      <c r="D1181" s="5" t="n"/>
      <c r="E1181" s="5" t="n"/>
      <c r="G1181" s="6">
        <f>IF(OR(A1181="",D1181="",E1181=""),"",ROUND(MOD(E1181-D1181,1)*24-N(F1181)/60,2))</f>
        <v/>
      </c>
      <c r="H1181" s="7">
        <f>IF(C1181="","",IFERROR(INDEX(Sites!$B$2:$B$501,MATCH(C1181,Sites!$A$2:$A$501,0)),"?"))</f>
        <v/>
      </c>
      <c r="I1181" s="8">
        <f>IF(A1181="","",A1181-WEEKDAY(A1181,3))</f>
        <v/>
      </c>
      <c r="K1181" s="7">
        <f>IF(A1181="","",IF(OR(B1181="",C1181="",D1181="",E1181=""),"Missing info",IF(ISNA(MATCH(B1181,Staff!$A$2:$A$101,0)),"Unknown employee",IF(H1181="?","Unknown site",IF(G1181&lt;=0,"Check times",IF(G1181&gt;12,"Over 12h",IF(COUNTIFS($L$2:$L$2001,L1181)&gt;1,"Duplicate?",IF(A1181&gt;TODAY(),"Future date","OK"))))))))</f>
        <v/>
      </c>
      <c r="L1181">
        <f>IF(A1181="","",TEXT(A1181,"yyyy-mm-dd")&amp;"|"&amp;B1181&amp;"|"&amp;C1181)</f>
        <v/>
      </c>
    </row>
    <row r="1182">
      <c r="A1182" s="4" t="n"/>
      <c r="D1182" s="5" t="n"/>
      <c r="E1182" s="5" t="n"/>
      <c r="G1182" s="6">
        <f>IF(OR(A1182="",D1182="",E1182=""),"",ROUND(MOD(E1182-D1182,1)*24-N(F1182)/60,2))</f>
        <v/>
      </c>
      <c r="H1182" s="7">
        <f>IF(C1182="","",IFERROR(INDEX(Sites!$B$2:$B$501,MATCH(C1182,Sites!$A$2:$A$501,0)),"?"))</f>
        <v/>
      </c>
      <c r="I1182" s="8">
        <f>IF(A1182="","",A1182-WEEKDAY(A1182,3))</f>
        <v/>
      </c>
      <c r="K1182" s="7">
        <f>IF(A1182="","",IF(OR(B1182="",C1182="",D1182="",E1182=""),"Missing info",IF(ISNA(MATCH(B1182,Staff!$A$2:$A$101,0)),"Unknown employee",IF(H1182="?","Unknown site",IF(G1182&lt;=0,"Check times",IF(G1182&gt;12,"Over 12h",IF(COUNTIFS($L$2:$L$2001,L1182)&gt;1,"Duplicate?",IF(A1182&gt;TODAY(),"Future date","OK"))))))))</f>
        <v/>
      </c>
      <c r="L1182">
        <f>IF(A1182="","",TEXT(A1182,"yyyy-mm-dd")&amp;"|"&amp;B1182&amp;"|"&amp;C1182)</f>
        <v/>
      </c>
    </row>
    <row r="1183">
      <c r="A1183" s="4" t="n"/>
      <c r="D1183" s="5" t="n"/>
      <c r="E1183" s="5" t="n"/>
      <c r="G1183" s="6">
        <f>IF(OR(A1183="",D1183="",E1183=""),"",ROUND(MOD(E1183-D1183,1)*24-N(F1183)/60,2))</f>
        <v/>
      </c>
      <c r="H1183" s="7">
        <f>IF(C1183="","",IFERROR(INDEX(Sites!$B$2:$B$501,MATCH(C1183,Sites!$A$2:$A$501,0)),"?"))</f>
        <v/>
      </c>
      <c r="I1183" s="8">
        <f>IF(A1183="","",A1183-WEEKDAY(A1183,3))</f>
        <v/>
      </c>
      <c r="K1183" s="7">
        <f>IF(A1183="","",IF(OR(B1183="",C1183="",D1183="",E1183=""),"Missing info",IF(ISNA(MATCH(B1183,Staff!$A$2:$A$101,0)),"Unknown employee",IF(H1183="?","Unknown site",IF(G1183&lt;=0,"Check times",IF(G1183&gt;12,"Over 12h",IF(COUNTIFS($L$2:$L$2001,L1183)&gt;1,"Duplicate?",IF(A1183&gt;TODAY(),"Future date","OK"))))))))</f>
        <v/>
      </c>
      <c r="L1183">
        <f>IF(A1183="","",TEXT(A1183,"yyyy-mm-dd")&amp;"|"&amp;B1183&amp;"|"&amp;C1183)</f>
        <v/>
      </c>
    </row>
    <row r="1184">
      <c r="A1184" s="4" t="n"/>
      <c r="D1184" s="5" t="n"/>
      <c r="E1184" s="5" t="n"/>
      <c r="G1184" s="6">
        <f>IF(OR(A1184="",D1184="",E1184=""),"",ROUND(MOD(E1184-D1184,1)*24-N(F1184)/60,2))</f>
        <v/>
      </c>
      <c r="H1184" s="7">
        <f>IF(C1184="","",IFERROR(INDEX(Sites!$B$2:$B$501,MATCH(C1184,Sites!$A$2:$A$501,0)),"?"))</f>
        <v/>
      </c>
      <c r="I1184" s="8">
        <f>IF(A1184="","",A1184-WEEKDAY(A1184,3))</f>
        <v/>
      </c>
      <c r="K1184" s="7">
        <f>IF(A1184="","",IF(OR(B1184="",C1184="",D1184="",E1184=""),"Missing info",IF(ISNA(MATCH(B1184,Staff!$A$2:$A$101,0)),"Unknown employee",IF(H1184="?","Unknown site",IF(G1184&lt;=0,"Check times",IF(G1184&gt;12,"Over 12h",IF(COUNTIFS($L$2:$L$2001,L1184)&gt;1,"Duplicate?",IF(A1184&gt;TODAY(),"Future date","OK"))))))))</f>
        <v/>
      </c>
      <c r="L1184">
        <f>IF(A1184="","",TEXT(A1184,"yyyy-mm-dd")&amp;"|"&amp;B1184&amp;"|"&amp;C1184)</f>
        <v/>
      </c>
    </row>
    <row r="1185">
      <c r="A1185" s="4" t="n"/>
      <c r="D1185" s="5" t="n"/>
      <c r="E1185" s="5" t="n"/>
      <c r="G1185" s="6">
        <f>IF(OR(A1185="",D1185="",E1185=""),"",ROUND(MOD(E1185-D1185,1)*24-N(F1185)/60,2))</f>
        <v/>
      </c>
      <c r="H1185" s="7">
        <f>IF(C1185="","",IFERROR(INDEX(Sites!$B$2:$B$501,MATCH(C1185,Sites!$A$2:$A$501,0)),"?"))</f>
        <v/>
      </c>
      <c r="I1185" s="8">
        <f>IF(A1185="","",A1185-WEEKDAY(A1185,3))</f>
        <v/>
      </c>
      <c r="K1185" s="7">
        <f>IF(A1185="","",IF(OR(B1185="",C1185="",D1185="",E1185=""),"Missing info",IF(ISNA(MATCH(B1185,Staff!$A$2:$A$101,0)),"Unknown employee",IF(H1185="?","Unknown site",IF(G1185&lt;=0,"Check times",IF(G1185&gt;12,"Over 12h",IF(COUNTIFS($L$2:$L$2001,L1185)&gt;1,"Duplicate?",IF(A1185&gt;TODAY(),"Future date","OK"))))))))</f>
        <v/>
      </c>
      <c r="L1185">
        <f>IF(A1185="","",TEXT(A1185,"yyyy-mm-dd")&amp;"|"&amp;B1185&amp;"|"&amp;C1185)</f>
        <v/>
      </c>
    </row>
    <row r="1186">
      <c r="A1186" s="4" t="n"/>
      <c r="D1186" s="5" t="n"/>
      <c r="E1186" s="5" t="n"/>
      <c r="G1186" s="6">
        <f>IF(OR(A1186="",D1186="",E1186=""),"",ROUND(MOD(E1186-D1186,1)*24-N(F1186)/60,2))</f>
        <v/>
      </c>
      <c r="H1186" s="7">
        <f>IF(C1186="","",IFERROR(INDEX(Sites!$B$2:$B$501,MATCH(C1186,Sites!$A$2:$A$501,0)),"?"))</f>
        <v/>
      </c>
      <c r="I1186" s="8">
        <f>IF(A1186="","",A1186-WEEKDAY(A1186,3))</f>
        <v/>
      </c>
      <c r="K1186" s="7">
        <f>IF(A1186="","",IF(OR(B1186="",C1186="",D1186="",E1186=""),"Missing info",IF(ISNA(MATCH(B1186,Staff!$A$2:$A$101,0)),"Unknown employee",IF(H1186="?","Unknown site",IF(G1186&lt;=0,"Check times",IF(G1186&gt;12,"Over 12h",IF(COUNTIFS($L$2:$L$2001,L1186)&gt;1,"Duplicate?",IF(A1186&gt;TODAY(),"Future date","OK"))))))))</f>
        <v/>
      </c>
      <c r="L1186">
        <f>IF(A1186="","",TEXT(A1186,"yyyy-mm-dd")&amp;"|"&amp;B1186&amp;"|"&amp;C1186)</f>
        <v/>
      </c>
    </row>
    <row r="1187">
      <c r="A1187" s="4" t="n"/>
      <c r="D1187" s="5" t="n"/>
      <c r="E1187" s="5" t="n"/>
      <c r="G1187" s="6">
        <f>IF(OR(A1187="",D1187="",E1187=""),"",ROUND(MOD(E1187-D1187,1)*24-N(F1187)/60,2))</f>
        <v/>
      </c>
      <c r="H1187" s="7">
        <f>IF(C1187="","",IFERROR(INDEX(Sites!$B$2:$B$501,MATCH(C1187,Sites!$A$2:$A$501,0)),"?"))</f>
        <v/>
      </c>
      <c r="I1187" s="8">
        <f>IF(A1187="","",A1187-WEEKDAY(A1187,3))</f>
        <v/>
      </c>
      <c r="K1187" s="7">
        <f>IF(A1187="","",IF(OR(B1187="",C1187="",D1187="",E1187=""),"Missing info",IF(ISNA(MATCH(B1187,Staff!$A$2:$A$101,0)),"Unknown employee",IF(H1187="?","Unknown site",IF(G1187&lt;=0,"Check times",IF(G1187&gt;12,"Over 12h",IF(COUNTIFS($L$2:$L$2001,L1187)&gt;1,"Duplicate?",IF(A1187&gt;TODAY(),"Future date","OK"))))))))</f>
        <v/>
      </c>
      <c r="L1187">
        <f>IF(A1187="","",TEXT(A1187,"yyyy-mm-dd")&amp;"|"&amp;B1187&amp;"|"&amp;C1187)</f>
        <v/>
      </c>
    </row>
    <row r="1188">
      <c r="A1188" s="4" t="n"/>
      <c r="D1188" s="5" t="n"/>
      <c r="E1188" s="5" t="n"/>
      <c r="G1188" s="6">
        <f>IF(OR(A1188="",D1188="",E1188=""),"",ROUND(MOD(E1188-D1188,1)*24-N(F1188)/60,2))</f>
        <v/>
      </c>
      <c r="H1188" s="7">
        <f>IF(C1188="","",IFERROR(INDEX(Sites!$B$2:$B$501,MATCH(C1188,Sites!$A$2:$A$501,0)),"?"))</f>
        <v/>
      </c>
      <c r="I1188" s="8">
        <f>IF(A1188="","",A1188-WEEKDAY(A1188,3))</f>
        <v/>
      </c>
      <c r="K1188" s="7">
        <f>IF(A1188="","",IF(OR(B1188="",C1188="",D1188="",E1188=""),"Missing info",IF(ISNA(MATCH(B1188,Staff!$A$2:$A$101,0)),"Unknown employee",IF(H1188="?","Unknown site",IF(G1188&lt;=0,"Check times",IF(G1188&gt;12,"Over 12h",IF(COUNTIFS($L$2:$L$2001,L1188)&gt;1,"Duplicate?",IF(A1188&gt;TODAY(),"Future date","OK"))))))))</f>
        <v/>
      </c>
      <c r="L1188">
        <f>IF(A1188="","",TEXT(A1188,"yyyy-mm-dd")&amp;"|"&amp;B1188&amp;"|"&amp;C1188)</f>
        <v/>
      </c>
    </row>
    <row r="1189">
      <c r="A1189" s="4" t="n"/>
      <c r="D1189" s="5" t="n"/>
      <c r="E1189" s="5" t="n"/>
      <c r="G1189" s="6">
        <f>IF(OR(A1189="",D1189="",E1189=""),"",ROUND(MOD(E1189-D1189,1)*24-N(F1189)/60,2))</f>
        <v/>
      </c>
      <c r="H1189" s="7">
        <f>IF(C1189="","",IFERROR(INDEX(Sites!$B$2:$B$501,MATCH(C1189,Sites!$A$2:$A$501,0)),"?"))</f>
        <v/>
      </c>
      <c r="I1189" s="8">
        <f>IF(A1189="","",A1189-WEEKDAY(A1189,3))</f>
        <v/>
      </c>
      <c r="K1189" s="7">
        <f>IF(A1189="","",IF(OR(B1189="",C1189="",D1189="",E1189=""),"Missing info",IF(ISNA(MATCH(B1189,Staff!$A$2:$A$101,0)),"Unknown employee",IF(H1189="?","Unknown site",IF(G1189&lt;=0,"Check times",IF(G1189&gt;12,"Over 12h",IF(COUNTIFS($L$2:$L$2001,L1189)&gt;1,"Duplicate?",IF(A1189&gt;TODAY(),"Future date","OK"))))))))</f>
        <v/>
      </c>
      <c r="L1189">
        <f>IF(A1189="","",TEXT(A1189,"yyyy-mm-dd")&amp;"|"&amp;B1189&amp;"|"&amp;C1189)</f>
        <v/>
      </c>
    </row>
    <row r="1190">
      <c r="A1190" s="4" t="n"/>
      <c r="D1190" s="5" t="n"/>
      <c r="E1190" s="5" t="n"/>
      <c r="G1190" s="6">
        <f>IF(OR(A1190="",D1190="",E1190=""),"",ROUND(MOD(E1190-D1190,1)*24-N(F1190)/60,2))</f>
        <v/>
      </c>
      <c r="H1190" s="7">
        <f>IF(C1190="","",IFERROR(INDEX(Sites!$B$2:$B$501,MATCH(C1190,Sites!$A$2:$A$501,0)),"?"))</f>
        <v/>
      </c>
      <c r="I1190" s="8">
        <f>IF(A1190="","",A1190-WEEKDAY(A1190,3))</f>
        <v/>
      </c>
      <c r="K1190" s="7">
        <f>IF(A1190="","",IF(OR(B1190="",C1190="",D1190="",E1190=""),"Missing info",IF(ISNA(MATCH(B1190,Staff!$A$2:$A$101,0)),"Unknown employee",IF(H1190="?","Unknown site",IF(G1190&lt;=0,"Check times",IF(G1190&gt;12,"Over 12h",IF(COUNTIFS($L$2:$L$2001,L1190)&gt;1,"Duplicate?",IF(A1190&gt;TODAY(),"Future date","OK"))))))))</f>
        <v/>
      </c>
      <c r="L1190">
        <f>IF(A1190="","",TEXT(A1190,"yyyy-mm-dd")&amp;"|"&amp;B1190&amp;"|"&amp;C1190)</f>
        <v/>
      </c>
    </row>
    <row r="1191">
      <c r="A1191" s="4" t="n"/>
      <c r="D1191" s="5" t="n"/>
      <c r="E1191" s="5" t="n"/>
      <c r="G1191" s="6">
        <f>IF(OR(A1191="",D1191="",E1191=""),"",ROUND(MOD(E1191-D1191,1)*24-N(F1191)/60,2))</f>
        <v/>
      </c>
      <c r="H1191" s="7">
        <f>IF(C1191="","",IFERROR(INDEX(Sites!$B$2:$B$501,MATCH(C1191,Sites!$A$2:$A$501,0)),"?"))</f>
        <v/>
      </c>
      <c r="I1191" s="8">
        <f>IF(A1191="","",A1191-WEEKDAY(A1191,3))</f>
        <v/>
      </c>
      <c r="K1191" s="7">
        <f>IF(A1191="","",IF(OR(B1191="",C1191="",D1191="",E1191=""),"Missing info",IF(ISNA(MATCH(B1191,Staff!$A$2:$A$101,0)),"Unknown employee",IF(H1191="?","Unknown site",IF(G1191&lt;=0,"Check times",IF(G1191&gt;12,"Over 12h",IF(COUNTIFS($L$2:$L$2001,L1191)&gt;1,"Duplicate?",IF(A1191&gt;TODAY(),"Future date","OK"))))))))</f>
        <v/>
      </c>
      <c r="L1191">
        <f>IF(A1191="","",TEXT(A1191,"yyyy-mm-dd")&amp;"|"&amp;B1191&amp;"|"&amp;C1191)</f>
        <v/>
      </c>
    </row>
    <row r="1192">
      <c r="A1192" s="4" t="n"/>
      <c r="D1192" s="5" t="n"/>
      <c r="E1192" s="5" t="n"/>
      <c r="G1192" s="6">
        <f>IF(OR(A1192="",D1192="",E1192=""),"",ROUND(MOD(E1192-D1192,1)*24-N(F1192)/60,2))</f>
        <v/>
      </c>
      <c r="H1192" s="7">
        <f>IF(C1192="","",IFERROR(INDEX(Sites!$B$2:$B$501,MATCH(C1192,Sites!$A$2:$A$501,0)),"?"))</f>
        <v/>
      </c>
      <c r="I1192" s="8">
        <f>IF(A1192="","",A1192-WEEKDAY(A1192,3))</f>
        <v/>
      </c>
      <c r="K1192" s="7">
        <f>IF(A1192="","",IF(OR(B1192="",C1192="",D1192="",E1192=""),"Missing info",IF(ISNA(MATCH(B1192,Staff!$A$2:$A$101,0)),"Unknown employee",IF(H1192="?","Unknown site",IF(G1192&lt;=0,"Check times",IF(G1192&gt;12,"Over 12h",IF(COUNTIFS($L$2:$L$2001,L1192)&gt;1,"Duplicate?",IF(A1192&gt;TODAY(),"Future date","OK"))))))))</f>
        <v/>
      </c>
      <c r="L1192">
        <f>IF(A1192="","",TEXT(A1192,"yyyy-mm-dd")&amp;"|"&amp;B1192&amp;"|"&amp;C1192)</f>
        <v/>
      </c>
    </row>
    <row r="1193">
      <c r="A1193" s="4" t="n"/>
      <c r="D1193" s="5" t="n"/>
      <c r="E1193" s="5" t="n"/>
      <c r="G1193" s="6">
        <f>IF(OR(A1193="",D1193="",E1193=""),"",ROUND(MOD(E1193-D1193,1)*24-N(F1193)/60,2))</f>
        <v/>
      </c>
      <c r="H1193" s="7">
        <f>IF(C1193="","",IFERROR(INDEX(Sites!$B$2:$B$501,MATCH(C1193,Sites!$A$2:$A$501,0)),"?"))</f>
        <v/>
      </c>
      <c r="I1193" s="8">
        <f>IF(A1193="","",A1193-WEEKDAY(A1193,3))</f>
        <v/>
      </c>
      <c r="K1193" s="7">
        <f>IF(A1193="","",IF(OR(B1193="",C1193="",D1193="",E1193=""),"Missing info",IF(ISNA(MATCH(B1193,Staff!$A$2:$A$101,0)),"Unknown employee",IF(H1193="?","Unknown site",IF(G1193&lt;=0,"Check times",IF(G1193&gt;12,"Over 12h",IF(COUNTIFS($L$2:$L$2001,L1193)&gt;1,"Duplicate?",IF(A1193&gt;TODAY(),"Future date","OK"))))))))</f>
        <v/>
      </c>
      <c r="L1193">
        <f>IF(A1193="","",TEXT(A1193,"yyyy-mm-dd")&amp;"|"&amp;B1193&amp;"|"&amp;C1193)</f>
        <v/>
      </c>
    </row>
    <row r="1194">
      <c r="A1194" s="4" t="n"/>
      <c r="D1194" s="5" t="n"/>
      <c r="E1194" s="5" t="n"/>
      <c r="G1194" s="6">
        <f>IF(OR(A1194="",D1194="",E1194=""),"",ROUND(MOD(E1194-D1194,1)*24-N(F1194)/60,2))</f>
        <v/>
      </c>
      <c r="H1194" s="7">
        <f>IF(C1194="","",IFERROR(INDEX(Sites!$B$2:$B$501,MATCH(C1194,Sites!$A$2:$A$501,0)),"?"))</f>
        <v/>
      </c>
      <c r="I1194" s="8">
        <f>IF(A1194="","",A1194-WEEKDAY(A1194,3))</f>
        <v/>
      </c>
      <c r="K1194" s="7">
        <f>IF(A1194="","",IF(OR(B1194="",C1194="",D1194="",E1194=""),"Missing info",IF(ISNA(MATCH(B1194,Staff!$A$2:$A$101,0)),"Unknown employee",IF(H1194="?","Unknown site",IF(G1194&lt;=0,"Check times",IF(G1194&gt;12,"Over 12h",IF(COUNTIFS($L$2:$L$2001,L1194)&gt;1,"Duplicate?",IF(A1194&gt;TODAY(),"Future date","OK"))))))))</f>
        <v/>
      </c>
      <c r="L1194">
        <f>IF(A1194="","",TEXT(A1194,"yyyy-mm-dd")&amp;"|"&amp;B1194&amp;"|"&amp;C1194)</f>
        <v/>
      </c>
    </row>
    <row r="1195">
      <c r="A1195" s="4" t="n"/>
      <c r="D1195" s="5" t="n"/>
      <c r="E1195" s="5" t="n"/>
      <c r="G1195" s="6">
        <f>IF(OR(A1195="",D1195="",E1195=""),"",ROUND(MOD(E1195-D1195,1)*24-N(F1195)/60,2))</f>
        <v/>
      </c>
      <c r="H1195" s="7">
        <f>IF(C1195="","",IFERROR(INDEX(Sites!$B$2:$B$501,MATCH(C1195,Sites!$A$2:$A$501,0)),"?"))</f>
        <v/>
      </c>
      <c r="I1195" s="8">
        <f>IF(A1195="","",A1195-WEEKDAY(A1195,3))</f>
        <v/>
      </c>
      <c r="K1195" s="7">
        <f>IF(A1195="","",IF(OR(B1195="",C1195="",D1195="",E1195=""),"Missing info",IF(ISNA(MATCH(B1195,Staff!$A$2:$A$101,0)),"Unknown employee",IF(H1195="?","Unknown site",IF(G1195&lt;=0,"Check times",IF(G1195&gt;12,"Over 12h",IF(COUNTIFS($L$2:$L$2001,L1195)&gt;1,"Duplicate?",IF(A1195&gt;TODAY(),"Future date","OK"))))))))</f>
        <v/>
      </c>
      <c r="L1195">
        <f>IF(A1195="","",TEXT(A1195,"yyyy-mm-dd")&amp;"|"&amp;B1195&amp;"|"&amp;C1195)</f>
        <v/>
      </c>
    </row>
    <row r="1196">
      <c r="A1196" s="4" t="n"/>
      <c r="D1196" s="5" t="n"/>
      <c r="E1196" s="5" t="n"/>
      <c r="G1196" s="6">
        <f>IF(OR(A1196="",D1196="",E1196=""),"",ROUND(MOD(E1196-D1196,1)*24-N(F1196)/60,2))</f>
        <v/>
      </c>
      <c r="H1196" s="7">
        <f>IF(C1196="","",IFERROR(INDEX(Sites!$B$2:$B$501,MATCH(C1196,Sites!$A$2:$A$501,0)),"?"))</f>
        <v/>
      </c>
      <c r="I1196" s="8">
        <f>IF(A1196="","",A1196-WEEKDAY(A1196,3))</f>
        <v/>
      </c>
      <c r="K1196" s="7">
        <f>IF(A1196="","",IF(OR(B1196="",C1196="",D1196="",E1196=""),"Missing info",IF(ISNA(MATCH(B1196,Staff!$A$2:$A$101,0)),"Unknown employee",IF(H1196="?","Unknown site",IF(G1196&lt;=0,"Check times",IF(G1196&gt;12,"Over 12h",IF(COUNTIFS($L$2:$L$2001,L1196)&gt;1,"Duplicate?",IF(A1196&gt;TODAY(),"Future date","OK"))))))))</f>
        <v/>
      </c>
      <c r="L1196">
        <f>IF(A1196="","",TEXT(A1196,"yyyy-mm-dd")&amp;"|"&amp;B1196&amp;"|"&amp;C1196)</f>
        <v/>
      </c>
    </row>
    <row r="1197">
      <c r="A1197" s="4" t="n"/>
      <c r="D1197" s="5" t="n"/>
      <c r="E1197" s="5" t="n"/>
      <c r="G1197" s="6">
        <f>IF(OR(A1197="",D1197="",E1197=""),"",ROUND(MOD(E1197-D1197,1)*24-N(F1197)/60,2))</f>
        <v/>
      </c>
      <c r="H1197" s="7">
        <f>IF(C1197="","",IFERROR(INDEX(Sites!$B$2:$B$501,MATCH(C1197,Sites!$A$2:$A$501,0)),"?"))</f>
        <v/>
      </c>
      <c r="I1197" s="8">
        <f>IF(A1197="","",A1197-WEEKDAY(A1197,3))</f>
        <v/>
      </c>
      <c r="K1197" s="7">
        <f>IF(A1197="","",IF(OR(B1197="",C1197="",D1197="",E1197=""),"Missing info",IF(ISNA(MATCH(B1197,Staff!$A$2:$A$101,0)),"Unknown employee",IF(H1197="?","Unknown site",IF(G1197&lt;=0,"Check times",IF(G1197&gt;12,"Over 12h",IF(COUNTIFS($L$2:$L$2001,L1197)&gt;1,"Duplicate?",IF(A1197&gt;TODAY(),"Future date","OK"))))))))</f>
        <v/>
      </c>
      <c r="L1197">
        <f>IF(A1197="","",TEXT(A1197,"yyyy-mm-dd")&amp;"|"&amp;B1197&amp;"|"&amp;C1197)</f>
        <v/>
      </c>
    </row>
    <row r="1198">
      <c r="A1198" s="4" t="n"/>
      <c r="D1198" s="5" t="n"/>
      <c r="E1198" s="5" t="n"/>
      <c r="G1198" s="6">
        <f>IF(OR(A1198="",D1198="",E1198=""),"",ROUND(MOD(E1198-D1198,1)*24-N(F1198)/60,2))</f>
        <v/>
      </c>
      <c r="H1198" s="7">
        <f>IF(C1198="","",IFERROR(INDEX(Sites!$B$2:$B$501,MATCH(C1198,Sites!$A$2:$A$501,0)),"?"))</f>
        <v/>
      </c>
      <c r="I1198" s="8">
        <f>IF(A1198="","",A1198-WEEKDAY(A1198,3))</f>
        <v/>
      </c>
      <c r="K1198" s="7">
        <f>IF(A1198="","",IF(OR(B1198="",C1198="",D1198="",E1198=""),"Missing info",IF(ISNA(MATCH(B1198,Staff!$A$2:$A$101,0)),"Unknown employee",IF(H1198="?","Unknown site",IF(G1198&lt;=0,"Check times",IF(G1198&gt;12,"Over 12h",IF(COUNTIFS($L$2:$L$2001,L1198)&gt;1,"Duplicate?",IF(A1198&gt;TODAY(),"Future date","OK"))))))))</f>
        <v/>
      </c>
      <c r="L1198">
        <f>IF(A1198="","",TEXT(A1198,"yyyy-mm-dd")&amp;"|"&amp;B1198&amp;"|"&amp;C1198)</f>
        <v/>
      </c>
    </row>
    <row r="1199">
      <c r="A1199" s="4" t="n"/>
      <c r="D1199" s="5" t="n"/>
      <c r="E1199" s="5" t="n"/>
      <c r="G1199" s="6">
        <f>IF(OR(A1199="",D1199="",E1199=""),"",ROUND(MOD(E1199-D1199,1)*24-N(F1199)/60,2))</f>
        <v/>
      </c>
      <c r="H1199" s="7">
        <f>IF(C1199="","",IFERROR(INDEX(Sites!$B$2:$B$501,MATCH(C1199,Sites!$A$2:$A$501,0)),"?"))</f>
        <v/>
      </c>
      <c r="I1199" s="8">
        <f>IF(A1199="","",A1199-WEEKDAY(A1199,3))</f>
        <v/>
      </c>
      <c r="K1199" s="7">
        <f>IF(A1199="","",IF(OR(B1199="",C1199="",D1199="",E1199=""),"Missing info",IF(ISNA(MATCH(B1199,Staff!$A$2:$A$101,0)),"Unknown employee",IF(H1199="?","Unknown site",IF(G1199&lt;=0,"Check times",IF(G1199&gt;12,"Over 12h",IF(COUNTIFS($L$2:$L$2001,L1199)&gt;1,"Duplicate?",IF(A1199&gt;TODAY(),"Future date","OK"))))))))</f>
        <v/>
      </c>
      <c r="L1199">
        <f>IF(A1199="","",TEXT(A1199,"yyyy-mm-dd")&amp;"|"&amp;B1199&amp;"|"&amp;C1199)</f>
        <v/>
      </c>
    </row>
    <row r="1200">
      <c r="A1200" s="4" t="n"/>
      <c r="D1200" s="5" t="n"/>
      <c r="E1200" s="5" t="n"/>
      <c r="G1200" s="6">
        <f>IF(OR(A1200="",D1200="",E1200=""),"",ROUND(MOD(E1200-D1200,1)*24-N(F1200)/60,2))</f>
        <v/>
      </c>
      <c r="H1200" s="7">
        <f>IF(C1200="","",IFERROR(INDEX(Sites!$B$2:$B$501,MATCH(C1200,Sites!$A$2:$A$501,0)),"?"))</f>
        <v/>
      </c>
      <c r="I1200" s="8">
        <f>IF(A1200="","",A1200-WEEKDAY(A1200,3))</f>
        <v/>
      </c>
      <c r="K1200" s="7">
        <f>IF(A1200="","",IF(OR(B1200="",C1200="",D1200="",E1200=""),"Missing info",IF(ISNA(MATCH(B1200,Staff!$A$2:$A$101,0)),"Unknown employee",IF(H1200="?","Unknown site",IF(G1200&lt;=0,"Check times",IF(G1200&gt;12,"Over 12h",IF(COUNTIFS($L$2:$L$2001,L1200)&gt;1,"Duplicate?",IF(A1200&gt;TODAY(),"Future date","OK"))))))))</f>
        <v/>
      </c>
      <c r="L1200">
        <f>IF(A1200="","",TEXT(A1200,"yyyy-mm-dd")&amp;"|"&amp;B1200&amp;"|"&amp;C1200)</f>
        <v/>
      </c>
    </row>
    <row r="1201">
      <c r="A1201" s="4" t="n"/>
      <c r="D1201" s="5" t="n"/>
      <c r="E1201" s="5" t="n"/>
      <c r="G1201" s="6">
        <f>IF(OR(A1201="",D1201="",E1201=""),"",ROUND(MOD(E1201-D1201,1)*24-N(F1201)/60,2))</f>
        <v/>
      </c>
      <c r="H1201" s="7">
        <f>IF(C1201="","",IFERROR(INDEX(Sites!$B$2:$B$501,MATCH(C1201,Sites!$A$2:$A$501,0)),"?"))</f>
        <v/>
      </c>
      <c r="I1201" s="8">
        <f>IF(A1201="","",A1201-WEEKDAY(A1201,3))</f>
        <v/>
      </c>
      <c r="K1201" s="7">
        <f>IF(A1201="","",IF(OR(B1201="",C1201="",D1201="",E1201=""),"Missing info",IF(ISNA(MATCH(B1201,Staff!$A$2:$A$101,0)),"Unknown employee",IF(H1201="?","Unknown site",IF(G1201&lt;=0,"Check times",IF(G1201&gt;12,"Over 12h",IF(COUNTIFS($L$2:$L$2001,L1201)&gt;1,"Duplicate?",IF(A1201&gt;TODAY(),"Future date","OK"))))))))</f>
        <v/>
      </c>
      <c r="L1201">
        <f>IF(A1201="","",TEXT(A1201,"yyyy-mm-dd")&amp;"|"&amp;B1201&amp;"|"&amp;C1201)</f>
        <v/>
      </c>
    </row>
    <row r="1202">
      <c r="A1202" s="4" t="n"/>
      <c r="D1202" s="5" t="n"/>
      <c r="E1202" s="5" t="n"/>
      <c r="G1202" s="6">
        <f>IF(OR(A1202="",D1202="",E1202=""),"",ROUND(MOD(E1202-D1202,1)*24-N(F1202)/60,2))</f>
        <v/>
      </c>
      <c r="H1202" s="7">
        <f>IF(C1202="","",IFERROR(INDEX(Sites!$B$2:$B$501,MATCH(C1202,Sites!$A$2:$A$501,0)),"?"))</f>
        <v/>
      </c>
      <c r="I1202" s="8">
        <f>IF(A1202="","",A1202-WEEKDAY(A1202,3))</f>
        <v/>
      </c>
      <c r="K1202" s="7">
        <f>IF(A1202="","",IF(OR(B1202="",C1202="",D1202="",E1202=""),"Missing info",IF(ISNA(MATCH(B1202,Staff!$A$2:$A$101,0)),"Unknown employee",IF(H1202="?","Unknown site",IF(G1202&lt;=0,"Check times",IF(G1202&gt;12,"Over 12h",IF(COUNTIFS($L$2:$L$2001,L1202)&gt;1,"Duplicate?",IF(A1202&gt;TODAY(),"Future date","OK"))))))))</f>
        <v/>
      </c>
      <c r="L1202">
        <f>IF(A1202="","",TEXT(A1202,"yyyy-mm-dd")&amp;"|"&amp;B1202&amp;"|"&amp;C1202)</f>
        <v/>
      </c>
    </row>
    <row r="1203">
      <c r="A1203" s="4" t="n"/>
      <c r="D1203" s="5" t="n"/>
      <c r="E1203" s="5" t="n"/>
      <c r="G1203" s="6">
        <f>IF(OR(A1203="",D1203="",E1203=""),"",ROUND(MOD(E1203-D1203,1)*24-N(F1203)/60,2))</f>
        <v/>
      </c>
      <c r="H1203" s="7">
        <f>IF(C1203="","",IFERROR(INDEX(Sites!$B$2:$B$501,MATCH(C1203,Sites!$A$2:$A$501,0)),"?"))</f>
        <v/>
      </c>
      <c r="I1203" s="8">
        <f>IF(A1203="","",A1203-WEEKDAY(A1203,3))</f>
        <v/>
      </c>
      <c r="K1203" s="7">
        <f>IF(A1203="","",IF(OR(B1203="",C1203="",D1203="",E1203=""),"Missing info",IF(ISNA(MATCH(B1203,Staff!$A$2:$A$101,0)),"Unknown employee",IF(H1203="?","Unknown site",IF(G1203&lt;=0,"Check times",IF(G1203&gt;12,"Over 12h",IF(COUNTIFS($L$2:$L$2001,L1203)&gt;1,"Duplicate?",IF(A1203&gt;TODAY(),"Future date","OK"))))))))</f>
        <v/>
      </c>
      <c r="L1203">
        <f>IF(A1203="","",TEXT(A1203,"yyyy-mm-dd")&amp;"|"&amp;B1203&amp;"|"&amp;C1203)</f>
        <v/>
      </c>
    </row>
    <row r="1204">
      <c r="A1204" s="4" t="n"/>
      <c r="D1204" s="5" t="n"/>
      <c r="E1204" s="5" t="n"/>
      <c r="G1204" s="6">
        <f>IF(OR(A1204="",D1204="",E1204=""),"",ROUND(MOD(E1204-D1204,1)*24-N(F1204)/60,2))</f>
        <v/>
      </c>
      <c r="H1204" s="7">
        <f>IF(C1204="","",IFERROR(INDEX(Sites!$B$2:$B$501,MATCH(C1204,Sites!$A$2:$A$501,0)),"?"))</f>
        <v/>
      </c>
      <c r="I1204" s="8">
        <f>IF(A1204="","",A1204-WEEKDAY(A1204,3))</f>
        <v/>
      </c>
      <c r="K1204" s="7">
        <f>IF(A1204="","",IF(OR(B1204="",C1204="",D1204="",E1204=""),"Missing info",IF(ISNA(MATCH(B1204,Staff!$A$2:$A$101,0)),"Unknown employee",IF(H1204="?","Unknown site",IF(G1204&lt;=0,"Check times",IF(G1204&gt;12,"Over 12h",IF(COUNTIFS($L$2:$L$2001,L1204)&gt;1,"Duplicate?",IF(A1204&gt;TODAY(),"Future date","OK"))))))))</f>
        <v/>
      </c>
      <c r="L1204">
        <f>IF(A1204="","",TEXT(A1204,"yyyy-mm-dd")&amp;"|"&amp;B1204&amp;"|"&amp;C1204)</f>
        <v/>
      </c>
    </row>
    <row r="1205">
      <c r="A1205" s="4" t="n"/>
      <c r="D1205" s="5" t="n"/>
      <c r="E1205" s="5" t="n"/>
      <c r="G1205" s="6">
        <f>IF(OR(A1205="",D1205="",E1205=""),"",ROUND(MOD(E1205-D1205,1)*24-N(F1205)/60,2))</f>
        <v/>
      </c>
      <c r="H1205" s="7">
        <f>IF(C1205="","",IFERROR(INDEX(Sites!$B$2:$B$501,MATCH(C1205,Sites!$A$2:$A$501,0)),"?"))</f>
        <v/>
      </c>
      <c r="I1205" s="8">
        <f>IF(A1205="","",A1205-WEEKDAY(A1205,3))</f>
        <v/>
      </c>
      <c r="K1205" s="7">
        <f>IF(A1205="","",IF(OR(B1205="",C1205="",D1205="",E1205=""),"Missing info",IF(ISNA(MATCH(B1205,Staff!$A$2:$A$101,0)),"Unknown employee",IF(H1205="?","Unknown site",IF(G1205&lt;=0,"Check times",IF(G1205&gt;12,"Over 12h",IF(COUNTIFS($L$2:$L$2001,L1205)&gt;1,"Duplicate?",IF(A1205&gt;TODAY(),"Future date","OK"))))))))</f>
        <v/>
      </c>
      <c r="L1205">
        <f>IF(A1205="","",TEXT(A1205,"yyyy-mm-dd")&amp;"|"&amp;B1205&amp;"|"&amp;C1205)</f>
        <v/>
      </c>
    </row>
    <row r="1206">
      <c r="A1206" s="4" t="n"/>
      <c r="D1206" s="5" t="n"/>
      <c r="E1206" s="5" t="n"/>
      <c r="G1206" s="6">
        <f>IF(OR(A1206="",D1206="",E1206=""),"",ROUND(MOD(E1206-D1206,1)*24-N(F1206)/60,2))</f>
        <v/>
      </c>
      <c r="H1206" s="7">
        <f>IF(C1206="","",IFERROR(INDEX(Sites!$B$2:$B$501,MATCH(C1206,Sites!$A$2:$A$501,0)),"?"))</f>
        <v/>
      </c>
      <c r="I1206" s="8">
        <f>IF(A1206="","",A1206-WEEKDAY(A1206,3))</f>
        <v/>
      </c>
      <c r="K1206" s="7">
        <f>IF(A1206="","",IF(OR(B1206="",C1206="",D1206="",E1206=""),"Missing info",IF(ISNA(MATCH(B1206,Staff!$A$2:$A$101,0)),"Unknown employee",IF(H1206="?","Unknown site",IF(G1206&lt;=0,"Check times",IF(G1206&gt;12,"Over 12h",IF(COUNTIFS($L$2:$L$2001,L1206)&gt;1,"Duplicate?",IF(A1206&gt;TODAY(),"Future date","OK"))))))))</f>
        <v/>
      </c>
      <c r="L1206">
        <f>IF(A1206="","",TEXT(A1206,"yyyy-mm-dd")&amp;"|"&amp;B1206&amp;"|"&amp;C1206)</f>
        <v/>
      </c>
    </row>
    <row r="1207">
      <c r="A1207" s="4" t="n"/>
      <c r="D1207" s="5" t="n"/>
      <c r="E1207" s="5" t="n"/>
      <c r="G1207" s="6">
        <f>IF(OR(A1207="",D1207="",E1207=""),"",ROUND(MOD(E1207-D1207,1)*24-N(F1207)/60,2))</f>
        <v/>
      </c>
      <c r="H1207" s="7">
        <f>IF(C1207="","",IFERROR(INDEX(Sites!$B$2:$B$501,MATCH(C1207,Sites!$A$2:$A$501,0)),"?"))</f>
        <v/>
      </c>
      <c r="I1207" s="8">
        <f>IF(A1207="","",A1207-WEEKDAY(A1207,3))</f>
        <v/>
      </c>
      <c r="K1207" s="7">
        <f>IF(A1207="","",IF(OR(B1207="",C1207="",D1207="",E1207=""),"Missing info",IF(ISNA(MATCH(B1207,Staff!$A$2:$A$101,0)),"Unknown employee",IF(H1207="?","Unknown site",IF(G1207&lt;=0,"Check times",IF(G1207&gt;12,"Over 12h",IF(COUNTIFS($L$2:$L$2001,L1207)&gt;1,"Duplicate?",IF(A1207&gt;TODAY(),"Future date","OK"))))))))</f>
        <v/>
      </c>
      <c r="L1207">
        <f>IF(A1207="","",TEXT(A1207,"yyyy-mm-dd")&amp;"|"&amp;B1207&amp;"|"&amp;C1207)</f>
        <v/>
      </c>
    </row>
    <row r="1208">
      <c r="A1208" s="4" t="n"/>
      <c r="D1208" s="5" t="n"/>
      <c r="E1208" s="5" t="n"/>
      <c r="G1208" s="6">
        <f>IF(OR(A1208="",D1208="",E1208=""),"",ROUND(MOD(E1208-D1208,1)*24-N(F1208)/60,2))</f>
        <v/>
      </c>
      <c r="H1208" s="7">
        <f>IF(C1208="","",IFERROR(INDEX(Sites!$B$2:$B$501,MATCH(C1208,Sites!$A$2:$A$501,0)),"?"))</f>
        <v/>
      </c>
      <c r="I1208" s="8">
        <f>IF(A1208="","",A1208-WEEKDAY(A1208,3))</f>
        <v/>
      </c>
      <c r="K1208" s="7">
        <f>IF(A1208="","",IF(OR(B1208="",C1208="",D1208="",E1208=""),"Missing info",IF(ISNA(MATCH(B1208,Staff!$A$2:$A$101,0)),"Unknown employee",IF(H1208="?","Unknown site",IF(G1208&lt;=0,"Check times",IF(G1208&gt;12,"Over 12h",IF(COUNTIFS($L$2:$L$2001,L1208)&gt;1,"Duplicate?",IF(A1208&gt;TODAY(),"Future date","OK"))))))))</f>
        <v/>
      </c>
      <c r="L1208">
        <f>IF(A1208="","",TEXT(A1208,"yyyy-mm-dd")&amp;"|"&amp;B1208&amp;"|"&amp;C1208)</f>
        <v/>
      </c>
    </row>
    <row r="1209">
      <c r="A1209" s="4" t="n"/>
      <c r="D1209" s="5" t="n"/>
      <c r="E1209" s="5" t="n"/>
      <c r="G1209" s="6">
        <f>IF(OR(A1209="",D1209="",E1209=""),"",ROUND(MOD(E1209-D1209,1)*24-N(F1209)/60,2))</f>
        <v/>
      </c>
      <c r="H1209" s="7">
        <f>IF(C1209="","",IFERROR(INDEX(Sites!$B$2:$B$501,MATCH(C1209,Sites!$A$2:$A$501,0)),"?"))</f>
        <v/>
      </c>
      <c r="I1209" s="8">
        <f>IF(A1209="","",A1209-WEEKDAY(A1209,3))</f>
        <v/>
      </c>
      <c r="K1209" s="7">
        <f>IF(A1209="","",IF(OR(B1209="",C1209="",D1209="",E1209=""),"Missing info",IF(ISNA(MATCH(B1209,Staff!$A$2:$A$101,0)),"Unknown employee",IF(H1209="?","Unknown site",IF(G1209&lt;=0,"Check times",IF(G1209&gt;12,"Over 12h",IF(COUNTIFS($L$2:$L$2001,L1209)&gt;1,"Duplicate?",IF(A1209&gt;TODAY(),"Future date","OK"))))))))</f>
        <v/>
      </c>
      <c r="L1209">
        <f>IF(A1209="","",TEXT(A1209,"yyyy-mm-dd")&amp;"|"&amp;B1209&amp;"|"&amp;C1209)</f>
        <v/>
      </c>
    </row>
    <row r="1210">
      <c r="A1210" s="4" t="n"/>
      <c r="D1210" s="5" t="n"/>
      <c r="E1210" s="5" t="n"/>
      <c r="G1210" s="6">
        <f>IF(OR(A1210="",D1210="",E1210=""),"",ROUND(MOD(E1210-D1210,1)*24-N(F1210)/60,2))</f>
        <v/>
      </c>
      <c r="H1210" s="7">
        <f>IF(C1210="","",IFERROR(INDEX(Sites!$B$2:$B$501,MATCH(C1210,Sites!$A$2:$A$501,0)),"?"))</f>
        <v/>
      </c>
      <c r="I1210" s="8">
        <f>IF(A1210="","",A1210-WEEKDAY(A1210,3))</f>
        <v/>
      </c>
      <c r="K1210" s="7">
        <f>IF(A1210="","",IF(OR(B1210="",C1210="",D1210="",E1210=""),"Missing info",IF(ISNA(MATCH(B1210,Staff!$A$2:$A$101,0)),"Unknown employee",IF(H1210="?","Unknown site",IF(G1210&lt;=0,"Check times",IF(G1210&gt;12,"Over 12h",IF(COUNTIFS($L$2:$L$2001,L1210)&gt;1,"Duplicate?",IF(A1210&gt;TODAY(),"Future date","OK"))))))))</f>
        <v/>
      </c>
      <c r="L1210">
        <f>IF(A1210="","",TEXT(A1210,"yyyy-mm-dd")&amp;"|"&amp;B1210&amp;"|"&amp;C1210)</f>
        <v/>
      </c>
    </row>
    <row r="1211">
      <c r="A1211" s="4" t="n"/>
      <c r="D1211" s="5" t="n"/>
      <c r="E1211" s="5" t="n"/>
      <c r="G1211" s="6">
        <f>IF(OR(A1211="",D1211="",E1211=""),"",ROUND(MOD(E1211-D1211,1)*24-N(F1211)/60,2))</f>
        <v/>
      </c>
      <c r="H1211" s="7">
        <f>IF(C1211="","",IFERROR(INDEX(Sites!$B$2:$B$501,MATCH(C1211,Sites!$A$2:$A$501,0)),"?"))</f>
        <v/>
      </c>
      <c r="I1211" s="8">
        <f>IF(A1211="","",A1211-WEEKDAY(A1211,3))</f>
        <v/>
      </c>
      <c r="K1211" s="7">
        <f>IF(A1211="","",IF(OR(B1211="",C1211="",D1211="",E1211=""),"Missing info",IF(ISNA(MATCH(B1211,Staff!$A$2:$A$101,0)),"Unknown employee",IF(H1211="?","Unknown site",IF(G1211&lt;=0,"Check times",IF(G1211&gt;12,"Over 12h",IF(COUNTIFS($L$2:$L$2001,L1211)&gt;1,"Duplicate?",IF(A1211&gt;TODAY(),"Future date","OK"))))))))</f>
        <v/>
      </c>
      <c r="L1211">
        <f>IF(A1211="","",TEXT(A1211,"yyyy-mm-dd")&amp;"|"&amp;B1211&amp;"|"&amp;C1211)</f>
        <v/>
      </c>
    </row>
    <row r="1212">
      <c r="A1212" s="4" t="n"/>
      <c r="D1212" s="5" t="n"/>
      <c r="E1212" s="5" t="n"/>
      <c r="G1212" s="6">
        <f>IF(OR(A1212="",D1212="",E1212=""),"",ROUND(MOD(E1212-D1212,1)*24-N(F1212)/60,2))</f>
        <v/>
      </c>
      <c r="H1212" s="7">
        <f>IF(C1212="","",IFERROR(INDEX(Sites!$B$2:$B$501,MATCH(C1212,Sites!$A$2:$A$501,0)),"?"))</f>
        <v/>
      </c>
      <c r="I1212" s="8">
        <f>IF(A1212="","",A1212-WEEKDAY(A1212,3))</f>
        <v/>
      </c>
      <c r="K1212" s="7">
        <f>IF(A1212="","",IF(OR(B1212="",C1212="",D1212="",E1212=""),"Missing info",IF(ISNA(MATCH(B1212,Staff!$A$2:$A$101,0)),"Unknown employee",IF(H1212="?","Unknown site",IF(G1212&lt;=0,"Check times",IF(G1212&gt;12,"Over 12h",IF(COUNTIFS($L$2:$L$2001,L1212)&gt;1,"Duplicate?",IF(A1212&gt;TODAY(),"Future date","OK"))))))))</f>
        <v/>
      </c>
      <c r="L1212">
        <f>IF(A1212="","",TEXT(A1212,"yyyy-mm-dd")&amp;"|"&amp;B1212&amp;"|"&amp;C1212)</f>
        <v/>
      </c>
    </row>
    <row r="1213">
      <c r="A1213" s="4" t="n"/>
      <c r="D1213" s="5" t="n"/>
      <c r="E1213" s="5" t="n"/>
      <c r="G1213" s="6">
        <f>IF(OR(A1213="",D1213="",E1213=""),"",ROUND(MOD(E1213-D1213,1)*24-N(F1213)/60,2))</f>
        <v/>
      </c>
      <c r="H1213" s="7">
        <f>IF(C1213="","",IFERROR(INDEX(Sites!$B$2:$B$501,MATCH(C1213,Sites!$A$2:$A$501,0)),"?"))</f>
        <v/>
      </c>
      <c r="I1213" s="8">
        <f>IF(A1213="","",A1213-WEEKDAY(A1213,3))</f>
        <v/>
      </c>
      <c r="K1213" s="7">
        <f>IF(A1213="","",IF(OR(B1213="",C1213="",D1213="",E1213=""),"Missing info",IF(ISNA(MATCH(B1213,Staff!$A$2:$A$101,0)),"Unknown employee",IF(H1213="?","Unknown site",IF(G1213&lt;=0,"Check times",IF(G1213&gt;12,"Over 12h",IF(COUNTIFS($L$2:$L$2001,L1213)&gt;1,"Duplicate?",IF(A1213&gt;TODAY(),"Future date","OK"))))))))</f>
        <v/>
      </c>
      <c r="L1213">
        <f>IF(A1213="","",TEXT(A1213,"yyyy-mm-dd")&amp;"|"&amp;B1213&amp;"|"&amp;C1213)</f>
        <v/>
      </c>
    </row>
    <row r="1214">
      <c r="A1214" s="4" t="n"/>
      <c r="D1214" s="5" t="n"/>
      <c r="E1214" s="5" t="n"/>
      <c r="G1214" s="6">
        <f>IF(OR(A1214="",D1214="",E1214=""),"",ROUND(MOD(E1214-D1214,1)*24-N(F1214)/60,2))</f>
        <v/>
      </c>
      <c r="H1214" s="7">
        <f>IF(C1214="","",IFERROR(INDEX(Sites!$B$2:$B$501,MATCH(C1214,Sites!$A$2:$A$501,0)),"?"))</f>
        <v/>
      </c>
      <c r="I1214" s="8">
        <f>IF(A1214="","",A1214-WEEKDAY(A1214,3))</f>
        <v/>
      </c>
      <c r="K1214" s="7">
        <f>IF(A1214="","",IF(OR(B1214="",C1214="",D1214="",E1214=""),"Missing info",IF(ISNA(MATCH(B1214,Staff!$A$2:$A$101,0)),"Unknown employee",IF(H1214="?","Unknown site",IF(G1214&lt;=0,"Check times",IF(G1214&gt;12,"Over 12h",IF(COUNTIFS($L$2:$L$2001,L1214)&gt;1,"Duplicate?",IF(A1214&gt;TODAY(),"Future date","OK"))))))))</f>
        <v/>
      </c>
      <c r="L1214">
        <f>IF(A1214="","",TEXT(A1214,"yyyy-mm-dd")&amp;"|"&amp;B1214&amp;"|"&amp;C1214)</f>
        <v/>
      </c>
    </row>
    <row r="1215">
      <c r="A1215" s="4" t="n"/>
      <c r="D1215" s="5" t="n"/>
      <c r="E1215" s="5" t="n"/>
      <c r="G1215" s="6">
        <f>IF(OR(A1215="",D1215="",E1215=""),"",ROUND(MOD(E1215-D1215,1)*24-N(F1215)/60,2))</f>
        <v/>
      </c>
      <c r="H1215" s="7">
        <f>IF(C1215="","",IFERROR(INDEX(Sites!$B$2:$B$501,MATCH(C1215,Sites!$A$2:$A$501,0)),"?"))</f>
        <v/>
      </c>
      <c r="I1215" s="8">
        <f>IF(A1215="","",A1215-WEEKDAY(A1215,3))</f>
        <v/>
      </c>
      <c r="K1215" s="7">
        <f>IF(A1215="","",IF(OR(B1215="",C1215="",D1215="",E1215=""),"Missing info",IF(ISNA(MATCH(B1215,Staff!$A$2:$A$101,0)),"Unknown employee",IF(H1215="?","Unknown site",IF(G1215&lt;=0,"Check times",IF(G1215&gt;12,"Over 12h",IF(COUNTIFS($L$2:$L$2001,L1215)&gt;1,"Duplicate?",IF(A1215&gt;TODAY(),"Future date","OK"))))))))</f>
        <v/>
      </c>
      <c r="L1215">
        <f>IF(A1215="","",TEXT(A1215,"yyyy-mm-dd")&amp;"|"&amp;B1215&amp;"|"&amp;C1215)</f>
        <v/>
      </c>
    </row>
    <row r="1216">
      <c r="A1216" s="4" t="n"/>
      <c r="D1216" s="5" t="n"/>
      <c r="E1216" s="5" t="n"/>
      <c r="G1216" s="6">
        <f>IF(OR(A1216="",D1216="",E1216=""),"",ROUND(MOD(E1216-D1216,1)*24-N(F1216)/60,2))</f>
        <v/>
      </c>
      <c r="H1216" s="7">
        <f>IF(C1216="","",IFERROR(INDEX(Sites!$B$2:$B$501,MATCH(C1216,Sites!$A$2:$A$501,0)),"?"))</f>
        <v/>
      </c>
      <c r="I1216" s="8">
        <f>IF(A1216="","",A1216-WEEKDAY(A1216,3))</f>
        <v/>
      </c>
      <c r="K1216" s="7">
        <f>IF(A1216="","",IF(OR(B1216="",C1216="",D1216="",E1216=""),"Missing info",IF(ISNA(MATCH(B1216,Staff!$A$2:$A$101,0)),"Unknown employee",IF(H1216="?","Unknown site",IF(G1216&lt;=0,"Check times",IF(G1216&gt;12,"Over 12h",IF(COUNTIFS($L$2:$L$2001,L1216)&gt;1,"Duplicate?",IF(A1216&gt;TODAY(),"Future date","OK"))))))))</f>
        <v/>
      </c>
      <c r="L1216">
        <f>IF(A1216="","",TEXT(A1216,"yyyy-mm-dd")&amp;"|"&amp;B1216&amp;"|"&amp;C1216)</f>
        <v/>
      </c>
    </row>
    <row r="1217">
      <c r="A1217" s="4" t="n"/>
      <c r="D1217" s="5" t="n"/>
      <c r="E1217" s="5" t="n"/>
      <c r="G1217" s="6">
        <f>IF(OR(A1217="",D1217="",E1217=""),"",ROUND(MOD(E1217-D1217,1)*24-N(F1217)/60,2))</f>
        <v/>
      </c>
      <c r="H1217" s="7">
        <f>IF(C1217="","",IFERROR(INDEX(Sites!$B$2:$B$501,MATCH(C1217,Sites!$A$2:$A$501,0)),"?"))</f>
        <v/>
      </c>
      <c r="I1217" s="8">
        <f>IF(A1217="","",A1217-WEEKDAY(A1217,3))</f>
        <v/>
      </c>
      <c r="K1217" s="7">
        <f>IF(A1217="","",IF(OR(B1217="",C1217="",D1217="",E1217=""),"Missing info",IF(ISNA(MATCH(B1217,Staff!$A$2:$A$101,0)),"Unknown employee",IF(H1217="?","Unknown site",IF(G1217&lt;=0,"Check times",IF(G1217&gt;12,"Over 12h",IF(COUNTIFS($L$2:$L$2001,L1217)&gt;1,"Duplicate?",IF(A1217&gt;TODAY(),"Future date","OK"))))))))</f>
        <v/>
      </c>
      <c r="L1217">
        <f>IF(A1217="","",TEXT(A1217,"yyyy-mm-dd")&amp;"|"&amp;B1217&amp;"|"&amp;C1217)</f>
        <v/>
      </c>
    </row>
    <row r="1218">
      <c r="A1218" s="4" t="n"/>
      <c r="D1218" s="5" t="n"/>
      <c r="E1218" s="5" t="n"/>
      <c r="G1218" s="6">
        <f>IF(OR(A1218="",D1218="",E1218=""),"",ROUND(MOD(E1218-D1218,1)*24-N(F1218)/60,2))</f>
        <v/>
      </c>
      <c r="H1218" s="7">
        <f>IF(C1218="","",IFERROR(INDEX(Sites!$B$2:$B$501,MATCH(C1218,Sites!$A$2:$A$501,0)),"?"))</f>
        <v/>
      </c>
      <c r="I1218" s="8">
        <f>IF(A1218="","",A1218-WEEKDAY(A1218,3))</f>
        <v/>
      </c>
      <c r="K1218" s="7">
        <f>IF(A1218="","",IF(OR(B1218="",C1218="",D1218="",E1218=""),"Missing info",IF(ISNA(MATCH(B1218,Staff!$A$2:$A$101,0)),"Unknown employee",IF(H1218="?","Unknown site",IF(G1218&lt;=0,"Check times",IF(G1218&gt;12,"Over 12h",IF(COUNTIFS($L$2:$L$2001,L1218)&gt;1,"Duplicate?",IF(A1218&gt;TODAY(),"Future date","OK"))))))))</f>
        <v/>
      </c>
      <c r="L1218">
        <f>IF(A1218="","",TEXT(A1218,"yyyy-mm-dd")&amp;"|"&amp;B1218&amp;"|"&amp;C1218)</f>
        <v/>
      </c>
    </row>
    <row r="1219">
      <c r="A1219" s="4" t="n"/>
      <c r="D1219" s="5" t="n"/>
      <c r="E1219" s="5" t="n"/>
      <c r="G1219" s="6">
        <f>IF(OR(A1219="",D1219="",E1219=""),"",ROUND(MOD(E1219-D1219,1)*24-N(F1219)/60,2))</f>
        <v/>
      </c>
      <c r="H1219" s="7">
        <f>IF(C1219="","",IFERROR(INDEX(Sites!$B$2:$B$501,MATCH(C1219,Sites!$A$2:$A$501,0)),"?"))</f>
        <v/>
      </c>
      <c r="I1219" s="8">
        <f>IF(A1219="","",A1219-WEEKDAY(A1219,3))</f>
        <v/>
      </c>
      <c r="K1219" s="7">
        <f>IF(A1219="","",IF(OR(B1219="",C1219="",D1219="",E1219=""),"Missing info",IF(ISNA(MATCH(B1219,Staff!$A$2:$A$101,0)),"Unknown employee",IF(H1219="?","Unknown site",IF(G1219&lt;=0,"Check times",IF(G1219&gt;12,"Over 12h",IF(COUNTIFS($L$2:$L$2001,L1219)&gt;1,"Duplicate?",IF(A1219&gt;TODAY(),"Future date","OK"))))))))</f>
        <v/>
      </c>
      <c r="L1219">
        <f>IF(A1219="","",TEXT(A1219,"yyyy-mm-dd")&amp;"|"&amp;B1219&amp;"|"&amp;C1219)</f>
        <v/>
      </c>
    </row>
    <row r="1220">
      <c r="A1220" s="4" t="n"/>
      <c r="D1220" s="5" t="n"/>
      <c r="E1220" s="5" t="n"/>
      <c r="G1220" s="6">
        <f>IF(OR(A1220="",D1220="",E1220=""),"",ROUND(MOD(E1220-D1220,1)*24-N(F1220)/60,2))</f>
        <v/>
      </c>
      <c r="H1220" s="7">
        <f>IF(C1220="","",IFERROR(INDEX(Sites!$B$2:$B$501,MATCH(C1220,Sites!$A$2:$A$501,0)),"?"))</f>
        <v/>
      </c>
      <c r="I1220" s="8">
        <f>IF(A1220="","",A1220-WEEKDAY(A1220,3))</f>
        <v/>
      </c>
      <c r="K1220" s="7">
        <f>IF(A1220="","",IF(OR(B1220="",C1220="",D1220="",E1220=""),"Missing info",IF(ISNA(MATCH(B1220,Staff!$A$2:$A$101,0)),"Unknown employee",IF(H1220="?","Unknown site",IF(G1220&lt;=0,"Check times",IF(G1220&gt;12,"Over 12h",IF(COUNTIFS($L$2:$L$2001,L1220)&gt;1,"Duplicate?",IF(A1220&gt;TODAY(),"Future date","OK"))))))))</f>
        <v/>
      </c>
      <c r="L1220">
        <f>IF(A1220="","",TEXT(A1220,"yyyy-mm-dd")&amp;"|"&amp;B1220&amp;"|"&amp;C1220)</f>
        <v/>
      </c>
    </row>
    <row r="1221">
      <c r="A1221" s="4" t="n"/>
      <c r="D1221" s="5" t="n"/>
      <c r="E1221" s="5" t="n"/>
      <c r="G1221" s="6">
        <f>IF(OR(A1221="",D1221="",E1221=""),"",ROUND(MOD(E1221-D1221,1)*24-N(F1221)/60,2))</f>
        <v/>
      </c>
      <c r="H1221" s="7">
        <f>IF(C1221="","",IFERROR(INDEX(Sites!$B$2:$B$501,MATCH(C1221,Sites!$A$2:$A$501,0)),"?"))</f>
        <v/>
      </c>
      <c r="I1221" s="8">
        <f>IF(A1221="","",A1221-WEEKDAY(A1221,3))</f>
        <v/>
      </c>
      <c r="K1221" s="7">
        <f>IF(A1221="","",IF(OR(B1221="",C1221="",D1221="",E1221=""),"Missing info",IF(ISNA(MATCH(B1221,Staff!$A$2:$A$101,0)),"Unknown employee",IF(H1221="?","Unknown site",IF(G1221&lt;=0,"Check times",IF(G1221&gt;12,"Over 12h",IF(COUNTIFS($L$2:$L$2001,L1221)&gt;1,"Duplicate?",IF(A1221&gt;TODAY(),"Future date","OK"))))))))</f>
        <v/>
      </c>
      <c r="L1221">
        <f>IF(A1221="","",TEXT(A1221,"yyyy-mm-dd")&amp;"|"&amp;B1221&amp;"|"&amp;C1221)</f>
        <v/>
      </c>
    </row>
    <row r="1222">
      <c r="A1222" s="4" t="n"/>
      <c r="D1222" s="5" t="n"/>
      <c r="E1222" s="5" t="n"/>
      <c r="G1222" s="6">
        <f>IF(OR(A1222="",D1222="",E1222=""),"",ROUND(MOD(E1222-D1222,1)*24-N(F1222)/60,2))</f>
        <v/>
      </c>
      <c r="H1222" s="7">
        <f>IF(C1222="","",IFERROR(INDEX(Sites!$B$2:$B$501,MATCH(C1222,Sites!$A$2:$A$501,0)),"?"))</f>
        <v/>
      </c>
      <c r="I1222" s="8">
        <f>IF(A1222="","",A1222-WEEKDAY(A1222,3))</f>
        <v/>
      </c>
      <c r="K1222" s="7">
        <f>IF(A1222="","",IF(OR(B1222="",C1222="",D1222="",E1222=""),"Missing info",IF(ISNA(MATCH(B1222,Staff!$A$2:$A$101,0)),"Unknown employee",IF(H1222="?","Unknown site",IF(G1222&lt;=0,"Check times",IF(G1222&gt;12,"Over 12h",IF(COUNTIFS($L$2:$L$2001,L1222)&gt;1,"Duplicate?",IF(A1222&gt;TODAY(),"Future date","OK"))))))))</f>
        <v/>
      </c>
      <c r="L1222">
        <f>IF(A1222="","",TEXT(A1222,"yyyy-mm-dd")&amp;"|"&amp;B1222&amp;"|"&amp;C1222)</f>
        <v/>
      </c>
    </row>
    <row r="1223">
      <c r="A1223" s="4" t="n"/>
      <c r="D1223" s="5" t="n"/>
      <c r="E1223" s="5" t="n"/>
      <c r="G1223" s="6">
        <f>IF(OR(A1223="",D1223="",E1223=""),"",ROUND(MOD(E1223-D1223,1)*24-N(F1223)/60,2))</f>
        <v/>
      </c>
      <c r="H1223" s="7">
        <f>IF(C1223="","",IFERROR(INDEX(Sites!$B$2:$B$501,MATCH(C1223,Sites!$A$2:$A$501,0)),"?"))</f>
        <v/>
      </c>
      <c r="I1223" s="8">
        <f>IF(A1223="","",A1223-WEEKDAY(A1223,3))</f>
        <v/>
      </c>
      <c r="K1223" s="7">
        <f>IF(A1223="","",IF(OR(B1223="",C1223="",D1223="",E1223=""),"Missing info",IF(ISNA(MATCH(B1223,Staff!$A$2:$A$101,0)),"Unknown employee",IF(H1223="?","Unknown site",IF(G1223&lt;=0,"Check times",IF(G1223&gt;12,"Over 12h",IF(COUNTIFS($L$2:$L$2001,L1223)&gt;1,"Duplicate?",IF(A1223&gt;TODAY(),"Future date","OK"))))))))</f>
        <v/>
      </c>
      <c r="L1223">
        <f>IF(A1223="","",TEXT(A1223,"yyyy-mm-dd")&amp;"|"&amp;B1223&amp;"|"&amp;C1223)</f>
        <v/>
      </c>
    </row>
    <row r="1224">
      <c r="A1224" s="4" t="n"/>
      <c r="D1224" s="5" t="n"/>
      <c r="E1224" s="5" t="n"/>
      <c r="G1224" s="6">
        <f>IF(OR(A1224="",D1224="",E1224=""),"",ROUND(MOD(E1224-D1224,1)*24-N(F1224)/60,2))</f>
        <v/>
      </c>
      <c r="H1224" s="7">
        <f>IF(C1224="","",IFERROR(INDEX(Sites!$B$2:$B$501,MATCH(C1224,Sites!$A$2:$A$501,0)),"?"))</f>
        <v/>
      </c>
      <c r="I1224" s="8">
        <f>IF(A1224="","",A1224-WEEKDAY(A1224,3))</f>
        <v/>
      </c>
      <c r="K1224" s="7">
        <f>IF(A1224="","",IF(OR(B1224="",C1224="",D1224="",E1224=""),"Missing info",IF(ISNA(MATCH(B1224,Staff!$A$2:$A$101,0)),"Unknown employee",IF(H1224="?","Unknown site",IF(G1224&lt;=0,"Check times",IF(G1224&gt;12,"Over 12h",IF(COUNTIFS($L$2:$L$2001,L1224)&gt;1,"Duplicate?",IF(A1224&gt;TODAY(),"Future date","OK"))))))))</f>
        <v/>
      </c>
      <c r="L1224">
        <f>IF(A1224="","",TEXT(A1224,"yyyy-mm-dd")&amp;"|"&amp;B1224&amp;"|"&amp;C1224)</f>
        <v/>
      </c>
    </row>
    <row r="1225">
      <c r="A1225" s="4" t="n"/>
      <c r="D1225" s="5" t="n"/>
      <c r="E1225" s="5" t="n"/>
      <c r="G1225" s="6">
        <f>IF(OR(A1225="",D1225="",E1225=""),"",ROUND(MOD(E1225-D1225,1)*24-N(F1225)/60,2))</f>
        <v/>
      </c>
      <c r="H1225" s="7">
        <f>IF(C1225="","",IFERROR(INDEX(Sites!$B$2:$B$501,MATCH(C1225,Sites!$A$2:$A$501,0)),"?"))</f>
        <v/>
      </c>
      <c r="I1225" s="8">
        <f>IF(A1225="","",A1225-WEEKDAY(A1225,3))</f>
        <v/>
      </c>
      <c r="K1225" s="7">
        <f>IF(A1225="","",IF(OR(B1225="",C1225="",D1225="",E1225=""),"Missing info",IF(ISNA(MATCH(B1225,Staff!$A$2:$A$101,0)),"Unknown employee",IF(H1225="?","Unknown site",IF(G1225&lt;=0,"Check times",IF(G1225&gt;12,"Over 12h",IF(COUNTIFS($L$2:$L$2001,L1225)&gt;1,"Duplicate?",IF(A1225&gt;TODAY(),"Future date","OK"))))))))</f>
        <v/>
      </c>
      <c r="L1225">
        <f>IF(A1225="","",TEXT(A1225,"yyyy-mm-dd")&amp;"|"&amp;B1225&amp;"|"&amp;C1225)</f>
        <v/>
      </c>
    </row>
    <row r="1226">
      <c r="A1226" s="4" t="n"/>
      <c r="D1226" s="5" t="n"/>
      <c r="E1226" s="5" t="n"/>
      <c r="G1226" s="6">
        <f>IF(OR(A1226="",D1226="",E1226=""),"",ROUND(MOD(E1226-D1226,1)*24-N(F1226)/60,2))</f>
        <v/>
      </c>
      <c r="H1226" s="7">
        <f>IF(C1226="","",IFERROR(INDEX(Sites!$B$2:$B$501,MATCH(C1226,Sites!$A$2:$A$501,0)),"?"))</f>
        <v/>
      </c>
      <c r="I1226" s="8">
        <f>IF(A1226="","",A1226-WEEKDAY(A1226,3))</f>
        <v/>
      </c>
      <c r="K1226" s="7">
        <f>IF(A1226="","",IF(OR(B1226="",C1226="",D1226="",E1226=""),"Missing info",IF(ISNA(MATCH(B1226,Staff!$A$2:$A$101,0)),"Unknown employee",IF(H1226="?","Unknown site",IF(G1226&lt;=0,"Check times",IF(G1226&gt;12,"Over 12h",IF(COUNTIFS($L$2:$L$2001,L1226)&gt;1,"Duplicate?",IF(A1226&gt;TODAY(),"Future date","OK"))))))))</f>
        <v/>
      </c>
      <c r="L1226">
        <f>IF(A1226="","",TEXT(A1226,"yyyy-mm-dd")&amp;"|"&amp;B1226&amp;"|"&amp;C1226)</f>
        <v/>
      </c>
    </row>
    <row r="1227">
      <c r="A1227" s="4" t="n"/>
      <c r="D1227" s="5" t="n"/>
      <c r="E1227" s="5" t="n"/>
      <c r="G1227" s="6">
        <f>IF(OR(A1227="",D1227="",E1227=""),"",ROUND(MOD(E1227-D1227,1)*24-N(F1227)/60,2))</f>
        <v/>
      </c>
      <c r="H1227" s="7">
        <f>IF(C1227="","",IFERROR(INDEX(Sites!$B$2:$B$501,MATCH(C1227,Sites!$A$2:$A$501,0)),"?"))</f>
        <v/>
      </c>
      <c r="I1227" s="8">
        <f>IF(A1227="","",A1227-WEEKDAY(A1227,3))</f>
        <v/>
      </c>
      <c r="K1227" s="7">
        <f>IF(A1227="","",IF(OR(B1227="",C1227="",D1227="",E1227=""),"Missing info",IF(ISNA(MATCH(B1227,Staff!$A$2:$A$101,0)),"Unknown employee",IF(H1227="?","Unknown site",IF(G1227&lt;=0,"Check times",IF(G1227&gt;12,"Over 12h",IF(COUNTIFS($L$2:$L$2001,L1227)&gt;1,"Duplicate?",IF(A1227&gt;TODAY(),"Future date","OK"))))))))</f>
        <v/>
      </c>
      <c r="L1227">
        <f>IF(A1227="","",TEXT(A1227,"yyyy-mm-dd")&amp;"|"&amp;B1227&amp;"|"&amp;C1227)</f>
        <v/>
      </c>
    </row>
    <row r="1228">
      <c r="A1228" s="4" t="n"/>
      <c r="D1228" s="5" t="n"/>
      <c r="E1228" s="5" t="n"/>
      <c r="G1228" s="6">
        <f>IF(OR(A1228="",D1228="",E1228=""),"",ROUND(MOD(E1228-D1228,1)*24-N(F1228)/60,2))</f>
        <v/>
      </c>
      <c r="H1228" s="7">
        <f>IF(C1228="","",IFERROR(INDEX(Sites!$B$2:$B$501,MATCH(C1228,Sites!$A$2:$A$501,0)),"?"))</f>
        <v/>
      </c>
      <c r="I1228" s="8">
        <f>IF(A1228="","",A1228-WEEKDAY(A1228,3))</f>
        <v/>
      </c>
      <c r="K1228" s="7">
        <f>IF(A1228="","",IF(OR(B1228="",C1228="",D1228="",E1228=""),"Missing info",IF(ISNA(MATCH(B1228,Staff!$A$2:$A$101,0)),"Unknown employee",IF(H1228="?","Unknown site",IF(G1228&lt;=0,"Check times",IF(G1228&gt;12,"Over 12h",IF(COUNTIFS($L$2:$L$2001,L1228)&gt;1,"Duplicate?",IF(A1228&gt;TODAY(),"Future date","OK"))))))))</f>
        <v/>
      </c>
      <c r="L1228">
        <f>IF(A1228="","",TEXT(A1228,"yyyy-mm-dd")&amp;"|"&amp;B1228&amp;"|"&amp;C1228)</f>
        <v/>
      </c>
    </row>
    <row r="1229">
      <c r="A1229" s="4" t="n"/>
      <c r="D1229" s="5" t="n"/>
      <c r="E1229" s="5" t="n"/>
      <c r="G1229" s="6">
        <f>IF(OR(A1229="",D1229="",E1229=""),"",ROUND(MOD(E1229-D1229,1)*24-N(F1229)/60,2))</f>
        <v/>
      </c>
      <c r="H1229" s="7">
        <f>IF(C1229="","",IFERROR(INDEX(Sites!$B$2:$B$501,MATCH(C1229,Sites!$A$2:$A$501,0)),"?"))</f>
        <v/>
      </c>
      <c r="I1229" s="8">
        <f>IF(A1229="","",A1229-WEEKDAY(A1229,3))</f>
        <v/>
      </c>
      <c r="K1229" s="7">
        <f>IF(A1229="","",IF(OR(B1229="",C1229="",D1229="",E1229=""),"Missing info",IF(ISNA(MATCH(B1229,Staff!$A$2:$A$101,0)),"Unknown employee",IF(H1229="?","Unknown site",IF(G1229&lt;=0,"Check times",IF(G1229&gt;12,"Over 12h",IF(COUNTIFS($L$2:$L$2001,L1229)&gt;1,"Duplicate?",IF(A1229&gt;TODAY(),"Future date","OK"))))))))</f>
        <v/>
      </c>
      <c r="L1229">
        <f>IF(A1229="","",TEXT(A1229,"yyyy-mm-dd")&amp;"|"&amp;B1229&amp;"|"&amp;C1229)</f>
        <v/>
      </c>
    </row>
    <row r="1230">
      <c r="A1230" s="4" t="n"/>
      <c r="D1230" s="5" t="n"/>
      <c r="E1230" s="5" t="n"/>
      <c r="G1230" s="6">
        <f>IF(OR(A1230="",D1230="",E1230=""),"",ROUND(MOD(E1230-D1230,1)*24-N(F1230)/60,2))</f>
        <v/>
      </c>
      <c r="H1230" s="7">
        <f>IF(C1230="","",IFERROR(INDEX(Sites!$B$2:$B$501,MATCH(C1230,Sites!$A$2:$A$501,0)),"?"))</f>
        <v/>
      </c>
      <c r="I1230" s="8">
        <f>IF(A1230="","",A1230-WEEKDAY(A1230,3))</f>
        <v/>
      </c>
      <c r="K1230" s="7">
        <f>IF(A1230="","",IF(OR(B1230="",C1230="",D1230="",E1230=""),"Missing info",IF(ISNA(MATCH(B1230,Staff!$A$2:$A$101,0)),"Unknown employee",IF(H1230="?","Unknown site",IF(G1230&lt;=0,"Check times",IF(G1230&gt;12,"Over 12h",IF(COUNTIFS($L$2:$L$2001,L1230)&gt;1,"Duplicate?",IF(A1230&gt;TODAY(),"Future date","OK"))))))))</f>
        <v/>
      </c>
      <c r="L1230">
        <f>IF(A1230="","",TEXT(A1230,"yyyy-mm-dd")&amp;"|"&amp;B1230&amp;"|"&amp;C1230)</f>
        <v/>
      </c>
    </row>
    <row r="1231">
      <c r="A1231" s="4" t="n"/>
      <c r="D1231" s="5" t="n"/>
      <c r="E1231" s="5" t="n"/>
      <c r="G1231" s="6">
        <f>IF(OR(A1231="",D1231="",E1231=""),"",ROUND(MOD(E1231-D1231,1)*24-N(F1231)/60,2))</f>
        <v/>
      </c>
      <c r="H1231" s="7">
        <f>IF(C1231="","",IFERROR(INDEX(Sites!$B$2:$B$501,MATCH(C1231,Sites!$A$2:$A$501,0)),"?"))</f>
        <v/>
      </c>
      <c r="I1231" s="8">
        <f>IF(A1231="","",A1231-WEEKDAY(A1231,3))</f>
        <v/>
      </c>
      <c r="K1231" s="7">
        <f>IF(A1231="","",IF(OR(B1231="",C1231="",D1231="",E1231=""),"Missing info",IF(ISNA(MATCH(B1231,Staff!$A$2:$A$101,0)),"Unknown employee",IF(H1231="?","Unknown site",IF(G1231&lt;=0,"Check times",IF(G1231&gt;12,"Over 12h",IF(COUNTIFS($L$2:$L$2001,L1231)&gt;1,"Duplicate?",IF(A1231&gt;TODAY(),"Future date","OK"))))))))</f>
        <v/>
      </c>
      <c r="L1231">
        <f>IF(A1231="","",TEXT(A1231,"yyyy-mm-dd")&amp;"|"&amp;B1231&amp;"|"&amp;C1231)</f>
        <v/>
      </c>
    </row>
    <row r="1232">
      <c r="A1232" s="4" t="n"/>
      <c r="D1232" s="5" t="n"/>
      <c r="E1232" s="5" t="n"/>
      <c r="G1232" s="6">
        <f>IF(OR(A1232="",D1232="",E1232=""),"",ROUND(MOD(E1232-D1232,1)*24-N(F1232)/60,2))</f>
        <v/>
      </c>
      <c r="H1232" s="7">
        <f>IF(C1232="","",IFERROR(INDEX(Sites!$B$2:$B$501,MATCH(C1232,Sites!$A$2:$A$501,0)),"?"))</f>
        <v/>
      </c>
      <c r="I1232" s="8">
        <f>IF(A1232="","",A1232-WEEKDAY(A1232,3))</f>
        <v/>
      </c>
      <c r="K1232" s="7">
        <f>IF(A1232="","",IF(OR(B1232="",C1232="",D1232="",E1232=""),"Missing info",IF(ISNA(MATCH(B1232,Staff!$A$2:$A$101,0)),"Unknown employee",IF(H1232="?","Unknown site",IF(G1232&lt;=0,"Check times",IF(G1232&gt;12,"Over 12h",IF(COUNTIFS($L$2:$L$2001,L1232)&gt;1,"Duplicate?",IF(A1232&gt;TODAY(),"Future date","OK"))))))))</f>
        <v/>
      </c>
      <c r="L1232">
        <f>IF(A1232="","",TEXT(A1232,"yyyy-mm-dd")&amp;"|"&amp;B1232&amp;"|"&amp;C1232)</f>
        <v/>
      </c>
    </row>
    <row r="1233">
      <c r="A1233" s="4" t="n"/>
      <c r="D1233" s="5" t="n"/>
      <c r="E1233" s="5" t="n"/>
      <c r="G1233" s="6">
        <f>IF(OR(A1233="",D1233="",E1233=""),"",ROUND(MOD(E1233-D1233,1)*24-N(F1233)/60,2))</f>
        <v/>
      </c>
      <c r="H1233" s="7">
        <f>IF(C1233="","",IFERROR(INDEX(Sites!$B$2:$B$501,MATCH(C1233,Sites!$A$2:$A$501,0)),"?"))</f>
        <v/>
      </c>
      <c r="I1233" s="8">
        <f>IF(A1233="","",A1233-WEEKDAY(A1233,3))</f>
        <v/>
      </c>
      <c r="K1233" s="7">
        <f>IF(A1233="","",IF(OR(B1233="",C1233="",D1233="",E1233=""),"Missing info",IF(ISNA(MATCH(B1233,Staff!$A$2:$A$101,0)),"Unknown employee",IF(H1233="?","Unknown site",IF(G1233&lt;=0,"Check times",IF(G1233&gt;12,"Over 12h",IF(COUNTIFS($L$2:$L$2001,L1233)&gt;1,"Duplicate?",IF(A1233&gt;TODAY(),"Future date","OK"))))))))</f>
        <v/>
      </c>
      <c r="L1233">
        <f>IF(A1233="","",TEXT(A1233,"yyyy-mm-dd")&amp;"|"&amp;B1233&amp;"|"&amp;C1233)</f>
        <v/>
      </c>
    </row>
    <row r="1234">
      <c r="A1234" s="4" t="n"/>
      <c r="D1234" s="5" t="n"/>
      <c r="E1234" s="5" t="n"/>
      <c r="G1234" s="6">
        <f>IF(OR(A1234="",D1234="",E1234=""),"",ROUND(MOD(E1234-D1234,1)*24-N(F1234)/60,2))</f>
        <v/>
      </c>
      <c r="H1234" s="7">
        <f>IF(C1234="","",IFERROR(INDEX(Sites!$B$2:$B$501,MATCH(C1234,Sites!$A$2:$A$501,0)),"?"))</f>
        <v/>
      </c>
      <c r="I1234" s="8">
        <f>IF(A1234="","",A1234-WEEKDAY(A1234,3))</f>
        <v/>
      </c>
      <c r="K1234" s="7">
        <f>IF(A1234="","",IF(OR(B1234="",C1234="",D1234="",E1234=""),"Missing info",IF(ISNA(MATCH(B1234,Staff!$A$2:$A$101,0)),"Unknown employee",IF(H1234="?","Unknown site",IF(G1234&lt;=0,"Check times",IF(G1234&gt;12,"Over 12h",IF(COUNTIFS($L$2:$L$2001,L1234)&gt;1,"Duplicate?",IF(A1234&gt;TODAY(),"Future date","OK"))))))))</f>
        <v/>
      </c>
      <c r="L1234">
        <f>IF(A1234="","",TEXT(A1234,"yyyy-mm-dd")&amp;"|"&amp;B1234&amp;"|"&amp;C1234)</f>
        <v/>
      </c>
    </row>
    <row r="1235">
      <c r="A1235" s="4" t="n"/>
      <c r="D1235" s="5" t="n"/>
      <c r="E1235" s="5" t="n"/>
      <c r="G1235" s="6">
        <f>IF(OR(A1235="",D1235="",E1235=""),"",ROUND(MOD(E1235-D1235,1)*24-N(F1235)/60,2))</f>
        <v/>
      </c>
      <c r="H1235" s="7">
        <f>IF(C1235="","",IFERROR(INDEX(Sites!$B$2:$B$501,MATCH(C1235,Sites!$A$2:$A$501,0)),"?"))</f>
        <v/>
      </c>
      <c r="I1235" s="8">
        <f>IF(A1235="","",A1235-WEEKDAY(A1235,3))</f>
        <v/>
      </c>
      <c r="K1235" s="7">
        <f>IF(A1235="","",IF(OR(B1235="",C1235="",D1235="",E1235=""),"Missing info",IF(ISNA(MATCH(B1235,Staff!$A$2:$A$101,0)),"Unknown employee",IF(H1235="?","Unknown site",IF(G1235&lt;=0,"Check times",IF(G1235&gt;12,"Over 12h",IF(COUNTIFS($L$2:$L$2001,L1235)&gt;1,"Duplicate?",IF(A1235&gt;TODAY(),"Future date","OK"))))))))</f>
        <v/>
      </c>
      <c r="L1235">
        <f>IF(A1235="","",TEXT(A1235,"yyyy-mm-dd")&amp;"|"&amp;B1235&amp;"|"&amp;C1235)</f>
        <v/>
      </c>
    </row>
    <row r="1236">
      <c r="A1236" s="4" t="n"/>
      <c r="D1236" s="5" t="n"/>
      <c r="E1236" s="5" t="n"/>
      <c r="G1236" s="6">
        <f>IF(OR(A1236="",D1236="",E1236=""),"",ROUND(MOD(E1236-D1236,1)*24-N(F1236)/60,2))</f>
        <v/>
      </c>
      <c r="H1236" s="7">
        <f>IF(C1236="","",IFERROR(INDEX(Sites!$B$2:$B$501,MATCH(C1236,Sites!$A$2:$A$501,0)),"?"))</f>
        <v/>
      </c>
      <c r="I1236" s="8">
        <f>IF(A1236="","",A1236-WEEKDAY(A1236,3))</f>
        <v/>
      </c>
      <c r="K1236" s="7">
        <f>IF(A1236="","",IF(OR(B1236="",C1236="",D1236="",E1236=""),"Missing info",IF(ISNA(MATCH(B1236,Staff!$A$2:$A$101,0)),"Unknown employee",IF(H1236="?","Unknown site",IF(G1236&lt;=0,"Check times",IF(G1236&gt;12,"Over 12h",IF(COUNTIFS($L$2:$L$2001,L1236)&gt;1,"Duplicate?",IF(A1236&gt;TODAY(),"Future date","OK"))))))))</f>
        <v/>
      </c>
      <c r="L1236">
        <f>IF(A1236="","",TEXT(A1236,"yyyy-mm-dd")&amp;"|"&amp;B1236&amp;"|"&amp;C1236)</f>
        <v/>
      </c>
    </row>
    <row r="1237">
      <c r="A1237" s="4" t="n"/>
      <c r="D1237" s="5" t="n"/>
      <c r="E1237" s="5" t="n"/>
      <c r="G1237" s="6">
        <f>IF(OR(A1237="",D1237="",E1237=""),"",ROUND(MOD(E1237-D1237,1)*24-N(F1237)/60,2))</f>
        <v/>
      </c>
      <c r="H1237" s="7">
        <f>IF(C1237="","",IFERROR(INDEX(Sites!$B$2:$B$501,MATCH(C1237,Sites!$A$2:$A$501,0)),"?"))</f>
        <v/>
      </c>
      <c r="I1237" s="8">
        <f>IF(A1237="","",A1237-WEEKDAY(A1237,3))</f>
        <v/>
      </c>
      <c r="K1237" s="7">
        <f>IF(A1237="","",IF(OR(B1237="",C1237="",D1237="",E1237=""),"Missing info",IF(ISNA(MATCH(B1237,Staff!$A$2:$A$101,0)),"Unknown employee",IF(H1237="?","Unknown site",IF(G1237&lt;=0,"Check times",IF(G1237&gt;12,"Over 12h",IF(COUNTIFS($L$2:$L$2001,L1237)&gt;1,"Duplicate?",IF(A1237&gt;TODAY(),"Future date","OK"))))))))</f>
        <v/>
      </c>
      <c r="L1237">
        <f>IF(A1237="","",TEXT(A1237,"yyyy-mm-dd")&amp;"|"&amp;B1237&amp;"|"&amp;C1237)</f>
        <v/>
      </c>
    </row>
    <row r="1238">
      <c r="A1238" s="4" t="n"/>
      <c r="D1238" s="5" t="n"/>
      <c r="E1238" s="5" t="n"/>
      <c r="G1238" s="6">
        <f>IF(OR(A1238="",D1238="",E1238=""),"",ROUND(MOD(E1238-D1238,1)*24-N(F1238)/60,2))</f>
        <v/>
      </c>
      <c r="H1238" s="7">
        <f>IF(C1238="","",IFERROR(INDEX(Sites!$B$2:$B$501,MATCH(C1238,Sites!$A$2:$A$501,0)),"?"))</f>
        <v/>
      </c>
      <c r="I1238" s="8">
        <f>IF(A1238="","",A1238-WEEKDAY(A1238,3))</f>
        <v/>
      </c>
      <c r="K1238" s="7">
        <f>IF(A1238="","",IF(OR(B1238="",C1238="",D1238="",E1238=""),"Missing info",IF(ISNA(MATCH(B1238,Staff!$A$2:$A$101,0)),"Unknown employee",IF(H1238="?","Unknown site",IF(G1238&lt;=0,"Check times",IF(G1238&gt;12,"Over 12h",IF(COUNTIFS($L$2:$L$2001,L1238)&gt;1,"Duplicate?",IF(A1238&gt;TODAY(),"Future date","OK"))))))))</f>
        <v/>
      </c>
      <c r="L1238">
        <f>IF(A1238="","",TEXT(A1238,"yyyy-mm-dd")&amp;"|"&amp;B1238&amp;"|"&amp;C1238)</f>
        <v/>
      </c>
    </row>
    <row r="1239">
      <c r="A1239" s="4" t="n"/>
      <c r="D1239" s="5" t="n"/>
      <c r="E1239" s="5" t="n"/>
      <c r="G1239" s="6">
        <f>IF(OR(A1239="",D1239="",E1239=""),"",ROUND(MOD(E1239-D1239,1)*24-N(F1239)/60,2))</f>
        <v/>
      </c>
      <c r="H1239" s="7">
        <f>IF(C1239="","",IFERROR(INDEX(Sites!$B$2:$B$501,MATCH(C1239,Sites!$A$2:$A$501,0)),"?"))</f>
        <v/>
      </c>
      <c r="I1239" s="8">
        <f>IF(A1239="","",A1239-WEEKDAY(A1239,3))</f>
        <v/>
      </c>
      <c r="K1239" s="7">
        <f>IF(A1239="","",IF(OR(B1239="",C1239="",D1239="",E1239=""),"Missing info",IF(ISNA(MATCH(B1239,Staff!$A$2:$A$101,0)),"Unknown employee",IF(H1239="?","Unknown site",IF(G1239&lt;=0,"Check times",IF(G1239&gt;12,"Over 12h",IF(COUNTIFS($L$2:$L$2001,L1239)&gt;1,"Duplicate?",IF(A1239&gt;TODAY(),"Future date","OK"))))))))</f>
        <v/>
      </c>
      <c r="L1239">
        <f>IF(A1239="","",TEXT(A1239,"yyyy-mm-dd")&amp;"|"&amp;B1239&amp;"|"&amp;C1239)</f>
        <v/>
      </c>
    </row>
    <row r="1240">
      <c r="A1240" s="4" t="n"/>
      <c r="D1240" s="5" t="n"/>
      <c r="E1240" s="5" t="n"/>
      <c r="G1240" s="6">
        <f>IF(OR(A1240="",D1240="",E1240=""),"",ROUND(MOD(E1240-D1240,1)*24-N(F1240)/60,2))</f>
        <v/>
      </c>
      <c r="H1240" s="7">
        <f>IF(C1240="","",IFERROR(INDEX(Sites!$B$2:$B$501,MATCH(C1240,Sites!$A$2:$A$501,0)),"?"))</f>
        <v/>
      </c>
      <c r="I1240" s="8">
        <f>IF(A1240="","",A1240-WEEKDAY(A1240,3))</f>
        <v/>
      </c>
      <c r="K1240" s="7">
        <f>IF(A1240="","",IF(OR(B1240="",C1240="",D1240="",E1240=""),"Missing info",IF(ISNA(MATCH(B1240,Staff!$A$2:$A$101,0)),"Unknown employee",IF(H1240="?","Unknown site",IF(G1240&lt;=0,"Check times",IF(G1240&gt;12,"Over 12h",IF(COUNTIFS($L$2:$L$2001,L1240)&gt;1,"Duplicate?",IF(A1240&gt;TODAY(),"Future date","OK"))))))))</f>
        <v/>
      </c>
      <c r="L1240">
        <f>IF(A1240="","",TEXT(A1240,"yyyy-mm-dd")&amp;"|"&amp;B1240&amp;"|"&amp;C1240)</f>
        <v/>
      </c>
    </row>
    <row r="1241">
      <c r="A1241" s="4" t="n"/>
      <c r="D1241" s="5" t="n"/>
      <c r="E1241" s="5" t="n"/>
      <c r="G1241" s="6">
        <f>IF(OR(A1241="",D1241="",E1241=""),"",ROUND(MOD(E1241-D1241,1)*24-N(F1241)/60,2))</f>
        <v/>
      </c>
      <c r="H1241" s="7">
        <f>IF(C1241="","",IFERROR(INDEX(Sites!$B$2:$B$501,MATCH(C1241,Sites!$A$2:$A$501,0)),"?"))</f>
        <v/>
      </c>
      <c r="I1241" s="8">
        <f>IF(A1241="","",A1241-WEEKDAY(A1241,3))</f>
        <v/>
      </c>
      <c r="K1241" s="7">
        <f>IF(A1241="","",IF(OR(B1241="",C1241="",D1241="",E1241=""),"Missing info",IF(ISNA(MATCH(B1241,Staff!$A$2:$A$101,0)),"Unknown employee",IF(H1241="?","Unknown site",IF(G1241&lt;=0,"Check times",IF(G1241&gt;12,"Over 12h",IF(COUNTIFS($L$2:$L$2001,L1241)&gt;1,"Duplicate?",IF(A1241&gt;TODAY(),"Future date","OK"))))))))</f>
        <v/>
      </c>
      <c r="L1241">
        <f>IF(A1241="","",TEXT(A1241,"yyyy-mm-dd")&amp;"|"&amp;B1241&amp;"|"&amp;C1241)</f>
        <v/>
      </c>
    </row>
    <row r="1242">
      <c r="A1242" s="4" t="n"/>
      <c r="D1242" s="5" t="n"/>
      <c r="E1242" s="5" t="n"/>
      <c r="G1242" s="6">
        <f>IF(OR(A1242="",D1242="",E1242=""),"",ROUND(MOD(E1242-D1242,1)*24-N(F1242)/60,2))</f>
        <v/>
      </c>
      <c r="H1242" s="7">
        <f>IF(C1242="","",IFERROR(INDEX(Sites!$B$2:$B$501,MATCH(C1242,Sites!$A$2:$A$501,0)),"?"))</f>
        <v/>
      </c>
      <c r="I1242" s="8">
        <f>IF(A1242="","",A1242-WEEKDAY(A1242,3))</f>
        <v/>
      </c>
      <c r="K1242" s="7">
        <f>IF(A1242="","",IF(OR(B1242="",C1242="",D1242="",E1242=""),"Missing info",IF(ISNA(MATCH(B1242,Staff!$A$2:$A$101,0)),"Unknown employee",IF(H1242="?","Unknown site",IF(G1242&lt;=0,"Check times",IF(G1242&gt;12,"Over 12h",IF(COUNTIFS($L$2:$L$2001,L1242)&gt;1,"Duplicate?",IF(A1242&gt;TODAY(),"Future date","OK"))))))))</f>
        <v/>
      </c>
      <c r="L1242">
        <f>IF(A1242="","",TEXT(A1242,"yyyy-mm-dd")&amp;"|"&amp;B1242&amp;"|"&amp;C1242)</f>
        <v/>
      </c>
    </row>
    <row r="1243">
      <c r="A1243" s="4" t="n"/>
      <c r="D1243" s="5" t="n"/>
      <c r="E1243" s="5" t="n"/>
      <c r="G1243" s="6">
        <f>IF(OR(A1243="",D1243="",E1243=""),"",ROUND(MOD(E1243-D1243,1)*24-N(F1243)/60,2))</f>
        <v/>
      </c>
      <c r="H1243" s="7">
        <f>IF(C1243="","",IFERROR(INDEX(Sites!$B$2:$B$501,MATCH(C1243,Sites!$A$2:$A$501,0)),"?"))</f>
        <v/>
      </c>
      <c r="I1243" s="8">
        <f>IF(A1243="","",A1243-WEEKDAY(A1243,3))</f>
        <v/>
      </c>
      <c r="K1243" s="7">
        <f>IF(A1243="","",IF(OR(B1243="",C1243="",D1243="",E1243=""),"Missing info",IF(ISNA(MATCH(B1243,Staff!$A$2:$A$101,0)),"Unknown employee",IF(H1243="?","Unknown site",IF(G1243&lt;=0,"Check times",IF(G1243&gt;12,"Over 12h",IF(COUNTIFS($L$2:$L$2001,L1243)&gt;1,"Duplicate?",IF(A1243&gt;TODAY(),"Future date","OK"))))))))</f>
        <v/>
      </c>
      <c r="L1243">
        <f>IF(A1243="","",TEXT(A1243,"yyyy-mm-dd")&amp;"|"&amp;B1243&amp;"|"&amp;C1243)</f>
        <v/>
      </c>
    </row>
    <row r="1244">
      <c r="A1244" s="4" t="n"/>
      <c r="D1244" s="5" t="n"/>
      <c r="E1244" s="5" t="n"/>
      <c r="G1244" s="6">
        <f>IF(OR(A1244="",D1244="",E1244=""),"",ROUND(MOD(E1244-D1244,1)*24-N(F1244)/60,2))</f>
        <v/>
      </c>
      <c r="H1244" s="7">
        <f>IF(C1244="","",IFERROR(INDEX(Sites!$B$2:$B$501,MATCH(C1244,Sites!$A$2:$A$501,0)),"?"))</f>
        <v/>
      </c>
      <c r="I1244" s="8">
        <f>IF(A1244="","",A1244-WEEKDAY(A1244,3))</f>
        <v/>
      </c>
      <c r="K1244" s="7">
        <f>IF(A1244="","",IF(OR(B1244="",C1244="",D1244="",E1244=""),"Missing info",IF(ISNA(MATCH(B1244,Staff!$A$2:$A$101,0)),"Unknown employee",IF(H1244="?","Unknown site",IF(G1244&lt;=0,"Check times",IF(G1244&gt;12,"Over 12h",IF(COUNTIFS($L$2:$L$2001,L1244)&gt;1,"Duplicate?",IF(A1244&gt;TODAY(),"Future date","OK"))))))))</f>
        <v/>
      </c>
      <c r="L1244">
        <f>IF(A1244="","",TEXT(A1244,"yyyy-mm-dd")&amp;"|"&amp;B1244&amp;"|"&amp;C1244)</f>
        <v/>
      </c>
    </row>
    <row r="1245">
      <c r="A1245" s="4" t="n"/>
      <c r="D1245" s="5" t="n"/>
      <c r="E1245" s="5" t="n"/>
      <c r="G1245" s="6">
        <f>IF(OR(A1245="",D1245="",E1245=""),"",ROUND(MOD(E1245-D1245,1)*24-N(F1245)/60,2))</f>
        <v/>
      </c>
      <c r="H1245" s="7">
        <f>IF(C1245="","",IFERROR(INDEX(Sites!$B$2:$B$501,MATCH(C1245,Sites!$A$2:$A$501,0)),"?"))</f>
        <v/>
      </c>
      <c r="I1245" s="8">
        <f>IF(A1245="","",A1245-WEEKDAY(A1245,3))</f>
        <v/>
      </c>
      <c r="K1245" s="7">
        <f>IF(A1245="","",IF(OR(B1245="",C1245="",D1245="",E1245=""),"Missing info",IF(ISNA(MATCH(B1245,Staff!$A$2:$A$101,0)),"Unknown employee",IF(H1245="?","Unknown site",IF(G1245&lt;=0,"Check times",IF(G1245&gt;12,"Over 12h",IF(COUNTIFS($L$2:$L$2001,L1245)&gt;1,"Duplicate?",IF(A1245&gt;TODAY(),"Future date","OK"))))))))</f>
        <v/>
      </c>
      <c r="L1245">
        <f>IF(A1245="","",TEXT(A1245,"yyyy-mm-dd")&amp;"|"&amp;B1245&amp;"|"&amp;C1245)</f>
        <v/>
      </c>
    </row>
    <row r="1246">
      <c r="A1246" s="4" t="n"/>
      <c r="D1246" s="5" t="n"/>
      <c r="E1246" s="5" t="n"/>
      <c r="G1246" s="6">
        <f>IF(OR(A1246="",D1246="",E1246=""),"",ROUND(MOD(E1246-D1246,1)*24-N(F1246)/60,2))</f>
        <v/>
      </c>
      <c r="H1246" s="7">
        <f>IF(C1246="","",IFERROR(INDEX(Sites!$B$2:$B$501,MATCH(C1246,Sites!$A$2:$A$501,0)),"?"))</f>
        <v/>
      </c>
      <c r="I1246" s="8">
        <f>IF(A1246="","",A1246-WEEKDAY(A1246,3))</f>
        <v/>
      </c>
      <c r="K1246" s="7">
        <f>IF(A1246="","",IF(OR(B1246="",C1246="",D1246="",E1246=""),"Missing info",IF(ISNA(MATCH(B1246,Staff!$A$2:$A$101,0)),"Unknown employee",IF(H1246="?","Unknown site",IF(G1246&lt;=0,"Check times",IF(G1246&gt;12,"Over 12h",IF(COUNTIFS($L$2:$L$2001,L1246)&gt;1,"Duplicate?",IF(A1246&gt;TODAY(),"Future date","OK"))))))))</f>
        <v/>
      </c>
      <c r="L1246">
        <f>IF(A1246="","",TEXT(A1246,"yyyy-mm-dd")&amp;"|"&amp;B1246&amp;"|"&amp;C1246)</f>
        <v/>
      </c>
    </row>
    <row r="1247">
      <c r="A1247" s="4" t="n"/>
      <c r="D1247" s="5" t="n"/>
      <c r="E1247" s="5" t="n"/>
      <c r="G1247" s="6">
        <f>IF(OR(A1247="",D1247="",E1247=""),"",ROUND(MOD(E1247-D1247,1)*24-N(F1247)/60,2))</f>
        <v/>
      </c>
      <c r="H1247" s="7">
        <f>IF(C1247="","",IFERROR(INDEX(Sites!$B$2:$B$501,MATCH(C1247,Sites!$A$2:$A$501,0)),"?"))</f>
        <v/>
      </c>
      <c r="I1247" s="8">
        <f>IF(A1247="","",A1247-WEEKDAY(A1247,3))</f>
        <v/>
      </c>
      <c r="K1247" s="7">
        <f>IF(A1247="","",IF(OR(B1247="",C1247="",D1247="",E1247=""),"Missing info",IF(ISNA(MATCH(B1247,Staff!$A$2:$A$101,0)),"Unknown employee",IF(H1247="?","Unknown site",IF(G1247&lt;=0,"Check times",IF(G1247&gt;12,"Over 12h",IF(COUNTIFS($L$2:$L$2001,L1247)&gt;1,"Duplicate?",IF(A1247&gt;TODAY(),"Future date","OK"))))))))</f>
        <v/>
      </c>
      <c r="L1247">
        <f>IF(A1247="","",TEXT(A1247,"yyyy-mm-dd")&amp;"|"&amp;B1247&amp;"|"&amp;C1247)</f>
        <v/>
      </c>
    </row>
    <row r="1248">
      <c r="A1248" s="4" t="n"/>
      <c r="D1248" s="5" t="n"/>
      <c r="E1248" s="5" t="n"/>
      <c r="G1248" s="6">
        <f>IF(OR(A1248="",D1248="",E1248=""),"",ROUND(MOD(E1248-D1248,1)*24-N(F1248)/60,2))</f>
        <v/>
      </c>
      <c r="H1248" s="7">
        <f>IF(C1248="","",IFERROR(INDEX(Sites!$B$2:$B$501,MATCH(C1248,Sites!$A$2:$A$501,0)),"?"))</f>
        <v/>
      </c>
      <c r="I1248" s="8">
        <f>IF(A1248="","",A1248-WEEKDAY(A1248,3))</f>
        <v/>
      </c>
      <c r="K1248" s="7">
        <f>IF(A1248="","",IF(OR(B1248="",C1248="",D1248="",E1248=""),"Missing info",IF(ISNA(MATCH(B1248,Staff!$A$2:$A$101,0)),"Unknown employee",IF(H1248="?","Unknown site",IF(G1248&lt;=0,"Check times",IF(G1248&gt;12,"Over 12h",IF(COUNTIFS($L$2:$L$2001,L1248)&gt;1,"Duplicate?",IF(A1248&gt;TODAY(),"Future date","OK"))))))))</f>
        <v/>
      </c>
      <c r="L1248">
        <f>IF(A1248="","",TEXT(A1248,"yyyy-mm-dd")&amp;"|"&amp;B1248&amp;"|"&amp;C1248)</f>
        <v/>
      </c>
    </row>
    <row r="1249">
      <c r="A1249" s="4" t="n"/>
      <c r="D1249" s="5" t="n"/>
      <c r="E1249" s="5" t="n"/>
      <c r="G1249" s="6">
        <f>IF(OR(A1249="",D1249="",E1249=""),"",ROUND(MOD(E1249-D1249,1)*24-N(F1249)/60,2))</f>
        <v/>
      </c>
      <c r="H1249" s="7">
        <f>IF(C1249="","",IFERROR(INDEX(Sites!$B$2:$B$501,MATCH(C1249,Sites!$A$2:$A$501,0)),"?"))</f>
        <v/>
      </c>
      <c r="I1249" s="8">
        <f>IF(A1249="","",A1249-WEEKDAY(A1249,3))</f>
        <v/>
      </c>
      <c r="K1249" s="7">
        <f>IF(A1249="","",IF(OR(B1249="",C1249="",D1249="",E1249=""),"Missing info",IF(ISNA(MATCH(B1249,Staff!$A$2:$A$101,0)),"Unknown employee",IF(H1249="?","Unknown site",IF(G1249&lt;=0,"Check times",IF(G1249&gt;12,"Over 12h",IF(COUNTIFS($L$2:$L$2001,L1249)&gt;1,"Duplicate?",IF(A1249&gt;TODAY(),"Future date","OK"))))))))</f>
        <v/>
      </c>
      <c r="L1249">
        <f>IF(A1249="","",TEXT(A1249,"yyyy-mm-dd")&amp;"|"&amp;B1249&amp;"|"&amp;C1249)</f>
        <v/>
      </c>
    </row>
    <row r="1250">
      <c r="A1250" s="4" t="n"/>
      <c r="D1250" s="5" t="n"/>
      <c r="E1250" s="5" t="n"/>
      <c r="G1250" s="6">
        <f>IF(OR(A1250="",D1250="",E1250=""),"",ROUND(MOD(E1250-D1250,1)*24-N(F1250)/60,2))</f>
        <v/>
      </c>
      <c r="H1250" s="7">
        <f>IF(C1250="","",IFERROR(INDEX(Sites!$B$2:$B$501,MATCH(C1250,Sites!$A$2:$A$501,0)),"?"))</f>
        <v/>
      </c>
      <c r="I1250" s="8">
        <f>IF(A1250="","",A1250-WEEKDAY(A1250,3))</f>
        <v/>
      </c>
      <c r="K1250" s="7">
        <f>IF(A1250="","",IF(OR(B1250="",C1250="",D1250="",E1250=""),"Missing info",IF(ISNA(MATCH(B1250,Staff!$A$2:$A$101,0)),"Unknown employee",IF(H1250="?","Unknown site",IF(G1250&lt;=0,"Check times",IF(G1250&gt;12,"Over 12h",IF(COUNTIFS($L$2:$L$2001,L1250)&gt;1,"Duplicate?",IF(A1250&gt;TODAY(),"Future date","OK"))))))))</f>
        <v/>
      </c>
      <c r="L1250">
        <f>IF(A1250="","",TEXT(A1250,"yyyy-mm-dd")&amp;"|"&amp;B1250&amp;"|"&amp;C1250)</f>
        <v/>
      </c>
    </row>
    <row r="1251">
      <c r="A1251" s="4" t="n"/>
      <c r="D1251" s="5" t="n"/>
      <c r="E1251" s="5" t="n"/>
      <c r="G1251" s="6">
        <f>IF(OR(A1251="",D1251="",E1251=""),"",ROUND(MOD(E1251-D1251,1)*24-N(F1251)/60,2))</f>
        <v/>
      </c>
      <c r="H1251" s="7">
        <f>IF(C1251="","",IFERROR(INDEX(Sites!$B$2:$B$501,MATCH(C1251,Sites!$A$2:$A$501,0)),"?"))</f>
        <v/>
      </c>
      <c r="I1251" s="8">
        <f>IF(A1251="","",A1251-WEEKDAY(A1251,3))</f>
        <v/>
      </c>
      <c r="K1251" s="7">
        <f>IF(A1251="","",IF(OR(B1251="",C1251="",D1251="",E1251=""),"Missing info",IF(ISNA(MATCH(B1251,Staff!$A$2:$A$101,0)),"Unknown employee",IF(H1251="?","Unknown site",IF(G1251&lt;=0,"Check times",IF(G1251&gt;12,"Over 12h",IF(COUNTIFS($L$2:$L$2001,L1251)&gt;1,"Duplicate?",IF(A1251&gt;TODAY(),"Future date","OK"))))))))</f>
        <v/>
      </c>
      <c r="L1251">
        <f>IF(A1251="","",TEXT(A1251,"yyyy-mm-dd")&amp;"|"&amp;B1251&amp;"|"&amp;C1251)</f>
        <v/>
      </c>
    </row>
    <row r="1252">
      <c r="A1252" s="4" t="n"/>
      <c r="D1252" s="5" t="n"/>
      <c r="E1252" s="5" t="n"/>
      <c r="G1252" s="6">
        <f>IF(OR(A1252="",D1252="",E1252=""),"",ROUND(MOD(E1252-D1252,1)*24-N(F1252)/60,2))</f>
        <v/>
      </c>
      <c r="H1252" s="7">
        <f>IF(C1252="","",IFERROR(INDEX(Sites!$B$2:$B$501,MATCH(C1252,Sites!$A$2:$A$501,0)),"?"))</f>
        <v/>
      </c>
      <c r="I1252" s="8">
        <f>IF(A1252="","",A1252-WEEKDAY(A1252,3))</f>
        <v/>
      </c>
      <c r="K1252" s="7">
        <f>IF(A1252="","",IF(OR(B1252="",C1252="",D1252="",E1252=""),"Missing info",IF(ISNA(MATCH(B1252,Staff!$A$2:$A$101,0)),"Unknown employee",IF(H1252="?","Unknown site",IF(G1252&lt;=0,"Check times",IF(G1252&gt;12,"Over 12h",IF(COUNTIFS($L$2:$L$2001,L1252)&gt;1,"Duplicate?",IF(A1252&gt;TODAY(),"Future date","OK"))))))))</f>
        <v/>
      </c>
      <c r="L1252">
        <f>IF(A1252="","",TEXT(A1252,"yyyy-mm-dd")&amp;"|"&amp;B1252&amp;"|"&amp;C1252)</f>
        <v/>
      </c>
    </row>
    <row r="1253">
      <c r="A1253" s="4" t="n"/>
      <c r="D1253" s="5" t="n"/>
      <c r="E1253" s="5" t="n"/>
      <c r="G1253" s="6">
        <f>IF(OR(A1253="",D1253="",E1253=""),"",ROUND(MOD(E1253-D1253,1)*24-N(F1253)/60,2))</f>
        <v/>
      </c>
      <c r="H1253" s="7">
        <f>IF(C1253="","",IFERROR(INDEX(Sites!$B$2:$B$501,MATCH(C1253,Sites!$A$2:$A$501,0)),"?"))</f>
        <v/>
      </c>
      <c r="I1253" s="8">
        <f>IF(A1253="","",A1253-WEEKDAY(A1253,3))</f>
        <v/>
      </c>
      <c r="K1253" s="7">
        <f>IF(A1253="","",IF(OR(B1253="",C1253="",D1253="",E1253=""),"Missing info",IF(ISNA(MATCH(B1253,Staff!$A$2:$A$101,0)),"Unknown employee",IF(H1253="?","Unknown site",IF(G1253&lt;=0,"Check times",IF(G1253&gt;12,"Over 12h",IF(COUNTIFS($L$2:$L$2001,L1253)&gt;1,"Duplicate?",IF(A1253&gt;TODAY(),"Future date","OK"))))))))</f>
        <v/>
      </c>
      <c r="L1253">
        <f>IF(A1253="","",TEXT(A1253,"yyyy-mm-dd")&amp;"|"&amp;B1253&amp;"|"&amp;C1253)</f>
        <v/>
      </c>
    </row>
    <row r="1254">
      <c r="A1254" s="4" t="n"/>
      <c r="D1254" s="5" t="n"/>
      <c r="E1254" s="5" t="n"/>
      <c r="G1254" s="6">
        <f>IF(OR(A1254="",D1254="",E1254=""),"",ROUND(MOD(E1254-D1254,1)*24-N(F1254)/60,2))</f>
        <v/>
      </c>
      <c r="H1254" s="7">
        <f>IF(C1254="","",IFERROR(INDEX(Sites!$B$2:$B$501,MATCH(C1254,Sites!$A$2:$A$501,0)),"?"))</f>
        <v/>
      </c>
      <c r="I1254" s="8">
        <f>IF(A1254="","",A1254-WEEKDAY(A1254,3))</f>
        <v/>
      </c>
      <c r="K1254" s="7">
        <f>IF(A1254="","",IF(OR(B1254="",C1254="",D1254="",E1254=""),"Missing info",IF(ISNA(MATCH(B1254,Staff!$A$2:$A$101,0)),"Unknown employee",IF(H1254="?","Unknown site",IF(G1254&lt;=0,"Check times",IF(G1254&gt;12,"Over 12h",IF(COUNTIFS($L$2:$L$2001,L1254)&gt;1,"Duplicate?",IF(A1254&gt;TODAY(),"Future date","OK"))))))))</f>
        <v/>
      </c>
      <c r="L1254">
        <f>IF(A1254="","",TEXT(A1254,"yyyy-mm-dd")&amp;"|"&amp;B1254&amp;"|"&amp;C1254)</f>
        <v/>
      </c>
    </row>
    <row r="1255">
      <c r="A1255" s="4" t="n"/>
      <c r="D1255" s="5" t="n"/>
      <c r="E1255" s="5" t="n"/>
      <c r="G1255" s="6">
        <f>IF(OR(A1255="",D1255="",E1255=""),"",ROUND(MOD(E1255-D1255,1)*24-N(F1255)/60,2))</f>
        <v/>
      </c>
      <c r="H1255" s="7">
        <f>IF(C1255="","",IFERROR(INDEX(Sites!$B$2:$B$501,MATCH(C1255,Sites!$A$2:$A$501,0)),"?"))</f>
        <v/>
      </c>
      <c r="I1255" s="8">
        <f>IF(A1255="","",A1255-WEEKDAY(A1255,3))</f>
        <v/>
      </c>
      <c r="K1255" s="7">
        <f>IF(A1255="","",IF(OR(B1255="",C1255="",D1255="",E1255=""),"Missing info",IF(ISNA(MATCH(B1255,Staff!$A$2:$A$101,0)),"Unknown employee",IF(H1255="?","Unknown site",IF(G1255&lt;=0,"Check times",IF(G1255&gt;12,"Over 12h",IF(COUNTIFS($L$2:$L$2001,L1255)&gt;1,"Duplicate?",IF(A1255&gt;TODAY(),"Future date","OK"))))))))</f>
        <v/>
      </c>
      <c r="L1255">
        <f>IF(A1255="","",TEXT(A1255,"yyyy-mm-dd")&amp;"|"&amp;B1255&amp;"|"&amp;C1255)</f>
        <v/>
      </c>
    </row>
    <row r="1256">
      <c r="A1256" s="4" t="n"/>
      <c r="D1256" s="5" t="n"/>
      <c r="E1256" s="5" t="n"/>
      <c r="G1256" s="6">
        <f>IF(OR(A1256="",D1256="",E1256=""),"",ROUND(MOD(E1256-D1256,1)*24-N(F1256)/60,2))</f>
        <v/>
      </c>
      <c r="H1256" s="7">
        <f>IF(C1256="","",IFERROR(INDEX(Sites!$B$2:$B$501,MATCH(C1256,Sites!$A$2:$A$501,0)),"?"))</f>
        <v/>
      </c>
      <c r="I1256" s="8">
        <f>IF(A1256="","",A1256-WEEKDAY(A1256,3))</f>
        <v/>
      </c>
      <c r="K1256" s="7">
        <f>IF(A1256="","",IF(OR(B1256="",C1256="",D1256="",E1256=""),"Missing info",IF(ISNA(MATCH(B1256,Staff!$A$2:$A$101,0)),"Unknown employee",IF(H1256="?","Unknown site",IF(G1256&lt;=0,"Check times",IF(G1256&gt;12,"Over 12h",IF(COUNTIFS($L$2:$L$2001,L1256)&gt;1,"Duplicate?",IF(A1256&gt;TODAY(),"Future date","OK"))))))))</f>
        <v/>
      </c>
      <c r="L1256">
        <f>IF(A1256="","",TEXT(A1256,"yyyy-mm-dd")&amp;"|"&amp;B1256&amp;"|"&amp;C1256)</f>
        <v/>
      </c>
    </row>
    <row r="1257">
      <c r="A1257" s="4" t="n"/>
      <c r="D1257" s="5" t="n"/>
      <c r="E1257" s="5" t="n"/>
      <c r="G1257" s="6">
        <f>IF(OR(A1257="",D1257="",E1257=""),"",ROUND(MOD(E1257-D1257,1)*24-N(F1257)/60,2))</f>
        <v/>
      </c>
      <c r="H1257" s="7">
        <f>IF(C1257="","",IFERROR(INDEX(Sites!$B$2:$B$501,MATCH(C1257,Sites!$A$2:$A$501,0)),"?"))</f>
        <v/>
      </c>
      <c r="I1257" s="8">
        <f>IF(A1257="","",A1257-WEEKDAY(A1257,3))</f>
        <v/>
      </c>
      <c r="K1257" s="7">
        <f>IF(A1257="","",IF(OR(B1257="",C1257="",D1257="",E1257=""),"Missing info",IF(ISNA(MATCH(B1257,Staff!$A$2:$A$101,0)),"Unknown employee",IF(H1257="?","Unknown site",IF(G1257&lt;=0,"Check times",IF(G1257&gt;12,"Over 12h",IF(COUNTIFS($L$2:$L$2001,L1257)&gt;1,"Duplicate?",IF(A1257&gt;TODAY(),"Future date","OK"))))))))</f>
        <v/>
      </c>
      <c r="L1257">
        <f>IF(A1257="","",TEXT(A1257,"yyyy-mm-dd")&amp;"|"&amp;B1257&amp;"|"&amp;C1257)</f>
        <v/>
      </c>
    </row>
    <row r="1258">
      <c r="A1258" s="4" t="n"/>
      <c r="D1258" s="5" t="n"/>
      <c r="E1258" s="5" t="n"/>
      <c r="G1258" s="6">
        <f>IF(OR(A1258="",D1258="",E1258=""),"",ROUND(MOD(E1258-D1258,1)*24-N(F1258)/60,2))</f>
        <v/>
      </c>
      <c r="H1258" s="7">
        <f>IF(C1258="","",IFERROR(INDEX(Sites!$B$2:$B$501,MATCH(C1258,Sites!$A$2:$A$501,0)),"?"))</f>
        <v/>
      </c>
      <c r="I1258" s="8">
        <f>IF(A1258="","",A1258-WEEKDAY(A1258,3))</f>
        <v/>
      </c>
      <c r="K1258" s="7">
        <f>IF(A1258="","",IF(OR(B1258="",C1258="",D1258="",E1258=""),"Missing info",IF(ISNA(MATCH(B1258,Staff!$A$2:$A$101,0)),"Unknown employee",IF(H1258="?","Unknown site",IF(G1258&lt;=0,"Check times",IF(G1258&gt;12,"Over 12h",IF(COUNTIFS($L$2:$L$2001,L1258)&gt;1,"Duplicate?",IF(A1258&gt;TODAY(),"Future date","OK"))))))))</f>
        <v/>
      </c>
      <c r="L1258">
        <f>IF(A1258="","",TEXT(A1258,"yyyy-mm-dd")&amp;"|"&amp;B1258&amp;"|"&amp;C1258)</f>
        <v/>
      </c>
    </row>
    <row r="1259">
      <c r="A1259" s="4" t="n"/>
      <c r="D1259" s="5" t="n"/>
      <c r="E1259" s="5" t="n"/>
      <c r="G1259" s="6">
        <f>IF(OR(A1259="",D1259="",E1259=""),"",ROUND(MOD(E1259-D1259,1)*24-N(F1259)/60,2))</f>
        <v/>
      </c>
      <c r="H1259" s="7">
        <f>IF(C1259="","",IFERROR(INDEX(Sites!$B$2:$B$501,MATCH(C1259,Sites!$A$2:$A$501,0)),"?"))</f>
        <v/>
      </c>
      <c r="I1259" s="8">
        <f>IF(A1259="","",A1259-WEEKDAY(A1259,3))</f>
        <v/>
      </c>
      <c r="K1259" s="7">
        <f>IF(A1259="","",IF(OR(B1259="",C1259="",D1259="",E1259=""),"Missing info",IF(ISNA(MATCH(B1259,Staff!$A$2:$A$101,0)),"Unknown employee",IF(H1259="?","Unknown site",IF(G1259&lt;=0,"Check times",IF(G1259&gt;12,"Over 12h",IF(COUNTIFS($L$2:$L$2001,L1259)&gt;1,"Duplicate?",IF(A1259&gt;TODAY(),"Future date","OK"))))))))</f>
        <v/>
      </c>
      <c r="L1259">
        <f>IF(A1259="","",TEXT(A1259,"yyyy-mm-dd")&amp;"|"&amp;B1259&amp;"|"&amp;C1259)</f>
        <v/>
      </c>
    </row>
    <row r="1260">
      <c r="A1260" s="4" t="n"/>
      <c r="D1260" s="5" t="n"/>
      <c r="E1260" s="5" t="n"/>
      <c r="G1260" s="6">
        <f>IF(OR(A1260="",D1260="",E1260=""),"",ROUND(MOD(E1260-D1260,1)*24-N(F1260)/60,2))</f>
        <v/>
      </c>
      <c r="H1260" s="7">
        <f>IF(C1260="","",IFERROR(INDEX(Sites!$B$2:$B$501,MATCH(C1260,Sites!$A$2:$A$501,0)),"?"))</f>
        <v/>
      </c>
      <c r="I1260" s="8">
        <f>IF(A1260="","",A1260-WEEKDAY(A1260,3))</f>
        <v/>
      </c>
      <c r="K1260" s="7">
        <f>IF(A1260="","",IF(OR(B1260="",C1260="",D1260="",E1260=""),"Missing info",IF(ISNA(MATCH(B1260,Staff!$A$2:$A$101,0)),"Unknown employee",IF(H1260="?","Unknown site",IF(G1260&lt;=0,"Check times",IF(G1260&gt;12,"Over 12h",IF(COUNTIFS($L$2:$L$2001,L1260)&gt;1,"Duplicate?",IF(A1260&gt;TODAY(),"Future date","OK"))))))))</f>
        <v/>
      </c>
      <c r="L1260">
        <f>IF(A1260="","",TEXT(A1260,"yyyy-mm-dd")&amp;"|"&amp;B1260&amp;"|"&amp;C1260)</f>
        <v/>
      </c>
    </row>
    <row r="1261">
      <c r="A1261" s="4" t="n"/>
      <c r="D1261" s="5" t="n"/>
      <c r="E1261" s="5" t="n"/>
      <c r="G1261" s="6">
        <f>IF(OR(A1261="",D1261="",E1261=""),"",ROUND(MOD(E1261-D1261,1)*24-N(F1261)/60,2))</f>
        <v/>
      </c>
      <c r="H1261" s="7">
        <f>IF(C1261="","",IFERROR(INDEX(Sites!$B$2:$B$501,MATCH(C1261,Sites!$A$2:$A$501,0)),"?"))</f>
        <v/>
      </c>
      <c r="I1261" s="8">
        <f>IF(A1261="","",A1261-WEEKDAY(A1261,3))</f>
        <v/>
      </c>
      <c r="K1261" s="7">
        <f>IF(A1261="","",IF(OR(B1261="",C1261="",D1261="",E1261=""),"Missing info",IF(ISNA(MATCH(B1261,Staff!$A$2:$A$101,0)),"Unknown employee",IF(H1261="?","Unknown site",IF(G1261&lt;=0,"Check times",IF(G1261&gt;12,"Over 12h",IF(COUNTIFS($L$2:$L$2001,L1261)&gt;1,"Duplicate?",IF(A1261&gt;TODAY(),"Future date","OK"))))))))</f>
        <v/>
      </c>
      <c r="L1261">
        <f>IF(A1261="","",TEXT(A1261,"yyyy-mm-dd")&amp;"|"&amp;B1261&amp;"|"&amp;C1261)</f>
        <v/>
      </c>
    </row>
    <row r="1262">
      <c r="A1262" s="4" t="n"/>
      <c r="D1262" s="5" t="n"/>
      <c r="E1262" s="5" t="n"/>
      <c r="G1262" s="6">
        <f>IF(OR(A1262="",D1262="",E1262=""),"",ROUND(MOD(E1262-D1262,1)*24-N(F1262)/60,2))</f>
        <v/>
      </c>
      <c r="H1262" s="7">
        <f>IF(C1262="","",IFERROR(INDEX(Sites!$B$2:$B$501,MATCH(C1262,Sites!$A$2:$A$501,0)),"?"))</f>
        <v/>
      </c>
      <c r="I1262" s="8">
        <f>IF(A1262="","",A1262-WEEKDAY(A1262,3))</f>
        <v/>
      </c>
      <c r="K1262" s="7">
        <f>IF(A1262="","",IF(OR(B1262="",C1262="",D1262="",E1262=""),"Missing info",IF(ISNA(MATCH(B1262,Staff!$A$2:$A$101,0)),"Unknown employee",IF(H1262="?","Unknown site",IF(G1262&lt;=0,"Check times",IF(G1262&gt;12,"Over 12h",IF(COUNTIFS($L$2:$L$2001,L1262)&gt;1,"Duplicate?",IF(A1262&gt;TODAY(),"Future date","OK"))))))))</f>
        <v/>
      </c>
      <c r="L1262">
        <f>IF(A1262="","",TEXT(A1262,"yyyy-mm-dd")&amp;"|"&amp;B1262&amp;"|"&amp;C1262)</f>
        <v/>
      </c>
    </row>
    <row r="1263">
      <c r="A1263" s="4" t="n"/>
      <c r="D1263" s="5" t="n"/>
      <c r="E1263" s="5" t="n"/>
      <c r="G1263" s="6">
        <f>IF(OR(A1263="",D1263="",E1263=""),"",ROUND(MOD(E1263-D1263,1)*24-N(F1263)/60,2))</f>
        <v/>
      </c>
      <c r="H1263" s="7">
        <f>IF(C1263="","",IFERROR(INDEX(Sites!$B$2:$B$501,MATCH(C1263,Sites!$A$2:$A$501,0)),"?"))</f>
        <v/>
      </c>
      <c r="I1263" s="8">
        <f>IF(A1263="","",A1263-WEEKDAY(A1263,3))</f>
        <v/>
      </c>
      <c r="K1263" s="7">
        <f>IF(A1263="","",IF(OR(B1263="",C1263="",D1263="",E1263=""),"Missing info",IF(ISNA(MATCH(B1263,Staff!$A$2:$A$101,0)),"Unknown employee",IF(H1263="?","Unknown site",IF(G1263&lt;=0,"Check times",IF(G1263&gt;12,"Over 12h",IF(COUNTIFS($L$2:$L$2001,L1263)&gt;1,"Duplicate?",IF(A1263&gt;TODAY(),"Future date","OK"))))))))</f>
        <v/>
      </c>
      <c r="L1263">
        <f>IF(A1263="","",TEXT(A1263,"yyyy-mm-dd")&amp;"|"&amp;B1263&amp;"|"&amp;C1263)</f>
        <v/>
      </c>
    </row>
    <row r="1264">
      <c r="A1264" s="4" t="n"/>
      <c r="D1264" s="5" t="n"/>
      <c r="E1264" s="5" t="n"/>
      <c r="G1264" s="6">
        <f>IF(OR(A1264="",D1264="",E1264=""),"",ROUND(MOD(E1264-D1264,1)*24-N(F1264)/60,2))</f>
        <v/>
      </c>
      <c r="H1264" s="7">
        <f>IF(C1264="","",IFERROR(INDEX(Sites!$B$2:$B$501,MATCH(C1264,Sites!$A$2:$A$501,0)),"?"))</f>
        <v/>
      </c>
      <c r="I1264" s="8">
        <f>IF(A1264="","",A1264-WEEKDAY(A1264,3))</f>
        <v/>
      </c>
      <c r="K1264" s="7">
        <f>IF(A1264="","",IF(OR(B1264="",C1264="",D1264="",E1264=""),"Missing info",IF(ISNA(MATCH(B1264,Staff!$A$2:$A$101,0)),"Unknown employee",IF(H1264="?","Unknown site",IF(G1264&lt;=0,"Check times",IF(G1264&gt;12,"Over 12h",IF(COUNTIFS($L$2:$L$2001,L1264)&gt;1,"Duplicate?",IF(A1264&gt;TODAY(),"Future date","OK"))))))))</f>
        <v/>
      </c>
      <c r="L1264">
        <f>IF(A1264="","",TEXT(A1264,"yyyy-mm-dd")&amp;"|"&amp;B1264&amp;"|"&amp;C1264)</f>
        <v/>
      </c>
    </row>
    <row r="1265">
      <c r="A1265" s="4" t="n"/>
      <c r="D1265" s="5" t="n"/>
      <c r="E1265" s="5" t="n"/>
      <c r="G1265" s="6">
        <f>IF(OR(A1265="",D1265="",E1265=""),"",ROUND(MOD(E1265-D1265,1)*24-N(F1265)/60,2))</f>
        <v/>
      </c>
      <c r="H1265" s="7">
        <f>IF(C1265="","",IFERROR(INDEX(Sites!$B$2:$B$501,MATCH(C1265,Sites!$A$2:$A$501,0)),"?"))</f>
        <v/>
      </c>
      <c r="I1265" s="8">
        <f>IF(A1265="","",A1265-WEEKDAY(A1265,3))</f>
        <v/>
      </c>
      <c r="K1265" s="7">
        <f>IF(A1265="","",IF(OR(B1265="",C1265="",D1265="",E1265=""),"Missing info",IF(ISNA(MATCH(B1265,Staff!$A$2:$A$101,0)),"Unknown employee",IF(H1265="?","Unknown site",IF(G1265&lt;=0,"Check times",IF(G1265&gt;12,"Over 12h",IF(COUNTIFS($L$2:$L$2001,L1265)&gt;1,"Duplicate?",IF(A1265&gt;TODAY(),"Future date","OK"))))))))</f>
        <v/>
      </c>
      <c r="L1265">
        <f>IF(A1265="","",TEXT(A1265,"yyyy-mm-dd")&amp;"|"&amp;B1265&amp;"|"&amp;C1265)</f>
        <v/>
      </c>
    </row>
    <row r="1266">
      <c r="A1266" s="4" t="n"/>
      <c r="D1266" s="5" t="n"/>
      <c r="E1266" s="5" t="n"/>
      <c r="G1266" s="6">
        <f>IF(OR(A1266="",D1266="",E1266=""),"",ROUND(MOD(E1266-D1266,1)*24-N(F1266)/60,2))</f>
        <v/>
      </c>
      <c r="H1266" s="7">
        <f>IF(C1266="","",IFERROR(INDEX(Sites!$B$2:$B$501,MATCH(C1266,Sites!$A$2:$A$501,0)),"?"))</f>
        <v/>
      </c>
      <c r="I1266" s="8">
        <f>IF(A1266="","",A1266-WEEKDAY(A1266,3))</f>
        <v/>
      </c>
      <c r="K1266" s="7">
        <f>IF(A1266="","",IF(OR(B1266="",C1266="",D1266="",E1266=""),"Missing info",IF(ISNA(MATCH(B1266,Staff!$A$2:$A$101,0)),"Unknown employee",IF(H1266="?","Unknown site",IF(G1266&lt;=0,"Check times",IF(G1266&gt;12,"Over 12h",IF(COUNTIFS($L$2:$L$2001,L1266)&gt;1,"Duplicate?",IF(A1266&gt;TODAY(),"Future date","OK"))))))))</f>
        <v/>
      </c>
      <c r="L1266">
        <f>IF(A1266="","",TEXT(A1266,"yyyy-mm-dd")&amp;"|"&amp;B1266&amp;"|"&amp;C1266)</f>
        <v/>
      </c>
    </row>
    <row r="1267">
      <c r="A1267" s="4" t="n"/>
      <c r="D1267" s="5" t="n"/>
      <c r="E1267" s="5" t="n"/>
      <c r="G1267" s="6">
        <f>IF(OR(A1267="",D1267="",E1267=""),"",ROUND(MOD(E1267-D1267,1)*24-N(F1267)/60,2))</f>
        <v/>
      </c>
      <c r="H1267" s="7">
        <f>IF(C1267="","",IFERROR(INDEX(Sites!$B$2:$B$501,MATCH(C1267,Sites!$A$2:$A$501,0)),"?"))</f>
        <v/>
      </c>
      <c r="I1267" s="8">
        <f>IF(A1267="","",A1267-WEEKDAY(A1267,3))</f>
        <v/>
      </c>
      <c r="K1267" s="7">
        <f>IF(A1267="","",IF(OR(B1267="",C1267="",D1267="",E1267=""),"Missing info",IF(ISNA(MATCH(B1267,Staff!$A$2:$A$101,0)),"Unknown employee",IF(H1267="?","Unknown site",IF(G1267&lt;=0,"Check times",IF(G1267&gt;12,"Over 12h",IF(COUNTIFS($L$2:$L$2001,L1267)&gt;1,"Duplicate?",IF(A1267&gt;TODAY(),"Future date","OK"))))))))</f>
        <v/>
      </c>
      <c r="L1267">
        <f>IF(A1267="","",TEXT(A1267,"yyyy-mm-dd")&amp;"|"&amp;B1267&amp;"|"&amp;C1267)</f>
        <v/>
      </c>
    </row>
    <row r="1268">
      <c r="A1268" s="4" t="n"/>
      <c r="D1268" s="5" t="n"/>
      <c r="E1268" s="5" t="n"/>
      <c r="G1268" s="6">
        <f>IF(OR(A1268="",D1268="",E1268=""),"",ROUND(MOD(E1268-D1268,1)*24-N(F1268)/60,2))</f>
        <v/>
      </c>
      <c r="H1268" s="7">
        <f>IF(C1268="","",IFERROR(INDEX(Sites!$B$2:$B$501,MATCH(C1268,Sites!$A$2:$A$501,0)),"?"))</f>
        <v/>
      </c>
      <c r="I1268" s="8">
        <f>IF(A1268="","",A1268-WEEKDAY(A1268,3))</f>
        <v/>
      </c>
      <c r="K1268" s="7">
        <f>IF(A1268="","",IF(OR(B1268="",C1268="",D1268="",E1268=""),"Missing info",IF(ISNA(MATCH(B1268,Staff!$A$2:$A$101,0)),"Unknown employee",IF(H1268="?","Unknown site",IF(G1268&lt;=0,"Check times",IF(G1268&gt;12,"Over 12h",IF(COUNTIFS($L$2:$L$2001,L1268)&gt;1,"Duplicate?",IF(A1268&gt;TODAY(),"Future date","OK"))))))))</f>
        <v/>
      </c>
      <c r="L1268">
        <f>IF(A1268="","",TEXT(A1268,"yyyy-mm-dd")&amp;"|"&amp;B1268&amp;"|"&amp;C1268)</f>
        <v/>
      </c>
    </row>
    <row r="1269">
      <c r="A1269" s="4" t="n"/>
      <c r="D1269" s="5" t="n"/>
      <c r="E1269" s="5" t="n"/>
      <c r="G1269" s="6">
        <f>IF(OR(A1269="",D1269="",E1269=""),"",ROUND(MOD(E1269-D1269,1)*24-N(F1269)/60,2))</f>
        <v/>
      </c>
      <c r="H1269" s="7">
        <f>IF(C1269="","",IFERROR(INDEX(Sites!$B$2:$B$501,MATCH(C1269,Sites!$A$2:$A$501,0)),"?"))</f>
        <v/>
      </c>
      <c r="I1269" s="8">
        <f>IF(A1269="","",A1269-WEEKDAY(A1269,3))</f>
        <v/>
      </c>
      <c r="K1269" s="7">
        <f>IF(A1269="","",IF(OR(B1269="",C1269="",D1269="",E1269=""),"Missing info",IF(ISNA(MATCH(B1269,Staff!$A$2:$A$101,0)),"Unknown employee",IF(H1269="?","Unknown site",IF(G1269&lt;=0,"Check times",IF(G1269&gt;12,"Over 12h",IF(COUNTIFS($L$2:$L$2001,L1269)&gt;1,"Duplicate?",IF(A1269&gt;TODAY(),"Future date","OK"))))))))</f>
        <v/>
      </c>
      <c r="L1269">
        <f>IF(A1269="","",TEXT(A1269,"yyyy-mm-dd")&amp;"|"&amp;B1269&amp;"|"&amp;C1269)</f>
        <v/>
      </c>
    </row>
    <row r="1270">
      <c r="A1270" s="4" t="n"/>
      <c r="D1270" s="5" t="n"/>
      <c r="E1270" s="5" t="n"/>
      <c r="G1270" s="6">
        <f>IF(OR(A1270="",D1270="",E1270=""),"",ROUND(MOD(E1270-D1270,1)*24-N(F1270)/60,2))</f>
        <v/>
      </c>
      <c r="H1270" s="7">
        <f>IF(C1270="","",IFERROR(INDEX(Sites!$B$2:$B$501,MATCH(C1270,Sites!$A$2:$A$501,0)),"?"))</f>
        <v/>
      </c>
      <c r="I1270" s="8">
        <f>IF(A1270="","",A1270-WEEKDAY(A1270,3))</f>
        <v/>
      </c>
      <c r="K1270" s="7">
        <f>IF(A1270="","",IF(OR(B1270="",C1270="",D1270="",E1270=""),"Missing info",IF(ISNA(MATCH(B1270,Staff!$A$2:$A$101,0)),"Unknown employee",IF(H1270="?","Unknown site",IF(G1270&lt;=0,"Check times",IF(G1270&gt;12,"Over 12h",IF(COUNTIFS($L$2:$L$2001,L1270)&gt;1,"Duplicate?",IF(A1270&gt;TODAY(),"Future date","OK"))))))))</f>
        <v/>
      </c>
      <c r="L1270">
        <f>IF(A1270="","",TEXT(A1270,"yyyy-mm-dd")&amp;"|"&amp;B1270&amp;"|"&amp;C1270)</f>
        <v/>
      </c>
    </row>
    <row r="1271">
      <c r="A1271" s="4" t="n"/>
      <c r="D1271" s="5" t="n"/>
      <c r="E1271" s="5" t="n"/>
      <c r="G1271" s="6">
        <f>IF(OR(A1271="",D1271="",E1271=""),"",ROUND(MOD(E1271-D1271,1)*24-N(F1271)/60,2))</f>
        <v/>
      </c>
      <c r="H1271" s="7">
        <f>IF(C1271="","",IFERROR(INDEX(Sites!$B$2:$B$501,MATCH(C1271,Sites!$A$2:$A$501,0)),"?"))</f>
        <v/>
      </c>
      <c r="I1271" s="8">
        <f>IF(A1271="","",A1271-WEEKDAY(A1271,3))</f>
        <v/>
      </c>
      <c r="K1271" s="7">
        <f>IF(A1271="","",IF(OR(B1271="",C1271="",D1271="",E1271=""),"Missing info",IF(ISNA(MATCH(B1271,Staff!$A$2:$A$101,0)),"Unknown employee",IF(H1271="?","Unknown site",IF(G1271&lt;=0,"Check times",IF(G1271&gt;12,"Over 12h",IF(COUNTIFS($L$2:$L$2001,L1271)&gt;1,"Duplicate?",IF(A1271&gt;TODAY(),"Future date","OK"))))))))</f>
        <v/>
      </c>
      <c r="L1271">
        <f>IF(A1271="","",TEXT(A1271,"yyyy-mm-dd")&amp;"|"&amp;B1271&amp;"|"&amp;C1271)</f>
        <v/>
      </c>
    </row>
    <row r="1272">
      <c r="A1272" s="4" t="n"/>
      <c r="D1272" s="5" t="n"/>
      <c r="E1272" s="5" t="n"/>
      <c r="G1272" s="6">
        <f>IF(OR(A1272="",D1272="",E1272=""),"",ROUND(MOD(E1272-D1272,1)*24-N(F1272)/60,2))</f>
        <v/>
      </c>
      <c r="H1272" s="7">
        <f>IF(C1272="","",IFERROR(INDEX(Sites!$B$2:$B$501,MATCH(C1272,Sites!$A$2:$A$501,0)),"?"))</f>
        <v/>
      </c>
      <c r="I1272" s="8">
        <f>IF(A1272="","",A1272-WEEKDAY(A1272,3))</f>
        <v/>
      </c>
      <c r="K1272" s="7">
        <f>IF(A1272="","",IF(OR(B1272="",C1272="",D1272="",E1272=""),"Missing info",IF(ISNA(MATCH(B1272,Staff!$A$2:$A$101,0)),"Unknown employee",IF(H1272="?","Unknown site",IF(G1272&lt;=0,"Check times",IF(G1272&gt;12,"Over 12h",IF(COUNTIFS($L$2:$L$2001,L1272)&gt;1,"Duplicate?",IF(A1272&gt;TODAY(),"Future date","OK"))))))))</f>
        <v/>
      </c>
      <c r="L1272">
        <f>IF(A1272="","",TEXT(A1272,"yyyy-mm-dd")&amp;"|"&amp;B1272&amp;"|"&amp;C1272)</f>
        <v/>
      </c>
    </row>
    <row r="1273">
      <c r="A1273" s="4" t="n"/>
      <c r="D1273" s="5" t="n"/>
      <c r="E1273" s="5" t="n"/>
      <c r="G1273" s="6">
        <f>IF(OR(A1273="",D1273="",E1273=""),"",ROUND(MOD(E1273-D1273,1)*24-N(F1273)/60,2))</f>
        <v/>
      </c>
      <c r="H1273" s="7">
        <f>IF(C1273="","",IFERROR(INDEX(Sites!$B$2:$B$501,MATCH(C1273,Sites!$A$2:$A$501,0)),"?"))</f>
        <v/>
      </c>
      <c r="I1273" s="8">
        <f>IF(A1273="","",A1273-WEEKDAY(A1273,3))</f>
        <v/>
      </c>
      <c r="K1273" s="7">
        <f>IF(A1273="","",IF(OR(B1273="",C1273="",D1273="",E1273=""),"Missing info",IF(ISNA(MATCH(B1273,Staff!$A$2:$A$101,0)),"Unknown employee",IF(H1273="?","Unknown site",IF(G1273&lt;=0,"Check times",IF(G1273&gt;12,"Over 12h",IF(COUNTIFS($L$2:$L$2001,L1273)&gt;1,"Duplicate?",IF(A1273&gt;TODAY(),"Future date","OK"))))))))</f>
        <v/>
      </c>
      <c r="L1273">
        <f>IF(A1273="","",TEXT(A1273,"yyyy-mm-dd")&amp;"|"&amp;B1273&amp;"|"&amp;C1273)</f>
        <v/>
      </c>
    </row>
    <row r="1274">
      <c r="A1274" s="4" t="n"/>
      <c r="D1274" s="5" t="n"/>
      <c r="E1274" s="5" t="n"/>
      <c r="G1274" s="6">
        <f>IF(OR(A1274="",D1274="",E1274=""),"",ROUND(MOD(E1274-D1274,1)*24-N(F1274)/60,2))</f>
        <v/>
      </c>
      <c r="H1274" s="7">
        <f>IF(C1274="","",IFERROR(INDEX(Sites!$B$2:$B$501,MATCH(C1274,Sites!$A$2:$A$501,0)),"?"))</f>
        <v/>
      </c>
      <c r="I1274" s="8">
        <f>IF(A1274="","",A1274-WEEKDAY(A1274,3))</f>
        <v/>
      </c>
      <c r="K1274" s="7">
        <f>IF(A1274="","",IF(OR(B1274="",C1274="",D1274="",E1274=""),"Missing info",IF(ISNA(MATCH(B1274,Staff!$A$2:$A$101,0)),"Unknown employee",IF(H1274="?","Unknown site",IF(G1274&lt;=0,"Check times",IF(G1274&gt;12,"Over 12h",IF(COUNTIFS($L$2:$L$2001,L1274)&gt;1,"Duplicate?",IF(A1274&gt;TODAY(),"Future date","OK"))))))))</f>
        <v/>
      </c>
      <c r="L1274">
        <f>IF(A1274="","",TEXT(A1274,"yyyy-mm-dd")&amp;"|"&amp;B1274&amp;"|"&amp;C1274)</f>
        <v/>
      </c>
    </row>
    <row r="1275">
      <c r="A1275" s="4" t="n"/>
      <c r="D1275" s="5" t="n"/>
      <c r="E1275" s="5" t="n"/>
      <c r="G1275" s="6">
        <f>IF(OR(A1275="",D1275="",E1275=""),"",ROUND(MOD(E1275-D1275,1)*24-N(F1275)/60,2))</f>
        <v/>
      </c>
      <c r="H1275" s="7">
        <f>IF(C1275="","",IFERROR(INDEX(Sites!$B$2:$B$501,MATCH(C1275,Sites!$A$2:$A$501,0)),"?"))</f>
        <v/>
      </c>
      <c r="I1275" s="8">
        <f>IF(A1275="","",A1275-WEEKDAY(A1275,3))</f>
        <v/>
      </c>
      <c r="K1275" s="7">
        <f>IF(A1275="","",IF(OR(B1275="",C1275="",D1275="",E1275=""),"Missing info",IF(ISNA(MATCH(B1275,Staff!$A$2:$A$101,0)),"Unknown employee",IF(H1275="?","Unknown site",IF(G1275&lt;=0,"Check times",IF(G1275&gt;12,"Over 12h",IF(COUNTIFS($L$2:$L$2001,L1275)&gt;1,"Duplicate?",IF(A1275&gt;TODAY(),"Future date","OK"))))))))</f>
        <v/>
      </c>
      <c r="L1275">
        <f>IF(A1275="","",TEXT(A1275,"yyyy-mm-dd")&amp;"|"&amp;B1275&amp;"|"&amp;C1275)</f>
        <v/>
      </c>
    </row>
    <row r="1276">
      <c r="A1276" s="4" t="n"/>
      <c r="D1276" s="5" t="n"/>
      <c r="E1276" s="5" t="n"/>
      <c r="G1276" s="6">
        <f>IF(OR(A1276="",D1276="",E1276=""),"",ROUND(MOD(E1276-D1276,1)*24-N(F1276)/60,2))</f>
        <v/>
      </c>
      <c r="H1276" s="7">
        <f>IF(C1276="","",IFERROR(INDEX(Sites!$B$2:$B$501,MATCH(C1276,Sites!$A$2:$A$501,0)),"?"))</f>
        <v/>
      </c>
      <c r="I1276" s="8">
        <f>IF(A1276="","",A1276-WEEKDAY(A1276,3))</f>
        <v/>
      </c>
      <c r="K1276" s="7">
        <f>IF(A1276="","",IF(OR(B1276="",C1276="",D1276="",E1276=""),"Missing info",IF(ISNA(MATCH(B1276,Staff!$A$2:$A$101,0)),"Unknown employee",IF(H1276="?","Unknown site",IF(G1276&lt;=0,"Check times",IF(G1276&gt;12,"Over 12h",IF(COUNTIFS($L$2:$L$2001,L1276)&gt;1,"Duplicate?",IF(A1276&gt;TODAY(),"Future date","OK"))))))))</f>
        <v/>
      </c>
      <c r="L1276">
        <f>IF(A1276="","",TEXT(A1276,"yyyy-mm-dd")&amp;"|"&amp;B1276&amp;"|"&amp;C1276)</f>
        <v/>
      </c>
    </row>
    <row r="1277">
      <c r="A1277" s="4" t="n"/>
      <c r="D1277" s="5" t="n"/>
      <c r="E1277" s="5" t="n"/>
      <c r="G1277" s="6">
        <f>IF(OR(A1277="",D1277="",E1277=""),"",ROUND(MOD(E1277-D1277,1)*24-N(F1277)/60,2))</f>
        <v/>
      </c>
      <c r="H1277" s="7">
        <f>IF(C1277="","",IFERROR(INDEX(Sites!$B$2:$B$501,MATCH(C1277,Sites!$A$2:$A$501,0)),"?"))</f>
        <v/>
      </c>
      <c r="I1277" s="8">
        <f>IF(A1277="","",A1277-WEEKDAY(A1277,3))</f>
        <v/>
      </c>
      <c r="K1277" s="7">
        <f>IF(A1277="","",IF(OR(B1277="",C1277="",D1277="",E1277=""),"Missing info",IF(ISNA(MATCH(B1277,Staff!$A$2:$A$101,0)),"Unknown employee",IF(H1277="?","Unknown site",IF(G1277&lt;=0,"Check times",IF(G1277&gt;12,"Over 12h",IF(COUNTIFS($L$2:$L$2001,L1277)&gt;1,"Duplicate?",IF(A1277&gt;TODAY(),"Future date","OK"))))))))</f>
        <v/>
      </c>
      <c r="L1277">
        <f>IF(A1277="","",TEXT(A1277,"yyyy-mm-dd")&amp;"|"&amp;B1277&amp;"|"&amp;C1277)</f>
        <v/>
      </c>
    </row>
    <row r="1278">
      <c r="A1278" s="4" t="n"/>
      <c r="D1278" s="5" t="n"/>
      <c r="E1278" s="5" t="n"/>
      <c r="G1278" s="6">
        <f>IF(OR(A1278="",D1278="",E1278=""),"",ROUND(MOD(E1278-D1278,1)*24-N(F1278)/60,2))</f>
        <v/>
      </c>
      <c r="H1278" s="7">
        <f>IF(C1278="","",IFERROR(INDEX(Sites!$B$2:$B$501,MATCH(C1278,Sites!$A$2:$A$501,0)),"?"))</f>
        <v/>
      </c>
      <c r="I1278" s="8">
        <f>IF(A1278="","",A1278-WEEKDAY(A1278,3))</f>
        <v/>
      </c>
      <c r="K1278" s="7">
        <f>IF(A1278="","",IF(OR(B1278="",C1278="",D1278="",E1278=""),"Missing info",IF(ISNA(MATCH(B1278,Staff!$A$2:$A$101,0)),"Unknown employee",IF(H1278="?","Unknown site",IF(G1278&lt;=0,"Check times",IF(G1278&gt;12,"Over 12h",IF(COUNTIFS($L$2:$L$2001,L1278)&gt;1,"Duplicate?",IF(A1278&gt;TODAY(),"Future date","OK"))))))))</f>
        <v/>
      </c>
      <c r="L1278">
        <f>IF(A1278="","",TEXT(A1278,"yyyy-mm-dd")&amp;"|"&amp;B1278&amp;"|"&amp;C1278)</f>
        <v/>
      </c>
    </row>
    <row r="1279">
      <c r="A1279" s="4" t="n"/>
      <c r="D1279" s="5" t="n"/>
      <c r="E1279" s="5" t="n"/>
      <c r="G1279" s="6">
        <f>IF(OR(A1279="",D1279="",E1279=""),"",ROUND(MOD(E1279-D1279,1)*24-N(F1279)/60,2))</f>
        <v/>
      </c>
      <c r="H1279" s="7">
        <f>IF(C1279="","",IFERROR(INDEX(Sites!$B$2:$B$501,MATCH(C1279,Sites!$A$2:$A$501,0)),"?"))</f>
        <v/>
      </c>
      <c r="I1279" s="8">
        <f>IF(A1279="","",A1279-WEEKDAY(A1279,3))</f>
        <v/>
      </c>
      <c r="K1279" s="7">
        <f>IF(A1279="","",IF(OR(B1279="",C1279="",D1279="",E1279=""),"Missing info",IF(ISNA(MATCH(B1279,Staff!$A$2:$A$101,0)),"Unknown employee",IF(H1279="?","Unknown site",IF(G1279&lt;=0,"Check times",IF(G1279&gt;12,"Over 12h",IF(COUNTIFS($L$2:$L$2001,L1279)&gt;1,"Duplicate?",IF(A1279&gt;TODAY(),"Future date","OK"))))))))</f>
        <v/>
      </c>
      <c r="L1279">
        <f>IF(A1279="","",TEXT(A1279,"yyyy-mm-dd")&amp;"|"&amp;B1279&amp;"|"&amp;C1279)</f>
        <v/>
      </c>
    </row>
    <row r="1280">
      <c r="A1280" s="4" t="n"/>
      <c r="D1280" s="5" t="n"/>
      <c r="E1280" s="5" t="n"/>
      <c r="G1280" s="6">
        <f>IF(OR(A1280="",D1280="",E1280=""),"",ROUND(MOD(E1280-D1280,1)*24-N(F1280)/60,2))</f>
        <v/>
      </c>
      <c r="H1280" s="7">
        <f>IF(C1280="","",IFERROR(INDEX(Sites!$B$2:$B$501,MATCH(C1280,Sites!$A$2:$A$501,0)),"?"))</f>
        <v/>
      </c>
      <c r="I1280" s="8">
        <f>IF(A1280="","",A1280-WEEKDAY(A1280,3))</f>
        <v/>
      </c>
      <c r="K1280" s="7">
        <f>IF(A1280="","",IF(OR(B1280="",C1280="",D1280="",E1280=""),"Missing info",IF(ISNA(MATCH(B1280,Staff!$A$2:$A$101,0)),"Unknown employee",IF(H1280="?","Unknown site",IF(G1280&lt;=0,"Check times",IF(G1280&gt;12,"Over 12h",IF(COUNTIFS($L$2:$L$2001,L1280)&gt;1,"Duplicate?",IF(A1280&gt;TODAY(),"Future date","OK"))))))))</f>
        <v/>
      </c>
      <c r="L1280">
        <f>IF(A1280="","",TEXT(A1280,"yyyy-mm-dd")&amp;"|"&amp;B1280&amp;"|"&amp;C1280)</f>
        <v/>
      </c>
    </row>
    <row r="1281">
      <c r="A1281" s="4" t="n"/>
      <c r="D1281" s="5" t="n"/>
      <c r="E1281" s="5" t="n"/>
      <c r="G1281" s="6">
        <f>IF(OR(A1281="",D1281="",E1281=""),"",ROUND(MOD(E1281-D1281,1)*24-N(F1281)/60,2))</f>
        <v/>
      </c>
      <c r="H1281" s="7">
        <f>IF(C1281="","",IFERROR(INDEX(Sites!$B$2:$B$501,MATCH(C1281,Sites!$A$2:$A$501,0)),"?"))</f>
        <v/>
      </c>
      <c r="I1281" s="8">
        <f>IF(A1281="","",A1281-WEEKDAY(A1281,3))</f>
        <v/>
      </c>
      <c r="K1281" s="7">
        <f>IF(A1281="","",IF(OR(B1281="",C1281="",D1281="",E1281=""),"Missing info",IF(ISNA(MATCH(B1281,Staff!$A$2:$A$101,0)),"Unknown employee",IF(H1281="?","Unknown site",IF(G1281&lt;=0,"Check times",IF(G1281&gt;12,"Over 12h",IF(COUNTIFS($L$2:$L$2001,L1281)&gt;1,"Duplicate?",IF(A1281&gt;TODAY(),"Future date","OK"))))))))</f>
        <v/>
      </c>
      <c r="L1281">
        <f>IF(A1281="","",TEXT(A1281,"yyyy-mm-dd")&amp;"|"&amp;B1281&amp;"|"&amp;C1281)</f>
        <v/>
      </c>
    </row>
    <row r="1282">
      <c r="A1282" s="4" t="n"/>
      <c r="D1282" s="5" t="n"/>
      <c r="E1282" s="5" t="n"/>
      <c r="G1282" s="6">
        <f>IF(OR(A1282="",D1282="",E1282=""),"",ROUND(MOD(E1282-D1282,1)*24-N(F1282)/60,2))</f>
        <v/>
      </c>
      <c r="H1282" s="7">
        <f>IF(C1282="","",IFERROR(INDEX(Sites!$B$2:$B$501,MATCH(C1282,Sites!$A$2:$A$501,0)),"?"))</f>
        <v/>
      </c>
      <c r="I1282" s="8">
        <f>IF(A1282="","",A1282-WEEKDAY(A1282,3))</f>
        <v/>
      </c>
      <c r="K1282" s="7">
        <f>IF(A1282="","",IF(OR(B1282="",C1282="",D1282="",E1282=""),"Missing info",IF(ISNA(MATCH(B1282,Staff!$A$2:$A$101,0)),"Unknown employee",IF(H1282="?","Unknown site",IF(G1282&lt;=0,"Check times",IF(G1282&gt;12,"Over 12h",IF(COUNTIFS($L$2:$L$2001,L1282)&gt;1,"Duplicate?",IF(A1282&gt;TODAY(),"Future date","OK"))))))))</f>
        <v/>
      </c>
      <c r="L1282">
        <f>IF(A1282="","",TEXT(A1282,"yyyy-mm-dd")&amp;"|"&amp;B1282&amp;"|"&amp;C1282)</f>
        <v/>
      </c>
    </row>
    <row r="1283">
      <c r="A1283" s="4" t="n"/>
      <c r="D1283" s="5" t="n"/>
      <c r="E1283" s="5" t="n"/>
      <c r="G1283" s="6">
        <f>IF(OR(A1283="",D1283="",E1283=""),"",ROUND(MOD(E1283-D1283,1)*24-N(F1283)/60,2))</f>
        <v/>
      </c>
      <c r="H1283" s="7">
        <f>IF(C1283="","",IFERROR(INDEX(Sites!$B$2:$B$501,MATCH(C1283,Sites!$A$2:$A$501,0)),"?"))</f>
        <v/>
      </c>
      <c r="I1283" s="8">
        <f>IF(A1283="","",A1283-WEEKDAY(A1283,3))</f>
        <v/>
      </c>
      <c r="K1283" s="7">
        <f>IF(A1283="","",IF(OR(B1283="",C1283="",D1283="",E1283=""),"Missing info",IF(ISNA(MATCH(B1283,Staff!$A$2:$A$101,0)),"Unknown employee",IF(H1283="?","Unknown site",IF(G1283&lt;=0,"Check times",IF(G1283&gt;12,"Over 12h",IF(COUNTIFS($L$2:$L$2001,L1283)&gt;1,"Duplicate?",IF(A1283&gt;TODAY(),"Future date","OK"))))))))</f>
        <v/>
      </c>
      <c r="L1283">
        <f>IF(A1283="","",TEXT(A1283,"yyyy-mm-dd")&amp;"|"&amp;B1283&amp;"|"&amp;C1283)</f>
        <v/>
      </c>
    </row>
    <row r="1284">
      <c r="A1284" s="4" t="n"/>
      <c r="D1284" s="5" t="n"/>
      <c r="E1284" s="5" t="n"/>
      <c r="G1284" s="6">
        <f>IF(OR(A1284="",D1284="",E1284=""),"",ROUND(MOD(E1284-D1284,1)*24-N(F1284)/60,2))</f>
        <v/>
      </c>
      <c r="H1284" s="7">
        <f>IF(C1284="","",IFERROR(INDEX(Sites!$B$2:$B$501,MATCH(C1284,Sites!$A$2:$A$501,0)),"?"))</f>
        <v/>
      </c>
      <c r="I1284" s="8">
        <f>IF(A1284="","",A1284-WEEKDAY(A1284,3))</f>
        <v/>
      </c>
      <c r="K1284" s="7">
        <f>IF(A1284="","",IF(OR(B1284="",C1284="",D1284="",E1284=""),"Missing info",IF(ISNA(MATCH(B1284,Staff!$A$2:$A$101,0)),"Unknown employee",IF(H1284="?","Unknown site",IF(G1284&lt;=0,"Check times",IF(G1284&gt;12,"Over 12h",IF(COUNTIFS($L$2:$L$2001,L1284)&gt;1,"Duplicate?",IF(A1284&gt;TODAY(),"Future date","OK"))))))))</f>
        <v/>
      </c>
      <c r="L1284">
        <f>IF(A1284="","",TEXT(A1284,"yyyy-mm-dd")&amp;"|"&amp;B1284&amp;"|"&amp;C1284)</f>
        <v/>
      </c>
    </row>
    <row r="1285">
      <c r="A1285" s="4" t="n"/>
      <c r="D1285" s="5" t="n"/>
      <c r="E1285" s="5" t="n"/>
      <c r="G1285" s="6">
        <f>IF(OR(A1285="",D1285="",E1285=""),"",ROUND(MOD(E1285-D1285,1)*24-N(F1285)/60,2))</f>
        <v/>
      </c>
      <c r="H1285" s="7">
        <f>IF(C1285="","",IFERROR(INDEX(Sites!$B$2:$B$501,MATCH(C1285,Sites!$A$2:$A$501,0)),"?"))</f>
        <v/>
      </c>
      <c r="I1285" s="8">
        <f>IF(A1285="","",A1285-WEEKDAY(A1285,3))</f>
        <v/>
      </c>
      <c r="K1285" s="7">
        <f>IF(A1285="","",IF(OR(B1285="",C1285="",D1285="",E1285=""),"Missing info",IF(ISNA(MATCH(B1285,Staff!$A$2:$A$101,0)),"Unknown employee",IF(H1285="?","Unknown site",IF(G1285&lt;=0,"Check times",IF(G1285&gt;12,"Over 12h",IF(COUNTIFS($L$2:$L$2001,L1285)&gt;1,"Duplicate?",IF(A1285&gt;TODAY(),"Future date","OK"))))))))</f>
        <v/>
      </c>
      <c r="L1285">
        <f>IF(A1285="","",TEXT(A1285,"yyyy-mm-dd")&amp;"|"&amp;B1285&amp;"|"&amp;C1285)</f>
        <v/>
      </c>
    </row>
    <row r="1286">
      <c r="A1286" s="4" t="n"/>
      <c r="D1286" s="5" t="n"/>
      <c r="E1286" s="5" t="n"/>
      <c r="G1286" s="6">
        <f>IF(OR(A1286="",D1286="",E1286=""),"",ROUND(MOD(E1286-D1286,1)*24-N(F1286)/60,2))</f>
        <v/>
      </c>
      <c r="H1286" s="7">
        <f>IF(C1286="","",IFERROR(INDEX(Sites!$B$2:$B$501,MATCH(C1286,Sites!$A$2:$A$501,0)),"?"))</f>
        <v/>
      </c>
      <c r="I1286" s="8">
        <f>IF(A1286="","",A1286-WEEKDAY(A1286,3))</f>
        <v/>
      </c>
      <c r="K1286" s="7">
        <f>IF(A1286="","",IF(OR(B1286="",C1286="",D1286="",E1286=""),"Missing info",IF(ISNA(MATCH(B1286,Staff!$A$2:$A$101,0)),"Unknown employee",IF(H1286="?","Unknown site",IF(G1286&lt;=0,"Check times",IF(G1286&gt;12,"Over 12h",IF(COUNTIFS($L$2:$L$2001,L1286)&gt;1,"Duplicate?",IF(A1286&gt;TODAY(),"Future date","OK"))))))))</f>
        <v/>
      </c>
      <c r="L1286">
        <f>IF(A1286="","",TEXT(A1286,"yyyy-mm-dd")&amp;"|"&amp;B1286&amp;"|"&amp;C1286)</f>
        <v/>
      </c>
    </row>
    <row r="1287">
      <c r="A1287" s="4" t="n"/>
      <c r="D1287" s="5" t="n"/>
      <c r="E1287" s="5" t="n"/>
      <c r="G1287" s="6">
        <f>IF(OR(A1287="",D1287="",E1287=""),"",ROUND(MOD(E1287-D1287,1)*24-N(F1287)/60,2))</f>
        <v/>
      </c>
      <c r="H1287" s="7">
        <f>IF(C1287="","",IFERROR(INDEX(Sites!$B$2:$B$501,MATCH(C1287,Sites!$A$2:$A$501,0)),"?"))</f>
        <v/>
      </c>
      <c r="I1287" s="8">
        <f>IF(A1287="","",A1287-WEEKDAY(A1287,3))</f>
        <v/>
      </c>
      <c r="K1287" s="7">
        <f>IF(A1287="","",IF(OR(B1287="",C1287="",D1287="",E1287=""),"Missing info",IF(ISNA(MATCH(B1287,Staff!$A$2:$A$101,0)),"Unknown employee",IF(H1287="?","Unknown site",IF(G1287&lt;=0,"Check times",IF(G1287&gt;12,"Over 12h",IF(COUNTIFS($L$2:$L$2001,L1287)&gt;1,"Duplicate?",IF(A1287&gt;TODAY(),"Future date","OK"))))))))</f>
        <v/>
      </c>
      <c r="L1287">
        <f>IF(A1287="","",TEXT(A1287,"yyyy-mm-dd")&amp;"|"&amp;B1287&amp;"|"&amp;C1287)</f>
        <v/>
      </c>
    </row>
    <row r="1288">
      <c r="A1288" s="4" t="n"/>
      <c r="D1288" s="5" t="n"/>
      <c r="E1288" s="5" t="n"/>
      <c r="G1288" s="6">
        <f>IF(OR(A1288="",D1288="",E1288=""),"",ROUND(MOD(E1288-D1288,1)*24-N(F1288)/60,2))</f>
        <v/>
      </c>
      <c r="H1288" s="7">
        <f>IF(C1288="","",IFERROR(INDEX(Sites!$B$2:$B$501,MATCH(C1288,Sites!$A$2:$A$501,0)),"?"))</f>
        <v/>
      </c>
      <c r="I1288" s="8">
        <f>IF(A1288="","",A1288-WEEKDAY(A1288,3))</f>
        <v/>
      </c>
      <c r="K1288" s="7">
        <f>IF(A1288="","",IF(OR(B1288="",C1288="",D1288="",E1288=""),"Missing info",IF(ISNA(MATCH(B1288,Staff!$A$2:$A$101,0)),"Unknown employee",IF(H1288="?","Unknown site",IF(G1288&lt;=0,"Check times",IF(G1288&gt;12,"Over 12h",IF(COUNTIFS($L$2:$L$2001,L1288)&gt;1,"Duplicate?",IF(A1288&gt;TODAY(),"Future date","OK"))))))))</f>
        <v/>
      </c>
      <c r="L1288">
        <f>IF(A1288="","",TEXT(A1288,"yyyy-mm-dd")&amp;"|"&amp;B1288&amp;"|"&amp;C1288)</f>
        <v/>
      </c>
    </row>
    <row r="1289">
      <c r="A1289" s="4" t="n"/>
      <c r="D1289" s="5" t="n"/>
      <c r="E1289" s="5" t="n"/>
      <c r="G1289" s="6">
        <f>IF(OR(A1289="",D1289="",E1289=""),"",ROUND(MOD(E1289-D1289,1)*24-N(F1289)/60,2))</f>
        <v/>
      </c>
      <c r="H1289" s="7">
        <f>IF(C1289="","",IFERROR(INDEX(Sites!$B$2:$B$501,MATCH(C1289,Sites!$A$2:$A$501,0)),"?"))</f>
        <v/>
      </c>
      <c r="I1289" s="8">
        <f>IF(A1289="","",A1289-WEEKDAY(A1289,3))</f>
        <v/>
      </c>
      <c r="K1289" s="7">
        <f>IF(A1289="","",IF(OR(B1289="",C1289="",D1289="",E1289=""),"Missing info",IF(ISNA(MATCH(B1289,Staff!$A$2:$A$101,0)),"Unknown employee",IF(H1289="?","Unknown site",IF(G1289&lt;=0,"Check times",IF(G1289&gt;12,"Over 12h",IF(COUNTIFS($L$2:$L$2001,L1289)&gt;1,"Duplicate?",IF(A1289&gt;TODAY(),"Future date","OK"))))))))</f>
        <v/>
      </c>
      <c r="L1289">
        <f>IF(A1289="","",TEXT(A1289,"yyyy-mm-dd")&amp;"|"&amp;B1289&amp;"|"&amp;C1289)</f>
        <v/>
      </c>
    </row>
    <row r="1290">
      <c r="A1290" s="4" t="n"/>
      <c r="D1290" s="5" t="n"/>
      <c r="E1290" s="5" t="n"/>
      <c r="G1290" s="6">
        <f>IF(OR(A1290="",D1290="",E1290=""),"",ROUND(MOD(E1290-D1290,1)*24-N(F1290)/60,2))</f>
        <v/>
      </c>
      <c r="H1290" s="7">
        <f>IF(C1290="","",IFERROR(INDEX(Sites!$B$2:$B$501,MATCH(C1290,Sites!$A$2:$A$501,0)),"?"))</f>
        <v/>
      </c>
      <c r="I1290" s="8">
        <f>IF(A1290="","",A1290-WEEKDAY(A1290,3))</f>
        <v/>
      </c>
      <c r="K1290" s="7">
        <f>IF(A1290="","",IF(OR(B1290="",C1290="",D1290="",E1290=""),"Missing info",IF(ISNA(MATCH(B1290,Staff!$A$2:$A$101,0)),"Unknown employee",IF(H1290="?","Unknown site",IF(G1290&lt;=0,"Check times",IF(G1290&gt;12,"Over 12h",IF(COUNTIFS($L$2:$L$2001,L1290)&gt;1,"Duplicate?",IF(A1290&gt;TODAY(),"Future date","OK"))))))))</f>
        <v/>
      </c>
      <c r="L1290">
        <f>IF(A1290="","",TEXT(A1290,"yyyy-mm-dd")&amp;"|"&amp;B1290&amp;"|"&amp;C1290)</f>
        <v/>
      </c>
    </row>
    <row r="1291">
      <c r="A1291" s="4" t="n"/>
      <c r="D1291" s="5" t="n"/>
      <c r="E1291" s="5" t="n"/>
      <c r="G1291" s="6">
        <f>IF(OR(A1291="",D1291="",E1291=""),"",ROUND(MOD(E1291-D1291,1)*24-N(F1291)/60,2))</f>
        <v/>
      </c>
      <c r="H1291" s="7">
        <f>IF(C1291="","",IFERROR(INDEX(Sites!$B$2:$B$501,MATCH(C1291,Sites!$A$2:$A$501,0)),"?"))</f>
        <v/>
      </c>
      <c r="I1291" s="8">
        <f>IF(A1291="","",A1291-WEEKDAY(A1291,3))</f>
        <v/>
      </c>
      <c r="K1291" s="7">
        <f>IF(A1291="","",IF(OR(B1291="",C1291="",D1291="",E1291=""),"Missing info",IF(ISNA(MATCH(B1291,Staff!$A$2:$A$101,0)),"Unknown employee",IF(H1291="?","Unknown site",IF(G1291&lt;=0,"Check times",IF(G1291&gt;12,"Over 12h",IF(COUNTIFS($L$2:$L$2001,L1291)&gt;1,"Duplicate?",IF(A1291&gt;TODAY(),"Future date","OK"))))))))</f>
        <v/>
      </c>
      <c r="L1291">
        <f>IF(A1291="","",TEXT(A1291,"yyyy-mm-dd")&amp;"|"&amp;B1291&amp;"|"&amp;C1291)</f>
        <v/>
      </c>
    </row>
    <row r="1292">
      <c r="A1292" s="4" t="n"/>
      <c r="D1292" s="5" t="n"/>
      <c r="E1292" s="5" t="n"/>
      <c r="G1292" s="6">
        <f>IF(OR(A1292="",D1292="",E1292=""),"",ROUND(MOD(E1292-D1292,1)*24-N(F1292)/60,2))</f>
        <v/>
      </c>
      <c r="H1292" s="7">
        <f>IF(C1292="","",IFERROR(INDEX(Sites!$B$2:$B$501,MATCH(C1292,Sites!$A$2:$A$501,0)),"?"))</f>
        <v/>
      </c>
      <c r="I1292" s="8">
        <f>IF(A1292="","",A1292-WEEKDAY(A1292,3))</f>
        <v/>
      </c>
      <c r="K1292" s="7">
        <f>IF(A1292="","",IF(OR(B1292="",C1292="",D1292="",E1292=""),"Missing info",IF(ISNA(MATCH(B1292,Staff!$A$2:$A$101,0)),"Unknown employee",IF(H1292="?","Unknown site",IF(G1292&lt;=0,"Check times",IF(G1292&gt;12,"Over 12h",IF(COUNTIFS($L$2:$L$2001,L1292)&gt;1,"Duplicate?",IF(A1292&gt;TODAY(),"Future date","OK"))))))))</f>
        <v/>
      </c>
      <c r="L1292">
        <f>IF(A1292="","",TEXT(A1292,"yyyy-mm-dd")&amp;"|"&amp;B1292&amp;"|"&amp;C1292)</f>
        <v/>
      </c>
    </row>
    <row r="1293">
      <c r="A1293" s="4" t="n"/>
      <c r="D1293" s="5" t="n"/>
      <c r="E1293" s="5" t="n"/>
      <c r="G1293" s="6">
        <f>IF(OR(A1293="",D1293="",E1293=""),"",ROUND(MOD(E1293-D1293,1)*24-N(F1293)/60,2))</f>
        <v/>
      </c>
      <c r="H1293" s="7">
        <f>IF(C1293="","",IFERROR(INDEX(Sites!$B$2:$B$501,MATCH(C1293,Sites!$A$2:$A$501,0)),"?"))</f>
        <v/>
      </c>
      <c r="I1293" s="8">
        <f>IF(A1293="","",A1293-WEEKDAY(A1293,3))</f>
        <v/>
      </c>
      <c r="K1293" s="7">
        <f>IF(A1293="","",IF(OR(B1293="",C1293="",D1293="",E1293=""),"Missing info",IF(ISNA(MATCH(B1293,Staff!$A$2:$A$101,0)),"Unknown employee",IF(H1293="?","Unknown site",IF(G1293&lt;=0,"Check times",IF(G1293&gt;12,"Over 12h",IF(COUNTIFS($L$2:$L$2001,L1293)&gt;1,"Duplicate?",IF(A1293&gt;TODAY(),"Future date","OK"))))))))</f>
        <v/>
      </c>
      <c r="L1293">
        <f>IF(A1293="","",TEXT(A1293,"yyyy-mm-dd")&amp;"|"&amp;B1293&amp;"|"&amp;C1293)</f>
        <v/>
      </c>
    </row>
    <row r="1294">
      <c r="A1294" s="4" t="n"/>
      <c r="D1294" s="5" t="n"/>
      <c r="E1294" s="5" t="n"/>
      <c r="G1294" s="6">
        <f>IF(OR(A1294="",D1294="",E1294=""),"",ROUND(MOD(E1294-D1294,1)*24-N(F1294)/60,2))</f>
        <v/>
      </c>
      <c r="H1294" s="7">
        <f>IF(C1294="","",IFERROR(INDEX(Sites!$B$2:$B$501,MATCH(C1294,Sites!$A$2:$A$501,0)),"?"))</f>
        <v/>
      </c>
      <c r="I1294" s="8">
        <f>IF(A1294="","",A1294-WEEKDAY(A1294,3))</f>
        <v/>
      </c>
      <c r="K1294" s="7">
        <f>IF(A1294="","",IF(OR(B1294="",C1294="",D1294="",E1294=""),"Missing info",IF(ISNA(MATCH(B1294,Staff!$A$2:$A$101,0)),"Unknown employee",IF(H1294="?","Unknown site",IF(G1294&lt;=0,"Check times",IF(G1294&gt;12,"Over 12h",IF(COUNTIFS($L$2:$L$2001,L1294)&gt;1,"Duplicate?",IF(A1294&gt;TODAY(),"Future date","OK"))))))))</f>
        <v/>
      </c>
      <c r="L1294">
        <f>IF(A1294="","",TEXT(A1294,"yyyy-mm-dd")&amp;"|"&amp;B1294&amp;"|"&amp;C1294)</f>
        <v/>
      </c>
    </row>
    <row r="1295">
      <c r="A1295" s="4" t="n"/>
      <c r="D1295" s="5" t="n"/>
      <c r="E1295" s="5" t="n"/>
      <c r="G1295" s="6">
        <f>IF(OR(A1295="",D1295="",E1295=""),"",ROUND(MOD(E1295-D1295,1)*24-N(F1295)/60,2))</f>
        <v/>
      </c>
      <c r="H1295" s="7">
        <f>IF(C1295="","",IFERROR(INDEX(Sites!$B$2:$B$501,MATCH(C1295,Sites!$A$2:$A$501,0)),"?"))</f>
        <v/>
      </c>
      <c r="I1295" s="8">
        <f>IF(A1295="","",A1295-WEEKDAY(A1295,3))</f>
        <v/>
      </c>
      <c r="K1295" s="7">
        <f>IF(A1295="","",IF(OR(B1295="",C1295="",D1295="",E1295=""),"Missing info",IF(ISNA(MATCH(B1295,Staff!$A$2:$A$101,0)),"Unknown employee",IF(H1295="?","Unknown site",IF(G1295&lt;=0,"Check times",IF(G1295&gt;12,"Over 12h",IF(COUNTIFS($L$2:$L$2001,L1295)&gt;1,"Duplicate?",IF(A1295&gt;TODAY(),"Future date","OK"))))))))</f>
        <v/>
      </c>
      <c r="L1295">
        <f>IF(A1295="","",TEXT(A1295,"yyyy-mm-dd")&amp;"|"&amp;B1295&amp;"|"&amp;C1295)</f>
        <v/>
      </c>
    </row>
    <row r="1296">
      <c r="A1296" s="4" t="n"/>
      <c r="D1296" s="5" t="n"/>
      <c r="E1296" s="5" t="n"/>
      <c r="G1296" s="6">
        <f>IF(OR(A1296="",D1296="",E1296=""),"",ROUND(MOD(E1296-D1296,1)*24-N(F1296)/60,2))</f>
        <v/>
      </c>
      <c r="H1296" s="7">
        <f>IF(C1296="","",IFERROR(INDEX(Sites!$B$2:$B$501,MATCH(C1296,Sites!$A$2:$A$501,0)),"?"))</f>
        <v/>
      </c>
      <c r="I1296" s="8">
        <f>IF(A1296="","",A1296-WEEKDAY(A1296,3))</f>
        <v/>
      </c>
      <c r="K1296" s="7">
        <f>IF(A1296="","",IF(OR(B1296="",C1296="",D1296="",E1296=""),"Missing info",IF(ISNA(MATCH(B1296,Staff!$A$2:$A$101,0)),"Unknown employee",IF(H1296="?","Unknown site",IF(G1296&lt;=0,"Check times",IF(G1296&gt;12,"Over 12h",IF(COUNTIFS($L$2:$L$2001,L1296)&gt;1,"Duplicate?",IF(A1296&gt;TODAY(),"Future date","OK"))))))))</f>
        <v/>
      </c>
      <c r="L1296">
        <f>IF(A1296="","",TEXT(A1296,"yyyy-mm-dd")&amp;"|"&amp;B1296&amp;"|"&amp;C1296)</f>
        <v/>
      </c>
    </row>
    <row r="1297">
      <c r="A1297" s="4" t="n"/>
      <c r="D1297" s="5" t="n"/>
      <c r="E1297" s="5" t="n"/>
      <c r="G1297" s="6">
        <f>IF(OR(A1297="",D1297="",E1297=""),"",ROUND(MOD(E1297-D1297,1)*24-N(F1297)/60,2))</f>
        <v/>
      </c>
      <c r="H1297" s="7">
        <f>IF(C1297="","",IFERROR(INDEX(Sites!$B$2:$B$501,MATCH(C1297,Sites!$A$2:$A$501,0)),"?"))</f>
        <v/>
      </c>
      <c r="I1297" s="8">
        <f>IF(A1297="","",A1297-WEEKDAY(A1297,3))</f>
        <v/>
      </c>
      <c r="K1297" s="7">
        <f>IF(A1297="","",IF(OR(B1297="",C1297="",D1297="",E1297=""),"Missing info",IF(ISNA(MATCH(B1297,Staff!$A$2:$A$101,0)),"Unknown employee",IF(H1297="?","Unknown site",IF(G1297&lt;=0,"Check times",IF(G1297&gt;12,"Over 12h",IF(COUNTIFS($L$2:$L$2001,L1297)&gt;1,"Duplicate?",IF(A1297&gt;TODAY(),"Future date","OK"))))))))</f>
        <v/>
      </c>
      <c r="L1297">
        <f>IF(A1297="","",TEXT(A1297,"yyyy-mm-dd")&amp;"|"&amp;B1297&amp;"|"&amp;C1297)</f>
        <v/>
      </c>
    </row>
    <row r="1298">
      <c r="A1298" s="4" t="n"/>
      <c r="D1298" s="5" t="n"/>
      <c r="E1298" s="5" t="n"/>
      <c r="G1298" s="6">
        <f>IF(OR(A1298="",D1298="",E1298=""),"",ROUND(MOD(E1298-D1298,1)*24-N(F1298)/60,2))</f>
        <v/>
      </c>
      <c r="H1298" s="7">
        <f>IF(C1298="","",IFERROR(INDEX(Sites!$B$2:$B$501,MATCH(C1298,Sites!$A$2:$A$501,0)),"?"))</f>
        <v/>
      </c>
      <c r="I1298" s="8">
        <f>IF(A1298="","",A1298-WEEKDAY(A1298,3))</f>
        <v/>
      </c>
      <c r="K1298" s="7">
        <f>IF(A1298="","",IF(OR(B1298="",C1298="",D1298="",E1298=""),"Missing info",IF(ISNA(MATCH(B1298,Staff!$A$2:$A$101,0)),"Unknown employee",IF(H1298="?","Unknown site",IF(G1298&lt;=0,"Check times",IF(G1298&gt;12,"Over 12h",IF(COUNTIFS($L$2:$L$2001,L1298)&gt;1,"Duplicate?",IF(A1298&gt;TODAY(),"Future date","OK"))))))))</f>
        <v/>
      </c>
      <c r="L1298">
        <f>IF(A1298="","",TEXT(A1298,"yyyy-mm-dd")&amp;"|"&amp;B1298&amp;"|"&amp;C1298)</f>
        <v/>
      </c>
    </row>
    <row r="1299">
      <c r="A1299" s="4" t="n"/>
      <c r="D1299" s="5" t="n"/>
      <c r="E1299" s="5" t="n"/>
      <c r="G1299" s="6">
        <f>IF(OR(A1299="",D1299="",E1299=""),"",ROUND(MOD(E1299-D1299,1)*24-N(F1299)/60,2))</f>
        <v/>
      </c>
      <c r="H1299" s="7">
        <f>IF(C1299="","",IFERROR(INDEX(Sites!$B$2:$B$501,MATCH(C1299,Sites!$A$2:$A$501,0)),"?"))</f>
        <v/>
      </c>
      <c r="I1299" s="8">
        <f>IF(A1299="","",A1299-WEEKDAY(A1299,3))</f>
        <v/>
      </c>
      <c r="K1299" s="7">
        <f>IF(A1299="","",IF(OR(B1299="",C1299="",D1299="",E1299=""),"Missing info",IF(ISNA(MATCH(B1299,Staff!$A$2:$A$101,0)),"Unknown employee",IF(H1299="?","Unknown site",IF(G1299&lt;=0,"Check times",IF(G1299&gt;12,"Over 12h",IF(COUNTIFS($L$2:$L$2001,L1299)&gt;1,"Duplicate?",IF(A1299&gt;TODAY(),"Future date","OK"))))))))</f>
        <v/>
      </c>
      <c r="L1299">
        <f>IF(A1299="","",TEXT(A1299,"yyyy-mm-dd")&amp;"|"&amp;B1299&amp;"|"&amp;C1299)</f>
        <v/>
      </c>
    </row>
    <row r="1300">
      <c r="A1300" s="4" t="n"/>
      <c r="D1300" s="5" t="n"/>
      <c r="E1300" s="5" t="n"/>
      <c r="G1300" s="6">
        <f>IF(OR(A1300="",D1300="",E1300=""),"",ROUND(MOD(E1300-D1300,1)*24-N(F1300)/60,2))</f>
        <v/>
      </c>
      <c r="H1300" s="7">
        <f>IF(C1300="","",IFERROR(INDEX(Sites!$B$2:$B$501,MATCH(C1300,Sites!$A$2:$A$501,0)),"?"))</f>
        <v/>
      </c>
      <c r="I1300" s="8">
        <f>IF(A1300="","",A1300-WEEKDAY(A1300,3))</f>
        <v/>
      </c>
      <c r="K1300" s="7">
        <f>IF(A1300="","",IF(OR(B1300="",C1300="",D1300="",E1300=""),"Missing info",IF(ISNA(MATCH(B1300,Staff!$A$2:$A$101,0)),"Unknown employee",IF(H1300="?","Unknown site",IF(G1300&lt;=0,"Check times",IF(G1300&gt;12,"Over 12h",IF(COUNTIFS($L$2:$L$2001,L1300)&gt;1,"Duplicate?",IF(A1300&gt;TODAY(),"Future date","OK"))))))))</f>
        <v/>
      </c>
      <c r="L1300">
        <f>IF(A1300="","",TEXT(A1300,"yyyy-mm-dd")&amp;"|"&amp;B1300&amp;"|"&amp;C1300)</f>
        <v/>
      </c>
    </row>
    <row r="1301">
      <c r="A1301" s="4" t="n"/>
      <c r="D1301" s="5" t="n"/>
      <c r="E1301" s="5" t="n"/>
      <c r="G1301" s="6">
        <f>IF(OR(A1301="",D1301="",E1301=""),"",ROUND(MOD(E1301-D1301,1)*24-N(F1301)/60,2))</f>
        <v/>
      </c>
      <c r="H1301" s="7">
        <f>IF(C1301="","",IFERROR(INDEX(Sites!$B$2:$B$501,MATCH(C1301,Sites!$A$2:$A$501,0)),"?"))</f>
        <v/>
      </c>
      <c r="I1301" s="8">
        <f>IF(A1301="","",A1301-WEEKDAY(A1301,3))</f>
        <v/>
      </c>
      <c r="K1301" s="7">
        <f>IF(A1301="","",IF(OR(B1301="",C1301="",D1301="",E1301=""),"Missing info",IF(ISNA(MATCH(B1301,Staff!$A$2:$A$101,0)),"Unknown employee",IF(H1301="?","Unknown site",IF(G1301&lt;=0,"Check times",IF(G1301&gt;12,"Over 12h",IF(COUNTIFS($L$2:$L$2001,L1301)&gt;1,"Duplicate?",IF(A1301&gt;TODAY(),"Future date","OK"))))))))</f>
        <v/>
      </c>
      <c r="L1301">
        <f>IF(A1301="","",TEXT(A1301,"yyyy-mm-dd")&amp;"|"&amp;B1301&amp;"|"&amp;C1301)</f>
        <v/>
      </c>
    </row>
    <row r="1302">
      <c r="A1302" s="4" t="n"/>
      <c r="D1302" s="5" t="n"/>
      <c r="E1302" s="5" t="n"/>
      <c r="G1302" s="6">
        <f>IF(OR(A1302="",D1302="",E1302=""),"",ROUND(MOD(E1302-D1302,1)*24-N(F1302)/60,2))</f>
        <v/>
      </c>
      <c r="H1302" s="7">
        <f>IF(C1302="","",IFERROR(INDEX(Sites!$B$2:$B$501,MATCH(C1302,Sites!$A$2:$A$501,0)),"?"))</f>
        <v/>
      </c>
      <c r="I1302" s="8">
        <f>IF(A1302="","",A1302-WEEKDAY(A1302,3))</f>
        <v/>
      </c>
      <c r="K1302" s="7">
        <f>IF(A1302="","",IF(OR(B1302="",C1302="",D1302="",E1302=""),"Missing info",IF(ISNA(MATCH(B1302,Staff!$A$2:$A$101,0)),"Unknown employee",IF(H1302="?","Unknown site",IF(G1302&lt;=0,"Check times",IF(G1302&gt;12,"Over 12h",IF(COUNTIFS($L$2:$L$2001,L1302)&gt;1,"Duplicate?",IF(A1302&gt;TODAY(),"Future date","OK"))))))))</f>
        <v/>
      </c>
      <c r="L1302">
        <f>IF(A1302="","",TEXT(A1302,"yyyy-mm-dd")&amp;"|"&amp;B1302&amp;"|"&amp;C1302)</f>
        <v/>
      </c>
    </row>
    <row r="1303">
      <c r="A1303" s="4" t="n"/>
      <c r="D1303" s="5" t="n"/>
      <c r="E1303" s="5" t="n"/>
      <c r="G1303" s="6">
        <f>IF(OR(A1303="",D1303="",E1303=""),"",ROUND(MOD(E1303-D1303,1)*24-N(F1303)/60,2))</f>
        <v/>
      </c>
      <c r="H1303" s="7">
        <f>IF(C1303="","",IFERROR(INDEX(Sites!$B$2:$B$501,MATCH(C1303,Sites!$A$2:$A$501,0)),"?"))</f>
        <v/>
      </c>
      <c r="I1303" s="8">
        <f>IF(A1303="","",A1303-WEEKDAY(A1303,3))</f>
        <v/>
      </c>
      <c r="K1303" s="7">
        <f>IF(A1303="","",IF(OR(B1303="",C1303="",D1303="",E1303=""),"Missing info",IF(ISNA(MATCH(B1303,Staff!$A$2:$A$101,0)),"Unknown employee",IF(H1303="?","Unknown site",IF(G1303&lt;=0,"Check times",IF(G1303&gt;12,"Over 12h",IF(COUNTIFS($L$2:$L$2001,L1303)&gt;1,"Duplicate?",IF(A1303&gt;TODAY(),"Future date","OK"))))))))</f>
        <v/>
      </c>
      <c r="L1303">
        <f>IF(A1303="","",TEXT(A1303,"yyyy-mm-dd")&amp;"|"&amp;B1303&amp;"|"&amp;C1303)</f>
        <v/>
      </c>
    </row>
    <row r="1304">
      <c r="A1304" s="4" t="n"/>
      <c r="D1304" s="5" t="n"/>
      <c r="E1304" s="5" t="n"/>
      <c r="G1304" s="6">
        <f>IF(OR(A1304="",D1304="",E1304=""),"",ROUND(MOD(E1304-D1304,1)*24-N(F1304)/60,2))</f>
        <v/>
      </c>
      <c r="H1304" s="7">
        <f>IF(C1304="","",IFERROR(INDEX(Sites!$B$2:$B$501,MATCH(C1304,Sites!$A$2:$A$501,0)),"?"))</f>
        <v/>
      </c>
      <c r="I1304" s="8">
        <f>IF(A1304="","",A1304-WEEKDAY(A1304,3))</f>
        <v/>
      </c>
      <c r="K1304" s="7">
        <f>IF(A1304="","",IF(OR(B1304="",C1304="",D1304="",E1304=""),"Missing info",IF(ISNA(MATCH(B1304,Staff!$A$2:$A$101,0)),"Unknown employee",IF(H1304="?","Unknown site",IF(G1304&lt;=0,"Check times",IF(G1304&gt;12,"Over 12h",IF(COUNTIFS($L$2:$L$2001,L1304)&gt;1,"Duplicate?",IF(A1304&gt;TODAY(),"Future date","OK"))))))))</f>
        <v/>
      </c>
      <c r="L1304">
        <f>IF(A1304="","",TEXT(A1304,"yyyy-mm-dd")&amp;"|"&amp;B1304&amp;"|"&amp;C1304)</f>
        <v/>
      </c>
    </row>
    <row r="1305">
      <c r="A1305" s="4" t="n"/>
      <c r="D1305" s="5" t="n"/>
      <c r="E1305" s="5" t="n"/>
      <c r="G1305" s="6">
        <f>IF(OR(A1305="",D1305="",E1305=""),"",ROUND(MOD(E1305-D1305,1)*24-N(F1305)/60,2))</f>
        <v/>
      </c>
      <c r="H1305" s="7">
        <f>IF(C1305="","",IFERROR(INDEX(Sites!$B$2:$B$501,MATCH(C1305,Sites!$A$2:$A$501,0)),"?"))</f>
        <v/>
      </c>
      <c r="I1305" s="8">
        <f>IF(A1305="","",A1305-WEEKDAY(A1305,3))</f>
        <v/>
      </c>
      <c r="K1305" s="7">
        <f>IF(A1305="","",IF(OR(B1305="",C1305="",D1305="",E1305=""),"Missing info",IF(ISNA(MATCH(B1305,Staff!$A$2:$A$101,0)),"Unknown employee",IF(H1305="?","Unknown site",IF(G1305&lt;=0,"Check times",IF(G1305&gt;12,"Over 12h",IF(COUNTIFS($L$2:$L$2001,L1305)&gt;1,"Duplicate?",IF(A1305&gt;TODAY(),"Future date","OK"))))))))</f>
        <v/>
      </c>
      <c r="L1305">
        <f>IF(A1305="","",TEXT(A1305,"yyyy-mm-dd")&amp;"|"&amp;B1305&amp;"|"&amp;C1305)</f>
        <v/>
      </c>
    </row>
    <row r="1306">
      <c r="A1306" s="4" t="n"/>
      <c r="D1306" s="5" t="n"/>
      <c r="E1306" s="5" t="n"/>
      <c r="G1306" s="6">
        <f>IF(OR(A1306="",D1306="",E1306=""),"",ROUND(MOD(E1306-D1306,1)*24-N(F1306)/60,2))</f>
        <v/>
      </c>
      <c r="H1306" s="7">
        <f>IF(C1306="","",IFERROR(INDEX(Sites!$B$2:$B$501,MATCH(C1306,Sites!$A$2:$A$501,0)),"?"))</f>
        <v/>
      </c>
      <c r="I1306" s="8">
        <f>IF(A1306="","",A1306-WEEKDAY(A1306,3))</f>
        <v/>
      </c>
      <c r="K1306" s="7">
        <f>IF(A1306="","",IF(OR(B1306="",C1306="",D1306="",E1306=""),"Missing info",IF(ISNA(MATCH(B1306,Staff!$A$2:$A$101,0)),"Unknown employee",IF(H1306="?","Unknown site",IF(G1306&lt;=0,"Check times",IF(G1306&gt;12,"Over 12h",IF(COUNTIFS($L$2:$L$2001,L1306)&gt;1,"Duplicate?",IF(A1306&gt;TODAY(),"Future date","OK"))))))))</f>
        <v/>
      </c>
      <c r="L1306">
        <f>IF(A1306="","",TEXT(A1306,"yyyy-mm-dd")&amp;"|"&amp;B1306&amp;"|"&amp;C1306)</f>
        <v/>
      </c>
    </row>
    <row r="1307">
      <c r="A1307" s="4" t="n"/>
      <c r="D1307" s="5" t="n"/>
      <c r="E1307" s="5" t="n"/>
      <c r="G1307" s="6">
        <f>IF(OR(A1307="",D1307="",E1307=""),"",ROUND(MOD(E1307-D1307,1)*24-N(F1307)/60,2))</f>
        <v/>
      </c>
      <c r="H1307" s="7">
        <f>IF(C1307="","",IFERROR(INDEX(Sites!$B$2:$B$501,MATCH(C1307,Sites!$A$2:$A$501,0)),"?"))</f>
        <v/>
      </c>
      <c r="I1307" s="8">
        <f>IF(A1307="","",A1307-WEEKDAY(A1307,3))</f>
        <v/>
      </c>
      <c r="K1307" s="7">
        <f>IF(A1307="","",IF(OR(B1307="",C1307="",D1307="",E1307=""),"Missing info",IF(ISNA(MATCH(B1307,Staff!$A$2:$A$101,0)),"Unknown employee",IF(H1307="?","Unknown site",IF(G1307&lt;=0,"Check times",IF(G1307&gt;12,"Over 12h",IF(COUNTIFS($L$2:$L$2001,L1307)&gt;1,"Duplicate?",IF(A1307&gt;TODAY(),"Future date","OK"))))))))</f>
        <v/>
      </c>
      <c r="L1307">
        <f>IF(A1307="","",TEXT(A1307,"yyyy-mm-dd")&amp;"|"&amp;B1307&amp;"|"&amp;C1307)</f>
        <v/>
      </c>
    </row>
    <row r="1308">
      <c r="A1308" s="4" t="n"/>
      <c r="D1308" s="5" t="n"/>
      <c r="E1308" s="5" t="n"/>
      <c r="G1308" s="6">
        <f>IF(OR(A1308="",D1308="",E1308=""),"",ROUND(MOD(E1308-D1308,1)*24-N(F1308)/60,2))</f>
        <v/>
      </c>
      <c r="H1308" s="7">
        <f>IF(C1308="","",IFERROR(INDEX(Sites!$B$2:$B$501,MATCH(C1308,Sites!$A$2:$A$501,0)),"?"))</f>
        <v/>
      </c>
      <c r="I1308" s="8">
        <f>IF(A1308="","",A1308-WEEKDAY(A1308,3))</f>
        <v/>
      </c>
      <c r="K1308" s="7">
        <f>IF(A1308="","",IF(OR(B1308="",C1308="",D1308="",E1308=""),"Missing info",IF(ISNA(MATCH(B1308,Staff!$A$2:$A$101,0)),"Unknown employee",IF(H1308="?","Unknown site",IF(G1308&lt;=0,"Check times",IF(G1308&gt;12,"Over 12h",IF(COUNTIFS($L$2:$L$2001,L1308)&gt;1,"Duplicate?",IF(A1308&gt;TODAY(),"Future date","OK"))))))))</f>
        <v/>
      </c>
      <c r="L1308">
        <f>IF(A1308="","",TEXT(A1308,"yyyy-mm-dd")&amp;"|"&amp;B1308&amp;"|"&amp;C1308)</f>
        <v/>
      </c>
    </row>
    <row r="1309">
      <c r="A1309" s="4" t="n"/>
      <c r="D1309" s="5" t="n"/>
      <c r="E1309" s="5" t="n"/>
      <c r="G1309" s="6">
        <f>IF(OR(A1309="",D1309="",E1309=""),"",ROUND(MOD(E1309-D1309,1)*24-N(F1309)/60,2))</f>
        <v/>
      </c>
      <c r="H1309" s="7">
        <f>IF(C1309="","",IFERROR(INDEX(Sites!$B$2:$B$501,MATCH(C1309,Sites!$A$2:$A$501,0)),"?"))</f>
        <v/>
      </c>
      <c r="I1309" s="8">
        <f>IF(A1309="","",A1309-WEEKDAY(A1309,3))</f>
        <v/>
      </c>
      <c r="K1309" s="7">
        <f>IF(A1309="","",IF(OR(B1309="",C1309="",D1309="",E1309=""),"Missing info",IF(ISNA(MATCH(B1309,Staff!$A$2:$A$101,0)),"Unknown employee",IF(H1309="?","Unknown site",IF(G1309&lt;=0,"Check times",IF(G1309&gt;12,"Over 12h",IF(COUNTIFS($L$2:$L$2001,L1309)&gt;1,"Duplicate?",IF(A1309&gt;TODAY(),"Future date","OK"))))))))</f>
        <v/>
      </c>
      <c r="L1309">
        <f>IF(A1309="","",TEXT(A1309,"yyyy-mm-dd")&amp;"|"&amp;B1309&amp;"|"&amp;C1309)</f>
        <v/>
      </c>
    </row>
    <row r="1310">
      <c r="A1310" s="4" t="n"/>
      <c r="D1310" s="5" t="n"/>
      <c r="E1310" s="5" t="n"/>
      <c r="G1310" s="6">
        <f>IF(OR(A1310="",D1310="",E1310=""),"",ROUND(MOD(E1310-D1310,1)*24-N(F1310)/60,2))</f>
        <v/>
      </c>
      <c r="H1310" s="7">
        <f>IF(C1310="","",IFERROR(INDEX(Sites!$B$2:$B$501,MATCH(C1310,Sites!$A$2:$A$501,0)),"?"))</f>
        <v/>
      </c>
      <c r="I1310" s="8">
        <f>IF(A1310="","",A1310-WEEKDAY(A1310,3))</f>
        <v/>
      </c>
      <c r="K1310" s="7">
        <f>IF(A1310="","",IF(OR(B1310="",C1310="",D1310="",E1310=""),"Missing info",IF(ISNA(MATCH(B1310,Staff!$A$2:$A$101,0)),"Unknown employee",IF(H1310="?","Unknown site",IF(G1310&lt;=0,"Check times",IF(G1310&gt;12,"Over 12h",IF(COUNTIFS($L$2:$L$2001,L1310)&gt;1,"Duplicate?",IF(A1310&gt;TODAY(),"Future date","OK"))))))))</f>
        <v/>
      </c>
      <c r="L1310">
        <f>IF(A1310="","",TEXT(A1310,"yyyy-mm-dd")&amp;"|"&amp;B1310&amp;"|"&amp;C1310)</f>
        <v/>
      </c>
    </row>
    <row r="1311">
      <c r="A1311" s="4" t="n"/>
      <c r="D1311" s="5" t="n"/>
      <c r="E1311" s="5" t="n"/>
      <c r="G1311" s="6">
        <f>IF(OR(A1311="",D1311="",E1311=""),"",ROUND(MOD(E1311-D1311,1)*24-N(F1311)/60,2))</f>
        <v/>
      </c>
      <c r="H1311" s="7">
        <f>IF(C1311="","",IFERROR(INDEX(Sites!$B$2:$B$501,MATCH(C1311,Sites!$A$2:$A$501,0)),"?"))</f>
        <v/>
      </c>
      <c r="I1311" s="8">
        <f>IF(A1311="","",A1311-WEEKDAY(A1311,3))</f>
        <v/>
      </c>
      <c r="K1311" s="7">
        <f>IF(A1311="","",IF(OR(B1311="",C1311="",D1311="",E1311=""),"Missing info",IF(ISNA(MATCH(B1311,Staff!$A$2:$A$101,0)),"Unknown employee",IF(H1311="?","Unknown site",IF(G1311&lt;=0,"Check times",IF(G1311&gt;12,"Over 12h",IF(COUNTIFS($L$2:$L$2001,L1311)&gt;1,"Duplicate?",IF(A1311&gt;TODAY(),"Future date","OK"))))))))</f>
        <v/>
      </c>
      <c r="L1311">
        <f>IF(A1311="","",TEXT(A1311,"yyyy-mm-dd")&amp;"|"&amp;B1311&amp;"|"&amp;C1311)</f>
        <v/>
      </c>
    </row>
    <row r="1312">
      <c r="A1312" s="4" t="n"/>
      <c r="D1312" s="5" t="n"/>
      <c r="E1312" s="5" t="n"/>
      <c r="G1312" s="6">
        <f>IF(OR(A1312="",D1312="",E1312=""),"",ROUND(MOD(E1312-D1312,1)*24-N(F1312)/60,2))</f>
        <v/>
      </c>
      <c r="H1312" s="7">
        <f>IF(C1312="","",IFERROR(INDEX(Sites!$B$2:$B$501,MATCH(C1312,Sites!$A$2:$A$501,0)),"?"))</f>
        <v/>
      </c>
      <c r="I1312" s="8">
        <f>IF(A1312="","",A1312-WEEKDAY(A1312,3))</f>
        <v/>
      </c>
      <c r="K1312" s="7">
        <f>IF(A1312="","",IF(OR(B1312="",C1312="",D1312="",E1312=""),"Missing info",IF(ISNA(MATCH(B1312,Staff!$A$2:$A$101,0)),"Unknown employee",IF(H1312="?","Unknown site",IF(G1312&lt;=0,"Check times",IF(G1312&gt;12,"Over 12h",IF(COUNTIFS($L$2:$L$2001,L1312)&gt;1,"Duplicate?",IF(A1312&gt;TODAY(),"Future date","OK"))))))))</f>
        <v/>
      </c>
      <c r="L1312">
        <f>IF(A1312="","",TEXT(A1312,"yyyy-mm-dd")&amp;"|"&amp;B1312&amp;"|"&amp;C1312)</f>
        <v/>
      </c>
    </row>
    <row r="1313">
      <c r="A1313" s="4" t="n"/>
      <c r="D1313" s="5" t="n"/>
      <c r="E1313" s="5" t="n"/>
      <c r="G1313" s="6">
        <f>IF(OR(A1313="",D1313="",E1313=""),"",ROUND(MOD(E1313-D1313,1)*24-N(F1313)/60,2))</f>
        <v/>
      </c>
      <c r="H1313" s="7">
        <f>IF(C1313="","",IFERROR(INDEX(Sites!$B$2:$B$501,MATCH(C1313,Sites!$A$2:$A$501,0)),"?"))</f>
        <v/>
      </c>
      <c r="I1313" s="8">
        <f>IF(A1313="","",A1313-WEEKDAY(A1313,3))</f>
        <v/>
      </c>
      <c r="K1313" s="7">
        <f>IF(A1313="","",IF(OR(B1313="",C1313="",D1313="",E1313=""),"Missing info",IF(ISNA(MATCH(B1313,Staff!$A$2:$A$101,0)),"Unknown employee",IF(H1313="?","Unknown site",IF(G1313&lt;=0,"Check times",IF(G1313&gt;12,"Over 12h",IF(COUNTIFS($L$2:$L$2001,L1313)&gt;1,"Duplicate?",IF(A1313&gt;TODAY(),"Future date","OK"))))))))</f>
        <v/>
      </c>
      <c r="L1313">
        <f>IF(A1313="","",TEXT(A1313,"yyyy-mm-dd")&amp;"|"&amp;B1313&amp;"|"&amp;C1313)</f>
        <v/>
      </c>
    </row>
    <row r="1314">
      <c r="A1314" s="4" t="n"/>
      <c r="D1314" s="5" t="n"/>
      <c r="E1314" s="5" t="n"/>
      <c r="G1314" s="6">
        <f>IF(OR(A1314="",D1314="",E1314=""),"",ROUND(MOD(E1314-D1314,1)*24-N(F1314)/60,2))</f>
        <v/>
      </c>
      <c r="H1314" s="7">
        <f>IF(C1314="","",IFERROR(INDEX(Sites!$B$2:$B$501,MATCH(C1314,Sites!$A$2:$A$501,0)),"?"))</f>
        <v/>
      </c>
      <c r="I1314" s="8">
        <f>IF(A1314="","",A1314-WEEKDAY(A1314,3))</f>
        <v/>
      </c>
      <c r="K1314" s="7">
        <f>IF(A1314="","",IF(OR(B1314="",C1314="",D1314="",E1314=""),"Missing info",IF(ISNA(MATCH(B1314,Staff!$A$2:$A$101,0)),"Unknown employee",IF(H1314="?","Unknown site",IF(G1314&lt;=0,"Check times",IF(G1314&gt;12,"Over 12h",IF(COUNTIFS($L$2:$L$2001,L1314)&gt;1,"Duplicate?",IF(A1314&gt;TODAY(),"Future date","OK"))))))))</f>
        <v/>
      </c>
      <c r="L1314">
        <f>IF(A1314="","",TEXT(A1314,"yyyy-mm-dd")&amp;"|"&amp;B1314&amp;"|"&amp;C1314)</f>
        <v/>
      </c>
    </row>
    <row r="1315">
      <c r="A1315" s="4" t="n"/>
      <c r="D1315" s="5" t="n"/>
      <c r="E1315" s="5" t="n"/>
      <c r="G1315" s="6">
        <f>IF(OR(A1315="",D1315="",E1315=""),"",ROUND(MOD(E1315-D1315,1)*24-N(F1315)/60,2))</f>
        <v/>
      </c>
      <c r="H1315" s="7">
        <f>IF(C1315="","",IFERROR(INDEX(Sites!$B$2:$B$501,MATCH(C1315,Sites!$A$2:$A$501,0)),"?"))</f>
        <v/>
      </c>
      <c r="I1315" s="8">
        <f>IF(A1315="","",A1315-WEEKDAY(A1315,3))</f>
        <v/>
      </c>
      <c r="K1315" s="7">
        <f>IF(A1315="","",IF(OR(B1315="",C1315="",D1315="",E1315=""),"Missing info",IF(ISNA(MATCH(B1315,Staff!$A$2:$A$101,0)),"Unknown employee",IF(H1315="?","Unknown site",IF(G1315&lt;=0,"Check times",IF(G1315&gt;12,"Over 12h",IF(COUNTIFS($L$2:$L$2001,L1315)&gt;1,"Duplicate?",IF(A1315&gt;TODAY(),"Future date","OK"))))))))</f>
        <v/>
      </c>
      <c r="L1315">
        <f>IF(A1315="","",TEXT(A1315,"yyyy-mm-dd")&amp;"|"&amp;B1315&amp;"|"&amp;C1315)</f>
        <v/>
      </c>
    </row>
    <row r="1316">
      <c r="A1316" s="4" t="n"/>
      <c r="D1316" s="5" t="n"/>
      <c r="E1316" s="5" t="n"/>
      <c r="G1316" s="6">
        <f>IF(OR(A1316="",D1316="",E1316=""),"",ROUND(MOD(E1316-D1316,1)*24-N(F1316)/60,2))</f>
        <v/>
      </c>
      <c r="H1316" s="7">
        <f>IF(C1316="","",IFERROR(INDEX(Sites!$B$2:$B$501,MATCH(C1316,Sites!$A$2:$A$501,0)),"?"))</f>
        <v/>
      </c>
      <c r="I1316" s="8">
        <f>IF(A1316="","",A1316-WEEKDAY(A1316,3))</f>
        <v/>
      </c>
      <c r="K1316" s="7">
        <f>IF(A1316="","",IF(OR(B1316="",C1316="",D1316="",E1316=""),"Missing info",IF(ISNA(MATCH(B1316,Staff!$A$2:$A$101,0)),"Unknown employee",IF(H1316="?","Unknown site",IF(G1316&lt;=0,"Check times",IF(G1316&gt;12,"Over 12h",IF(COUNTIFS($L$2:$L$2001,L1316)&gt;1,"Duplicate?",IF(A1316&gt;TODAY(),"Future date","OK"))))))))</f>
        <v/>
      </c>
      <c r="L1316">
        <f>IF(A1316="","",TEXT(A1316,"yyyy-mm-dd")&amp;"|"&amp;B1316&amp;"|"&amp;C1316)</f>
        <v/>
      </c>
    </row>
    <row r="1317">
      <c r="A1317" s="4" t="n"/>
      <c r="D1317" s="5" t="n"/>
      <c r="E1317" s="5" t="n"/>
      <c r="G1317" s="6">
        <f>IF(OR(A1317="",D1317="",E1317=""),"",ROUND(MOD(E1317-D1317,1)*24-N(F1317)/60,2))</f>
        <v/>
      </c>
      <c r="H1317" s="7">
        <f>IF(C1317="","",IFERROR(INDEX(Sites!$B$2:$B$501,MATCH(C1317,Sites!$A$2:$A$501,0)),"?"))</f>
        <v/>
      </c>
      <c r="I1317" s="8">
        <f>IF(A1317="","",A1317-WEEKDAY(A1317,3))</f>
        <v/>
      </c>
      <c r="K1317" s="7">
        <f>IF(A1317="","",IF(OR(B1317="",C1317="",D1317="",E1317=""),"Missing info",IF(ISNA(MATCH(B1317,Staff!$A$2:$A$101,0)),"Unknown employee",IF(H1317="?","Unknown site",IF(G1317&lt;=0,"Check times",IF(G1317&gt;12,"Over 12h",IF(COUNTIFS($L$2:$L$2001,L1317)&gt;1,"Duplicate?",IF(A1317&gt;TODAY(),"Future date","OK"))))))))</f>
        <v/>
      </c>
      <c r="L1317">
        <f>IF(A1317="","",TEXT(A1317,"yyyy-mm-dd")&amp;"|"&amp;B1317&amp;"|"&amp;C1317)</f>
        <v/>
      </c>
    </row>
    <row r="1318">
      <c r="A1318" s="4" t="n"/>
      <c r="D1318" s="5" t="n"/>
      <c r="E1318" s="5" t="n"/>
      <c r="G1318" s="6">
        <f>IF(OR(A1318="",D1318="",E1318=""),"",ROUND(MOD(E1318-D1318,1)*24-N(F1318)/60,2))</f>
        <v/>
      </c>
      <c r="H1318" s="7">
        <f>IF(C1318="","",IFERROR(INDEX(Sites!$B$2:$B$501,MATCH(C1318,Sites!$A$2:$A$501,0)),"?"))</f>
        <v/>
      </c>
      <c r="I1318" s="8">
        <f>IF(A1318="","",A1318-WEEKDAY(A1318,3))</f>
        <v/>
      </c>
      <c r="K1318" s="7">
        <f>IF(A1318="","",IF(OR(B1318="",C1318="",D1318="",E1318=""),"Missing info",IF(ISNA(MATCH(B1318,Staff!$A$2:$A$101,0)),"Unknown employee",IF(H1318="?","Unknown site",IF(G1318&lt;=0,"Check times",IF(G1318&gt;12,"Over 12h",IF(COUNTIFS($L$2:$L$2001,L1318)&gt;1,"Duplicate?",IF(A1318&gt;TODAY(),"Future date","OK"))))))))</f>
        <v/>
      </c>
      <c r="L1318">
        <f>IF(A1318="","",TEXT(A1318,"yyyy-mm-dd")&amp;"|"&amp;B1318&amp;"|"&amp;C1318)</f>
        <v/>
      </c>
    </row>
    <row r="1319">
      <c r="A1319" s="4" t="n"/>
      <c r="D1319" s="5" t="n"/>
      <c r="E1319" s="5" t="n"/>
      <c r="G1319" s="6">
        <f>IF(OR(A1319="",D1319="",E1319=""),"",ROUND(MOD(E1319-D1319,1)*24-N(F1319)/60,2))</f>
        <v/>
      </c>
      <c r="H1319" s="7">
        <f>IF(C1319="","",IFERROR(INDEX(Sites!$B$2:$B$501,MATCH(C1319,Sites!$A$2:$A$501,0)),"?"))</f>
        <v/>
      </c>
      <c r="I1319" s="8">
        <f>IF(A1319="","",A1319-WEEKDAY(A1319,3))</f>
        <v/>
      </c>
      <c r="K1319" s="7">
        <f>IF(A1319="","",IF(OR(B1319="",C1319="",D1319="",E1319=""),"Missing info",IF(ISNA(MATCH(B1319,Staff!$A$2:$A$101,0)),"Unknown employee",IF(H1319="?","Unknown site",IF(G1319&lt;=0,"Check times",IF(G1319&gt;12,"Over 12h",IF(COUNTIFS($L$2:$L$2001,L1319)&gt;1,"Duplicate?",IF(A1319&gt;TODAY(),"Future date","OK"))))))))</f>
        <v/>
      </c>
      <c r="L1319">
        <f>IF(A1319="","",TEXT(A1319,"yyyy-mm-dd")&amp;"|"&amp;B1319&amp;"|"&amp;C1319)</f>
        <v/>
      </c>
    </row>
    <row r="1320">
      <c r="A1320" s="4" t="n"/>
      <c r="D1320" s="5" t="n"/>
      <c r="E1320" s="5" t="n"/>
      <c r="G1320" s="6">
        <f>IF(OR(A1320="",D1320="",E1320=""),"",ROUND(MOD(E1320-D1320,1)*24-N(F1320)/60,2))</f>
        <v/>
      </c>
      <c r="H1320" s="7">
        <f>IF(C1320="","",IFERROR(INDEX(Sites!$B$2:$B$501,MATCH(C1320,Sites!$A$2:$A$501,0)),"?"))</f>
        <v/>
      </c>
      <c r="I1320" s="8">
        <f>IF(A1320="","",A1320-WEEKDAY(A1320,3))</f>
        <v/>
      </c>
      <c r="K1320" s="7">
        <f>IF(A1320="","",IF(OR(B1320="",C1320="",D1320="",E1320=""),"Missing info",IF(ISNA(MATCH(B1320,Staff!$A$2:$A$101,0)),"Unknown employee",IF(H1320="?","Unknown site",IF(G1320&lt;=0,"Check times",IF(G1320&gt;12,"Over 12h",IF(COUNTIFS($L$2:$L$2001,L1320)&gt;1,"Duplicate?",IF(A1320&gt;TODAY(),"Future date","OK"))))))))</f>
        <v/>
      </c>
      <c r="L1320">
        <f>IF(A1320="","",TEXT(A1320,"yyyy-mm-dd")&amp;"|"&amp;B1320&amp;"|"&amp;C1320)</f>
        <v/>
      </c>
    </row>
    <row r="1321">
      <c r="A1321" s="4" t="n"/>
      <c r="D1321" s="5" t="n"/>
      <c r="E1321" s="5" t="n"/>
      <c r="G1321" s="6">
        <f>IF(OR(A1321="",D1321="",E1321=""),"",ROUND(MOD(E1321-D1321,1)*24-N(F1321)/60,2))</f>
        <v/>
      </c>
      <c r="H1321" s="7">
        <f>IF(C1321="","",IFERROR(INDEX(Sites!$B$2:$B$501,MATCH(C1321,Sites!$A$2:$A$501,0)),"?"))</f>
        <v/>
      </c>
      <c r="I1321" s="8">
        <f>IF(A1321="","",A1321-WEEKDAY(A1321,3))</f>
        <v/>
      </c>
      <c r="K1321" s="7">
        <f>IF(A1321="","",IF(OR(B1321="",C1321="",D1321="",E1321=""),"Missing info",IF(ISNA(MATCH(B1321,Staff!$A$2:$A$101,0)),"Unknown employee",IF(H1321="?","Unknown site",IF(G1321&lt;=0,"Check times",IF(G1321&gt;12,"Over 12h",IF(COUNTIFS($L$2:$L$2001,L1321)&gt;1,"Duplicate?",IF(A1321&gt;TODAY(),"Future date","OK"))))))))</f>
        <v/>
      </c>
      <c r="L1321">
        <f>IF(A1321="","",TEXT(A1321,"yyyy-mm-dd")&amp;"|"&amp;B1321&amp;"|"&amp;C1321)</f>
        <v/>
      </c>
    </row>
    <row r="1322">
      <c r="A1322" s="4" t="n"/>
      <c r="D1322" s="5" t="n"/>
      <c r="E1322" s="5" t="n"/>
      <c r="G1322" s="6">
        <f>IF(OR(A1322="",D1322="",E1322=""),"",ROUND(MOD(E1322-D1322,1)*24-N(F1322)/60,2))</f>
        <v/>
      </c>
      <c r="H1322" s="7">
        <f>IF(C1322="","",IFERROR(INDEX(Sites!$B$2:$B$501,MATCH(C1322,Sites!$A$2:$A$501,0)),"?"))</f>
        <v/>
      </c>
      <c r="I1322" s="8">
        <f>IF(A1322="","",A1322-WEEKDAY(A1322,3))</f>
        <v/>
      </c>
      <c r="K1322" s="7">
        <f>IF(A1322="","",IF(OR(B1322="",C1322="",D1322="",E1322=""),"Missing info",IF(ISNA(MATCH(B1322,Staff!$A$2:$A$101,0)),"Unknown employee",IF(H1322="?","Unknown site",IF(G1322&lt;=0,"Check times",IF(G1322&gt;12,"Over 12h",IF(COUNTIFS($L$2:$L$2001,L1322)&gt;1,"Duplicate?",IF(A1322&gt;TODAY(),"Future date","OK"))))))))</f>
        <v/>
      </c>
      <c r="L1322">
        <f>IF(A1322="","",TEXT(A1322,"yyyy-mm-dd")&amp;"|"&amp;B1322&amp;"|"&amp;C1322)</f>
        <v/>
      </c>
    </row>
    <row r="1323">
      <c r="A1323" s="4" t="n"/>
      <c r="D1323" s="5" t="n"/>
      <c r="E1323" s="5" t="n"/>
      <c r="G1323" s="6">
        <f>IF(OR(A1323="",D1323="",E1323=""),"",ROUND(MOD(E1323-D1323,1)*24-N(F1323)/60,2))</f>
        <v/>
      </c>
      <c r="H1323" s="7">
        <f>IF(C1323="","",IFERROR(INDEX(Sites!$B$2:$B$501,MATCH(C1323,Sites!$A$2:$A$501,0)),"?"))</f>
        <v/>
      </c>
      <c r="I1323" s="8">
        <f>IF(A1323="","",A1323-WEEKDAY(A1323,3))</f>
        <v/>
      </c>
      <c r="K1323" s="7">
        <f>IF(A1323="","",IF(OR(B1323="",C1323="",D1323="",E1323=""),"Missing info",IF(ISNA(MATCH(B1323,Staff!$A$2:$A$101,0)),"Unknown employee",IF(H1323="?","Unknown site",IF(G1323&lt;=0,"Check times",IF(G1323&gt;12,"Over 12h",IF(COUNTIFS($L$2:$L$2001,L1323)&gt;1,"Duplicate?",IF(A1323&gt;TODAY(),"Future date","OK"))))))))</f>
        <v/>
      </c>
      <c r="L1323">
        <f>IF(A1323="","",TEXT(A1323,"yyyy-mm-dd")&amp;"|"&amp;B1323&amp;"|"&amp;C1323)</f>
        <v/>
      </c>
    </row>
    <row r="1324">
      <c r="A1324" s="4" t="n"/>
      <c r="D1324" s="5" t="n"/>
      <c r="E1324" s="5" t="n"/>
      <c r="G1324" s="6">
        <f>IF(OR(A1324="",D1324="",E1324=""),"",ROUND(MOD(E1324-D1324,1)*24-N(F1324)/60,2))</f>
        <v/>
      </c>
      <c r="H1324" s="7">
        <f>IF(C1324="","",IFERROR(INDEX(Sites!$B$2:$B$501,MATCH(C1324,Sites!$A$2:$A$501,0)),"?"))</f>
        <v/>
      </c>
      <c r="I1324" s="8">
        <f>IF(A1324="","",A1324-WEEKDAY(A1324,3))</f>
        <v/>
      </c>
      <c r="K1324" s="7">
        <f>IF(A1324="","",IF(OR(B1324="",C1324="",D1324="",E1324=""),"Missing info",IF(ISNA(MATCH(B1324,Staff!$A$2:$A$101,0)),"Unknown employee",IF(H1324="?","Unknown site",IF(G1324&lt;=0,"Check times",IF(G1324&gt;12,"Over 12h",IF(COUNTIFS($L$2:$L$2001,L1324)&gt;1,"Duplicate?",IF(A1324&gt;TODAY(),"Future date","OK"))))))))</f>
        <v/>
      </c>
      <c r="L1324">
        <f>IF(A1324="","",TEXT(A1324,"yyyy-mm-dd")&amp;"|"&amp;B1324&amp;"|"&amp;C1324)</f>
        <v/>
      </c>
    </row>
    <row r="1325">
      <c r="A1325" s="4" t="n"/>
      <c r="D1325" s="5" t="n"/>
      <c r="E1325" s="5" t="n"/>
      <c r="G1325" s="6">
        <f>IF(OR(A1325="",D1325="",E1325=""),"",ROUND(MOD(E1325-D1325,1)*24-N(F1325)/60,2))</f>
        <v/>
      </c>
      <c r="H1325" s="7">
        <f>IF(C1325="","",IFERROR(INDEX(Sites!$B$2:$B$501,MATCH(C1325,Sites!$A$2:$A$501,0)),"?"))</f>
        <v/>
      </c>
      <c r="I1325" s="8">
        <f>IF(A1325="","",A1325-WEEKDAY(A1325,3))</f>
        <v/>
      </c>
      <c r="K1325" s="7">
        <f>IF(A1325="","",IF(OR(B1325="",C1325="",D1325="",E1325=""),"Missing info",IF(ISNA(MATCH(B1325,Staff!$A$2:$A$101,0)),"Unknown employee",IF(H1325="?","Unknown site",IF(G1325&lt;=0,"Check times",IF(G1325&gt;12,"Over 12h",IF(COUNTIFS($L$2:$L$2001,L1325)&gt;1,"Duplicate?",IF(A1325&gt;TODAY(),"Future date","OK"))))))))</f>
        <v/>
      </c>
      <c r="L1325">
        <f>IF(A1325="","",TEXT(A1325,"yyyy-mm-dd")&amp;"|"&amp;B1325&amp;"|"&amp;C1325)</f>
        <v/>
      </c>
    </row>
    <row r="1326">
      <c r="A1326" s="4" t="n"/>
      <c r="D1326" s="5" t="n"/>
      <c r="E1326" s="5" t="n"/>
      <c r="G1326" s="6">
        <f>IF(OR(A1326="",D1326="",E1326=""),"",ROUND(MOD(E1326-D1326,1)*24-N(F1326)/60,2))</f>
        <v/>
      </c>
      <c r="H1326" s="7">
        <f>IF(C1326="","",IFERROR(INDEX(Sites!$B$2:$B$501,MATCH(C1326,Sites!$A$2:$A$501,0)),"?"))</f>
        <v/>
      </c>
      <c r="I1326" s="8">
        <f>IF(A1326="","",A1326-WEEKDAY(A1326,3))</f>
        <v/>
      </c>
      <c r="K1326" s="7">
        <f>IF(A1326="","",IF(OR(B1326="",C1326="",D1326="",E1326=""),"Missing info",IF(ISNA(MATCH(B1326,Staff!$A$2:$A$101,0)),"Unknown employee",IF(H1326="?","Unknown site",IF(G1326&lt;=0,"Check times",IF(G1326&gt;12,"Over 12h",IF(COUNTIFS($L$2:$L$2001,L1326)&gt;1,"Duplicate?",IF(A1326&gt;TODAY(),"Future date","OK"))))))))</f>
        <v/>
      </c>
      <c r="L1326">
        <f>IF(A1326="","",TEXT(A1326,"yyyy-mm-dd")&amp;"|"&amp;B1326&amp;"|"&amp;C1326)</f>
        <v/>
      </c>
    </row>
    <row r="1327">
      <c r="A1327" s="4" t="n"/>
      <c r="D1327" s="5" t="n"/>
      <c r="E1327" s="5" t="n"/>
      <c r="G1327" s="6">
        <f>IF(OR(A1327="",D1327="",E1327=""),"",ROUND(MOD(E1327-D1327,1)*24-N(F1327)/60,2))</f>
        <v/>
      </c>
      <c r="H1327" s="7">
        <f>IF(C1327="","",IFERROR(INDEX(Sites!$B$2:$B$501,MATCH(C1327,Sites!$A$2:$A$501,0)),"?"))</f>
        <v/>
      </c>
      <c r="I1327" s="8">
        <f>IF(A1327="","",A1327-WEEKDAY(A1327,3))</f>
        <v/>
      </c>
      <c r="K1327" s="7">
        <f>IF(A1327="","",IF(OR(B1327="",C1327="",D1327="",E1327=""),"Missing info",IF(ISNA(MATCH(B1327,Staff!$A$2:$A$101,0)),"Unknown employee",IF(H1327="?","Unknown site",IF(G1327&lt;=0,"Check times",IF(G1327&gt;12,"Over 12h",IF(COUNTIFS($L$2:$L$2001,L1327)&gt;1,"Duplicate?",IF(A1327&gt;TODAY(),"Future date","OK"))))))))</f>
        <v/>
      </c>
      <c r="L1327">
        <f>IF(A1327="","",TEXT(A1327,"yyyy-mm-dd")&amp;"|"&amp;B1327&amp;"|"&amp;C1327)</f>
        <v/>
      </c>
    </row>
    <row r="1328">
      <c r="A1328" s="4" t="n"/>
      <c r="D1328" s="5" t="n"/>
      <c r="E1328" s="5" t="n"/>
      <c r="G1328" s="6">
        <f>IF(OR(A1328="",D1328="",E1328=""),"",ROUND(MOD(E1328-D1328,1)*24-N(F1328)/60,2))</f>
        <v/>
      </c>
      <c r="H1328" s="7">
        <f>IF(C1328="","",IFERROR(INDEX(Sites!$B$2:$B$501,MATCH(C1328,Sites!$A$2:$A$501,0)),"?"))</f>
        <v/>
      </c>
      <c r="I1328" s="8">
        <f>IF(A1328="","",A1328-WEEKDAY(A1328,3))</f>
        <v/>
      </c>
      <c r="K1328" s="7">
        <f>IF(A1328="","",IF(OR(B1328="",C1328="",D1328="",E1328=""),"Missing info",IF(ISNA(MATCH(B1328,Staff!$A$2:$A$101,0)),"Unknown employee",IF(H1328="?","Unknown site",IF(G1328&lt;=0,"Check times",IF(G1328&gt;12,"Over 12h",IF(COUNTIFS($L$2:$L$2001,L1328)&gt;1,"Duplicate?",IF(A1328&gt;TODAY(),"Future date","OK"))))))))</f>
        <v/>
      </c>
      <c r="L1328">
        <f>IF(A1328="","",TEXT(A1328,"yyyy-mm-dd")&amp;"|"&amp;B1328&amp;"|"&amp;C1328)</f>
        <v/>
      </c>
    </row>
    <row r="1329">
      <c r="A1329" s="4" t="n"/>
      <c r="D1329" s="5" t="n"/>
      <c r="E1329" s="5" t="n"/>
      <c r="G1329" s="6">
        <f>IF(OR(A1329="",D1329="",E1329=""),"",ROUND(MOD(E1329-D1329,1)*24-N(F1329)/60,2))</f>
        <v/>
      </c>
      <c r="H1329" s="7">
        <f>IF(C1329="","",IFERROR(INDEX(Sites!$B$2:$B$501,MATCH(C1329,Sites!$A$2:$A$501,0)),"?"))</f>
        <v/>
      </c>
      <c r="I1329" s="8">
        <f>IF(A1329="","",A1329-WEEKDAY(A1329,3))</f>
        <v/>
      </c>
      <c r="K1329" s="7">
        <f>IF(A1329="","",IF(OR(B1329="",C1329="",D1329="",E1329=""),"Missing info",IF(ISNA(MATCH(B1329,Staff!$A$2:$A$101,0)),"Unknown employee",IF(H1329="?","Unknown site",IF(G1329&lt;=0,"Check times",IF(G1329&gt;12,"Over 12h",IF(COUNTIFS($L$2:$L$2001,L1329)&gt;1,"Duplicate?",IF(A1329&gt;TODAY(),"Future date","OK"))))))))</f>
        <v/>
      </c>
      <c r="L1329">
        <f>IF(A1329="","",TEXT(A1329,"yyyy-mm-dd")&amp;"|"&amp;B1329&amp;"|"&amp;C1329)</f>
        <v/>
      </c>
    </row>
    <row r="1330">
      <c r="A1330" s="4" t="n"/>
      <c r="D1330" s="5" t="n"/>
      <c r="E1330" s="5" t="n"/>
      <c r="G1330" s="6">
        <f>IF(OR(A1330="",D1330="",E1330=""),"",ROUND(MOD(E1330-D1330,1)*24-N(F1330)/60,2))</f>
        <v/>
      </c>
      <c r="H1330" s="7">
        <f>IF(C1330="","",IFERROR(INDEX(Sites!$B$2:$B$501,MATCH(C1330,Sites!$A$2:$A$501,0)),"?"))</f>
        <v/>
      </c>
      <c r="I1330" s="8">
        <f>IF(A1330="","",A1330-WEEKDAY(A1330,3))</f>
        <v/>
      </c>
      <c r="K1330" s="7">
        <f>IF(A1330="","",IF(OR(B1330="",C1330="",D1330="",E1330=""),"Missing info",IF(ISNA(MATCH(B1330,Staff!$A$2:$A$101,0)),"Unknown employee",IF(H1330="?","Unknown site",IF(G1330&lt;=0,"Check times",IF(G1330&gt;12,"Over 12h",IF(COUNTIFS($L$2:$L$2001,L1330)&gt;1,"Duplicate?",IF(A1330&gt;TODAY(),"Future date","OK"))))))))</f>
        <v/>
      </c>
      <c r="L1330">
        <f>IF(A1330="","",TEXT(A1330,"yyyy-mm-dd")&amp;"|"&amp;B1330&amp;"|"&amp;C1330)</f>
        <v/>
      </c>
    </row>
    <row r="1331">
      <c r="A1331" s="4" t="n"/>
      <c r="D1331" s="5" t="n"/>
      <c r="E1331" s="5" t="n"/>
      <c r="G1331" s="6">
        <f>IF(OR(A1331="",D1331="",E1331=""),"",ROUND(MOD(E1331-D1331,1)*24-N(F1331)/60,2))</f>
        <v/>
      </c>
      <c r="H1331" s="7">
        <f>IF(C1331="","",IFERROR(INDEX(Sites!$B$2:$B$501,MATCH(C1331,Sites!$A$2:$A$501,0)),"?"))</f>
        <v/>
      </c>
      <c r="I1331" s="8">
        <f>IF(A1331="","",A1331-WEEKDAY(A1331,3))</f>
        <v/>
      </c>
      <c r="K1331" s="7">
        <f>IF(A1331="","",IF(OR(B1331="",C1331="",D1331="",E1331=""),"Missing info",IF(ISNA(MATCH(B1331,Staff!$A$2:$A$101,0)),"Unknown employee",IF(H1331="?","Unknown site",IF(G1331&lt;=0,"Check times",IF(G1331&gt;12,"Over 12h",IF(COUNTIFS($L$2:$L$2001,L1331)&gt;1,"Duplicate?",IF(A1331&gt;TODAY(),"Future date","OK"))))))))</f>
        <v/>
      </c>
      <c r="L1331">
        <f>IF(A1331="","",TEXT(A1331,"yyyy-mm-dd")&amp;"|"&amp;B1331&amp;"|"&amp;C1331)</f>
        <v/>
      </c>
    </row>
    <row r="1332">
      <c r="A1332" s="4" t="n"/>
      <c r="D1332" s="5" t="n"/>
      <c r="E1332" s="5" t="n"/>
      <c r="G1332" s="6">
        <f>IF(OR(A1332="",D1332="",E1332=""),"",ROUND(MOD(E1332-D1332,1)*24-N(F1332)/60,2))</f>
        <v/>
      </c>
      <c r="H1332" s="7">
        <f>IF(C1332="","",IFERROR(INDEX(Sites!$B$2:$B$501,MATCH(C1332,Sites!$A$2:$A$501,0)),"?"))</f>
        <v/>
      </c>
      <c r="I1332" s="8">
        <f>IF(A1332="","",A1332-WEEKDAY(A1332,3))</f>
        <v/>
      </c>
      <c r="K1332" s="7">
        <f>IF(A1332="","",IF(OR(B1332="",C1332="",D1332="",E1332=""),"Missing info",IF(ISNA(MATCH(B1332,Staff!$A$2:$A$101,0)),"Unknown employee",IF(H1332="?","Unknown site",IF(G1332&lt;=0,"Check times",IF(G1332&gt;12,"Over 12h",IF(COUNTIFS($L$2:$L$2001,L1332)&gt;1,"Duplicate?",IF(A1332&gt;TODAY(),"Future date","OK"))))))))</f>
        <v/>
      </c>
      <c r="L1332">
        <f>IF(A1332="","",TEXT(A1332,"yyyy-mm-dd")&amp;"|"&amp;B1332&amp;"|"&amp;C1332)</f>
        <v/>
      </c>
    </row>
    <row r="1333">
      <c r="A1333" s="4" t="n"/>
      <c r="D1333" s="5" t="n"/>
      <c r="E1333" s="5" t="n"/>
      <c r="G1333" s="6">
        <f>IF(OR(A1333="",D1333="",E1333=""),"",ROUND(MOD(E1333-D1333,1)*24-N(F1333)/60,2))</f>
        <v/>
      </c>
      <c r="H1333" s="7">
        <f>IF(C1333="","",IFERROR(INDEX(Sites!$B$2:$B$501,MATCH(C1333,Sites!$A$2:$A$501,0)),"?"))</f>
        <v/>
      </c>
      <c r="I1333" s="8">
        <f>IF(A1333="","",A1333-WEEKDAY(A1333,3))</f>
        <v/>
      </c>
      <c r="K1333" s="7">
        <f>IF(A1333="","",IF(OR(B1333="",C1333="",D1333="",E1333=""),"Missing info",IF(ISNA(MATCH(B1333,Staff!$A$2:$A$101,0)),"Unknown employee",IF(H1333="?","Unknown site",IF(G1333&lt;=0,"Check times",IF(G1333&gt;12,"Over 12h",IF(COUNTIFS($L$2:$L$2001,L1333)&gt;1,"Duplicate?",IF(A1333&gt;TODAY(),"Future date","OK"))))))))</f>
        <v/>
      </c>
      <c r="L1333">
        <f>IF(A1333="","",TEXT(A1333,"yyyy-mm-dd")&amp;"|"&amp;B1333&amp;"|"&amp;C1333)</f>
        <v/>
      </c>
    </row>
    <row r="1334">
      <c r="A1334" s="4" t="n"/>
      <c r="D1334" s="5" t="n"/>
      <c r="E1334" s="5" t="n"/>
      <c r="G1334" s="6">
        <f>IF(OR(A1334="",D1334="",E1334=""),"",ROUND(MOD(E1334-D1334,1)*24-N(F1334)/60,2))</f>
        <v/>
      </c>
      <c r="H1334" s="7">
        <f>IF(C1334="","",IFERROR(INDEX(Sites!$B$2:$B$501,MATCH(C1334,Sites!$A$2:$A$501,0)),"?"))</f>
        <v/>
      </c>
      <c r="I1334" s="8">
        <f>IF(A1334="","",A1334-WEEKDAY(A1334,3))</f>
        <v/>
      </c>
      <c r="K1334" s="7">
        <f>IF(A1334="","",IF(OR(B1334="",C1334="",D1334="",E1334=""),"Missing info",IF(ISNA(MATCH(B1334,Staff!$A$2:$A$101,0)),"Unknown employee",IF(H1334="?","Unknown site",IF(G1334&lt;=0,"Check times",IF(G1334&gt;12,"Over 12h",IF(COUNTIFS($L$2:$L$2001,L1334)&gt;1,"Duplicate?",IF(A1334&gt;TODAY(),"Future date","OK"))))))))</f>
        <v/>
      </c>
      <c r="L1334">
        <f>IF(A1334="","",TEXT(A1334,"yyyy-mm-dd")&amp;"|"&amp;B1334&amp;"|"&amp;C1334)</f>
        <v/>
      </c>
    </row>
    <row r="1335">
      <c r="A1335" s="4" t="n"/>
      <c r="D1335" s="5" t="n"/>
      <c r="E1335" s="5" t="n"/>
      <c r="G1335" s="6">
        <f>IF(OR(A1335="",D1335="",E1335=""),"",ROUND(MOD(E1335-D1335,1)*24-N(F1335)/60,2))</f>
        <v/>
      </c>
      <c r="H1335" s="7">
        <f>IF(C1335="","",IFERROR(INDEX(Sites!$B$2:$B$501,MATCH(C1335,Sites!$A$2:$A$501,0)),"?"))</f>
        <v/>
      </c>
      <c r="I1335" s="8">
        <f>IF(A1335="","",A1335-WEEKDAY(A1335,3))</f>
        <v/>
      </c>
      <c r="K1335" s="7">
        <f>IF(A1335="","",IF(OR(B1335="",C1335="",D1335="",E1335=""),"Missing info",IF(ISNA(MATCH(B1335,Staff!$A$2:$A$101,0)),"Unknown employee",IF(H1335="?","Unknown site",IF(G1335&lt;=0,"Check times",IF(G1335&gt;12,"Over 12h",IF(COUNTIFS($L$2:$L$2001,L1335)&gt;1,"Duplicate?",IF(A1335&gt;TODAY(),"Future date","OK"))))))))</f>
        <v/>
      </c>
      <c r="L1335">
        <f>IF(A1335="","",TEXT(A1335,"yyyy-mm-dd")&amp;"|"&amp;B1335&amp;"|"&amp;C1335)</f>
        <v/>
      </c>
    </row>
    <row r="1336">
      <c r="A1336" s="4" t="n"/>
      <c r="D1336" s="5" t="n"/>
      <c r="E1336" s="5" t="n"/>
      <c r="G1336" s="6">
        <f>IF(OR(A1336="",D1336="",E1336=""),"",ROUND(MOD(E1336-D1336,1)*24-N(F1336)/60,2))</f>
        <v/>
      </c>
      <c r="H1336" s="7">
        <f>IF(C1336="","",IFERROR(INDEX(Sites!$B$2:$B$501,MATCH(C1336,Sites!$A$2:$A$501,0)),"?"))</f>
        <v/>
      </c>
      <c r="I1336" s="8">
        <f>IF(A1336="","",A1336-WEEKDAY(A1336,3))</f>
        <v/>
      </c>
      <c r="K1336" s="7">
        <f>IF(A1336="","",IF(OR(B1336="",C1336="",D1336="",E1336=""),"Missing info",IF(ISNA(MATCH(B1336,Staff!$A$2:$A$101,0)),"Unknown employee",IF(H1336="?","Unknown site",IF(G1336&lt;=0,"Check times",IF(G1336&gt;12,"Over 12h",IF(COUNTIFS($L$2:$L$2001,L1336)&gt;1,"Duplicate?",IF(A1336&gt;TODAY(),"Future date","OK"))))))))</f>
        <v/>
      </c>
      <c r="L1336">
        <f>IF(A1336="","",TEXT(A1336,"yyyy-mm-dd")&amp;"|"&amp;B1336&amp;"|"&amp;C1336)</f>
        <v/>
      </c>
    </row>
    <row r="1337">
      <c r="A1337" s="4" t="n"/>
      <c r="D1337" s="5" t="n"/>
      <c r="E1337" s="5" t="n"/>
      <c r="G1337" s="6">
        <f>IF(OR(A1337="",D1337="",E1337=""),"",ROUND(MOD(E1337-D1337,1)*24-N(F1337)/60,2))</f>
        <v/>
      </c>
      <c r="H1337" s="7">
        <f>IF(C1337="","",IFERROR(INDEX(Sites!$B$2:$B$501,MATCH(C1337,Sites!$A$2:$A$501,0)),"?"))</f>
        <v/>
      </c>
      <c r="I1337" s="8">
        <f>IF(A1337="","",A1337-WEEKDAY(A1337,3))</f>
        <v/>
      </c>
      <c r="K1337" s="7">
        <f>IF(A1337="","",IF(OR(B1337="",C1337="",D1337="",E1337=""),"Missing info",IF(ISNA(MATCH(B1337,Staff!$A$2:$A$101,0)),"Unknown employee",IF(H1337="?","Unknown site",IF(G1337&lt;=0,"Check times",IF(G1337&gt;12,"Over 12h",IF(COUNTIFS($L$2:$L$2001,L1337)&gt;1,"Duplicate?",IF(A1337&gt;TODAY(),"Future date","OK"))))))))</f>
        <v/>
      </c>
      <c r="L1337">
        <f>IF(A1337="","",TEXT(A1337,"yyyy-mm-dd")&amp;"|"&amp;B1337&amp;"|"&amp;C1337)</f>
        <v/>
      </c>
    </row>
    <row r="1338">
      <c r="A1338" s="4" t="n"/>
      <c r="D1338" s="5" t="n"/>
      <c r="E1338" s="5" t="n"/>
      <c r="G1338" s="6">
        <f>IF(OR(A1338="",D1338="",E1338=""),"",ROUND(MOD(E1338-D1338,1)*24-N(F1338)/60,2))</f>
        <v/>
      </c>
      <c r="H1338" s="7">
        <f>IF(C1338="","",IFERROR(INDEX(Sites!$B$2:$B$501,MATCH(C1338,Sites!$A$2:$A$501,0)),"?"))</f>
        <v/>
      </c>
      <c r="I1338" s="8">
        <f>IF(A1338="","",A1338-WEEKDAY(A1338,3))</f>
        <v/>
      </c>
      <c r="K1338" s="7">
        <f>IF(A1338="","",IF(OR(B1338="",C1338="",D1338="",E1338=""),"Missing info",IF(ISNA(MATCH(B1338,Staff!$A$2:$A$101,0)),"Unknown employee",IF(H1338="?","Unknown site",IF(G1338&lt;=0,"Check times",IF(G1338&gt;12,"Over 12h",IF(COUNTIFS($L$2:$L$2001,L1338)&gt;1,"Duplicate?",IF(A1338&gt;TODAY(),"Future date","OK"))))))))</f>
        <v/>
      </c>
      <c r="L1338">
        <f>IF(A1338="","",TEXT(A1338,"yyyy-mm-dd")&amp;"|"&amp;B1338&amp;"|"&amp;C1338)</f>
        <v/>
      </c>
    </row>
    <row r="1339">
      <c r="A1339" s="4" t="n"/>
      <c r="D1339" s="5" t="n"/>
      <c r="E1339" s="5" t="n"/>
      <c r="G1339" s="6">
        <f>IF(OR(A1339="",D1339="",E1339=""),"",ROUND(MOD(E1339-D1339,1)*24-N(F1339)/60,2))</f>
        <v/>
      </c>
      <c r="H1339" s="7">
        <f>IF(C1339="","",IFERROR(INDEX(Sites!$B$2:$B$501,MATCH(C1339,Sites!$A$2:$A$501,0)),"?"))</f>
        <v/>
      </c>
      <c r="I1339" s="8">
        <f>IF(A1339="","",A1339-WEEKDAY(A1339,3))</f>
        <v/>
      </c>
      <c r="K1339" s="7">
        <f>IF(A1339="","",IF(OR(B1339="",C1339="",D1339="",E1339=""),"Missing info",IF(ISNA(MATCH(B1339,Staff!$A$2:$A$101,0)),"Unknown employee",IF(H1339="?","Unknown site",IF(G1339&lt;=0,"Check times",IF(G1339&gt;12,"Over 12h",IF(COUNTIFS($L$2:$L$2001,L1339)&gt;1,"Duplicate?",IF(A1339&gt;TODAY(),"Future date","OK"))))))))</f>
        <v/>
      </c>
      <c r="L1339">
        <f>IF(A1339="","",TEXT(A1339,"yyyy-mm-dd")&amp;"|"&amp;B1339&amp;"|"&amp;C1339)</f>
        <v/>
      </c>
    </row>
    <row r="1340">
      <c r="A1340" s="4" t="n"/>
      <c r="D1340" s="5" t="n"/>
      <c r="E1340" s="5" t="n"/>
      <c r="G1340" s="6">
        <f>IF(OR(A1340="",D1340="",E1340=""),"",ROUND(MOD(E1340-D1340,1)*24-N(F1340)/60,2))</f>
        <v/>
      </c>
      <c r="H1340" s="7">
        <f>IF(C1340="","",IFERROR(INDEX(Sites!$B$2:$B$501,MATCH(C1340,Sites!$A$2:$A$501,0)),"?"))</f>
        <v/>
      </c>
      <c r="I1340" s="8">
        <f>IF(A1340="","",A1340-WEEKDAY(A1340,3))</f>
        <v/>
      </c>
      <c r="K1340" s="7">
        <f>IF(A1340="","",IF(OR(B1340="",C1340="",D1340="",E1340=""),"Missing info",IF(ISNA(MATCH(B1340,Staff!$A$2:$A$101,0)),"Unknown employee",IF(H1340="?","Unknown site",IF(G1340&lt;=0,"Check times",IF(G1340&gt;12,"Over 12h",IF(COUNTIFS($L$2:$L$2001,L1340)&gt;1,"Duplicate?",IF(A1340&gt;TODAY(),"Future date","OK"))))))))</f>
        <v/>
      </c>
      <c r="L1340">
        <f>IF(A1340="","",TEXT(A1340,"yyyy-mm-dd")&amp;"|"&amp;B1340&amp;"|"&amp;C1340)</f>
        <v/>
      </c>
    </row>
    <row r="1341">
      <c r="A1341" s="4" t="n"/>
      <c r="D1341" s="5" t="n"/>
      <c r="E1341" s="5" t="n"/>
      <c r="G1341" s="6">
        <f>IF(OR(A1341="",D1341="",E1341=""),"",ROUND(MOD(E1341-D1341,1)*24-N(F1341)/60,2))</f>
        <v/>
      </c>
      <c r="H1341" s="7">
        <f>IF(C1341="","",IFERROR(INDEX(Sites!$B$2:$B$501,MATCH(C1341,Sites!$A$2:$A$501,0)),"?"))</f>
        <v/>
      </c>
      <c r="I1341" s="8">
        <f>IF(A1341="","",A1341-WEEKDAY(A1341,3))</f>
        <v/>
      </c>
      <c r="K1341" s="7">
        <f>IF(A1341="","",IF(OR(B1341="",C1341="",D1341="",E1341=""),"Missing info",IF(ISNA(MATCH(B1341,Staff!$A$2:$A$101,0)),"Unknown employee",IF(H1341="?","Unknown site",IF(G1341&lt;=0,"Check times",IF(G1341&gt;12,"Over 12h",IF(COUNTIFS($L$2:$L$2001,L1341)&gt;1,"Duplicate?",IF(A1341&gt;TODAY(),"Future date","OK"))))))))</f>
        <v/>
      </c>
      <c r="L1341">
        <f>IF(A1341="","",TEXT(A1341,"yyyy-mm-dd")&amp;"|"&amp;B1341&amp;"|"&amp;C1341)</f>
        <v/>
      </c>
    </row>
    <row r="1342">
      <c r="A1342" s="4" t="n"/>
      <c r="D1342" s="5" t="n"/>
      <c r="E1342" s="5" t="n"/>
      <c r="G1342" s="6">
        <f>IF(OR(A1342="",D1342="",E1342=""),"",ROUND(MOD(E1342-D1342,1)*24-N(F1342)/60,2))</f>
        <v/>
      </c>
      <c r="H1342" s="7">
        <f>IF(C1342="","",IFERROR(INDEX(Sites!$B$2:$B$501,MATCH(C1342,Sites!$A$2:$A$501,0)),"?"))</f>
        <v/>
      </c>
      <c r="I1342" s="8">
        <f>IF(A1342="","",A1342-WEEKDAY(A1342,3))</f>
        <v/>
      </c>
      <c r="K1342" s="7">
        <f>IF(A1342="","",IF(OR(B1342="",C1342="",D1342="",E1342=""),"Missing info",IF(ISNA(MATCH(B1342,Staff!$A$2:$A$101,0)),"Unknown employee",IF(H1342="?","Unknown site",IF(G1342&lt;=0,"Check times",IF(G1342&gt;12,"Over 12h",IF(COUNTIFS($L$2:$L$2001,L1342)&gt;1,"Duplicate?",IF(A1342&gt;TODAY(),"Future date","OK"))))))))</f>
        <v/>
      </c>
      <c r="L1342">
        <f>IF(A1342="","",TEXT(A1342,"yyyy-mm-dd")&amp;"|"&amp;B1342&amp;"|"&amp;C1342)</f>
        <v/>
      </c>
    </row>
    <row r="1343">
      <c r="A1343" s="4" t="n"/>
      <c r="D1343" s="5" t="n"/>
      <c r="E1343" s="5" t="n"/>
      <c r="G1343" s="6">
        <f>IF(OR(A1343="",D1343="",E1343=""),"",ROUND(MOD(E1343-D1343,1)*24-N(F1343)/60,2))</f>
        <v/>
      </c>
      <c r="H1343" s="7">
        <f>IF(C1343="","",IFERROR(INDEX(Sites!$B$2:$B$501,MATCH(C1343,Sites!$A$2:$A$501,0)),"?"))</f>
        <v/>
      </c>
      <c r="I1343" s="8">
        <f>IF(A1343="","",A1343-WEEKDAY(A1343,3))</f>
        <v/>
      </c>
      <c r="K1343" s="7">
        <f>IF(A1343="","",IF(OR(B1343="",C1343="",D1343="",E1343=""),"Missing info",IF(ISNA(MATCH(B1343,Staff!$A$2:$A$101,0)),"Unknown employee",IF(H1343="?","Unknown site",IF(G1343&lt;=0,"Check times",IF(G1343&gt;12,"Over 12h",IF(COUNTIFS($L$2:$L$2001,L1343)&gt;1,"Duplicate?",IF(A1343&gt;TODAY(),"Future date","OK"))))))))</f>
        <v/>
      </c>
      <c r="L1343">
        <f>IF(A1343="","",TEXT(A1343,"yyyy-mm-dd")&amp;"|"&amp;B1343&amp;"|"&amp;C1343)</f>
        <v/>
      </c>
    </row>
    <row r="1344">
      <c r="A1344" s="4" t="n"/>
      <c r="D1344" s="5" t="n"/>
      <c r="E1344" s="5" t="n"/>
      <c r="G1344" s="6">
        <f>IF(OR(A1344="",D1344="",E1344=""),"",ROUND(MOD(E1344-D1344,1)*24-N(F1344)/60,2))</f>
        <v/>
      </c>
      <c r="H1344" s="7">
        <f>IF(C1344="","",IFERROR(INDEX(Sites!$B$2:$B$501,MATCH(C1344,Sites!$A$2:$A$501,0)),"?"))</f>
        <v/>
      </c>
      <c r="I1344" s="8">
        <f>IF(A1344="","",A1344-WEEKDAY(A1344,3))</f>
        <v/>
      </c>
      <c r="K1344" s="7">
        <f>IF(A1344="","",IF(OR(B1344="",C1344="",D1344="",E1344=""),"Missing info",IF(ISNA(MATCH(B1344,Staff!$A$2:$A$101,0)),"Unknown employee",IF(H1344="?","Unknown site",IF(G1344&lt;=0,"Check times",IF(G1344&gt;12,"Over 12h",IF(COUNTIFS($L$2:$L$2001,L1344)&gt;1,"Duplicate?",IF(A1344&gt;TODAY(),"Future date","OK"))))))))</f>
        <v/>
      </c>
      <c r="L1344">
        <f>IF(A1344="","",TEXT(A1344,"yyyy-mm-dd")&amp;"|"&amp;B1344&amp;"|"&amp;C1344)</f>
        <v/>
      </c>
    </row>
    <row r="1345">
      <c r="A1345" s="4" t="n"/>
      <c r="D1345" s="5" t="n"/>
      <c r="E1345" s="5" t="n"/>
      <c r="G1345" s="6">
        <f>IF(OR(A1345="",D1345="",E1345=""),"",ROUND(MOD(E1345-D1345,1)*24-N(F1345)/60,2))</f>
        <v/>
      </c>
      <c r="H1345" s="7">
        <f>IF(C1345="","",IFERROR(INDEX(Sites!$B$2:$B$501,MATCH(C1345,Sites!$A$2:$A$501,0)),"?"))</f>
        <v/>
      </c>
      <c r="I1345" s="8">
        <f>IF(A1345="","",A1345-WEEKDAY(A1345,3))</f>
        <v/>
      </c>
      <c r="K1345" s="7">
        <f>IF(A1345="","",IF(OR(B1345="",C1345="",D1345="",E1345=""),"Missing info",IF(ISNA(MATCH(B1345,Staff!$A$2:$A$101,0)),"Unknown employee",IF(H1345="?","Unknown site",IF(G1345&lt;=0,"Check times",IF(G1345&gt;12,"Over 12h",IF(COUNTIFS($L$2:$L$2001,L1345)&gt;1,"Duplicate?",IF(A1345&gt;TODAY(),"Future date","OK"))))))))</f>
        <v/>
      </c>
      <c r="L1345">
        <f>IF(A1345="","",TEXT(A1345,"yyyy-mm-dd")&amp;"|"&amp;B1345&amp;"|"&amp;C1345)</f>
        <v/>
      </c>
    </row>
    <row r="1346">
      <c r="A1346" s="4" t="n"/>
      <c r="D1346" s="5" t="n"/>
      <c r="E1346" s="5" t="n"/>
      <c r="G1346" s="6">
        <f>IF(OR(A1346="",D1346="",E1346=""),"",ROUND(MOD(E1346-D1346,1)*24-N(F1346)/60,2))</f>
        <v/>
      </c>
      <c r="H1346" s="7">
        <f>IF(C1346="","",IFERROR(INDEX(Sites!$B$2:$B$501,MATCH(C1346,Sites!$A$2:$A$501,0)),"?"))</f>
        <v/>
      </c>
      <c r="I1346" s="8">
        <f>IF(A1346="","",A1346-WEEKDAY(A1346,3))</f>
        <v/>
      </c>
      <c r="K1346" s="7">
        <f>IF(A1346="","",IF(OR(B1346="",C1346="",D1346="",E1346=""),"Missing info",IF(ISNA(MATCH(B1346,Staff!$A$2:$A$101,0)),"Unknown employee",IF(H1346="?","Unknown site",IF(G1346&lt;=0,"Check times",IF(G1346&gt;12,"Over 12h",IF(COUNTIFS($L$2:$L$2001,L1346)&gt;1,"Duplicate?",IF(A1346&gt;TODAY(),"Future date","OK"))))))))</f>
        <v/>
      </c>
      <c r="L1346">
        <f>IF(A1346="","",TEXT(A1346,"yyyy-mm-dd")&amp;"|"&amp;B1346&amp;"|"&amp;C1346)</f>
        <v/>
      </c>
    </row>
    <row r="1347">
      <c r="A1347" s="4" t="n"/>
      <c r="D1347" s="5" t="n"/>
      <c r="E1347" s="5" t="n"/>
      <c r="G1347" s="6">
        <f>IF(OR(A1347="",D1347="",E1347=""),"",ROUND(MOD(E1347-D1347,1)*24-N(F1347)/60,2))</f>
        <v/>
      </c>
      <c r="H1347" s="7">
        <f>IF(C1347="","",IFERROR(INDEX(Sites!$B$2:$B$501,MATCH(C1347,Sites!$A$2:$A$501,0)),"?"))</f>
        <v/>
      </c>
      <c r="I1347" s="8">
        <f>IF(A1347="","",A1347-WEEKDAY(A1347,3))</f>
        <v/>
      </c>
      <c r="K1347" s="7">
        <f>IF(A1347="","",IF(OR(B1347="",C1347="",D1347="",E1347=""),"Missing info",IF(ISNA(MATCH(B1347,Staff!$A$2:$A$101,0)),"Unknown employee",IF(H1347="?","Unknown site",IF(G1347&lt;=0,"Check times",IF(G1347&gt;12,"Over 12h",IF(COUNTIFS($L$2:$L$2001,L1347)&gt;1,"Duplicate?",IF(A1347&gt;TODAY(),"Future date","OK"))))))))</f>
        <v/>
      </c>
      <c r="L1347">
        <f>IF(A1347="","",TEXT(A1347,"yyyy-mm-dd")&amp;"|"&amp;B1347&amp;"|"&amp;C1347)</f>
        <v/>
      </c>
    </row>
    <row r="1348">
      <c r="A1348" s="4" t="n"/>
      <c r="D1348" s="5" t="n"/>
      <c r="E1348" s="5" t="n"/>
      <c r="G1348" s="6">
        <f>IF(OR(A1348="",D1348="",E1348=""),"",ROUND(MOD(E1348-D1348,1)*24-N(F1348)/60,2))</f>
        <v/>
      </c>
      <c r="H1348" s="7">
        <f>IF(C1348="","",IFERROR(INDEX(Sites!$B$2:$B$501,MATCH(C1348,Sites!$A$2:$A$501,0)),"?"))</f>
        <v/>
      </c>
      <c r="I1348" s="8">
        <f>IF(A1348="","",A1348-WEEKDAY(A1348,3))</f>
        <v/>
      </c>
      <c r="K1348" s="7">
        <f>IF(A1348="","",IF(OR(B1348="",C1348="",D1348="",E1348=""),"Missing info",IF(ISNA(MATCH(B1348,Staff!$A$2:$A$101,0)),"Unknown employee",IF(H1348="?","Unknown site",IF(G1348&lt;=0,"Check times",IF(G1348&gt;12,"Over 12h",IF(COUNTIFS($L$2:$L$2001,L1348)&gt;1,"Duplicate?",IF(A1348&gt;TODAY(),"Future date","OK"))))))))</f>
        <v/>
      </c>
      <c r="L1348">
        <f>IF(A1348="","",TEXT(A1348,"yyyy-mm-dd")&amp;"|"&amp;B1348&amp;"|"&amp;C1348)</f>
        <v/>
      </c>
    </row>
    <row r="1349">
      <c r="A1349" s="4" t="n"/>
      <c r="D1349" s="5" t="n"/>
      <c r="E1349" s="5" t="n"/>
      <c r="G1349" s="6">
        <f>IF(OR(A1349="",D1349="",E1349=""),"",ROUND(MOD(E1349-D1349,1)*24-N(F1349)/60,2))</f>
        <v/>
      </c>
      <c r="H1349" s="7">
        <f>IF(C1349="","",IFERROR(INDEX(Sites!$B$2:$B$501,MATCH(C1349,Sites!$A$2:$A$501,0)),"?"))</f>
        <v/>
      </c>
      <c r="I1349" s="8">
        <f>IF(A1349="","",A1349-WEEKDAY(A1349,3))</f>
        <v/>
      </c>
      <c r="K1349" s="7">
        <f>IF(A1349="","",IF(OR(B1349="",C1349="",D1349="",E1349=""),"Missing info",IF(ISNA(MATCH(B1349,Staff!$A$2:$A$101,0)),"Unknown employee",IF(H1349="?","Unknown site",IF(G1349&lt;=0,"Check times",IF(G1349&gt;12,"Over 12h",IF(COUNTIFS($L$2:$L$2001,L1349)&gt;1,"Duplicate?",IF(A1349&gt;TODAY(),"Future date","OK"))))))))</f>
        <v/>
      </c>
      <c r="L1349">
        <f>IF(A1349="","",TEXT(A1349,"yyyy-mm-dd")&amp;"|"&amp;B1349&amp;"|"&amp;C1349)</f>
        <v/>
      </c>
    </row>
    <row r="1350">
      <c r="A1350" s="4" t="n"/>
      <c r="D1350" s="5" t="n"/>
      <c r="E1350" s="5" t="n"/>
      <c r="G1350" s="6">
        <f>IF(OR(A1350="",D1350="",E1350=""),"",ROUND(MOD(E1350-D1350,1)*24-N(F1350)/60,2))</f>
        <v/>
      </c>
      <c r="H1350" s="7">
        <f>IF(C1350="","",IFERROR(INDEX(Sites!$B$2:$B$501,MATCH(C1350,Sites!$A$2:$A$501,0)),"?"))</f>
        <v/>
      </c>
      <c r="I1350" s="8">
        <f>IF(A1350="","",A1350-WEEKDAY(A1350,3))</f>
        <v/>
      </c>
      <c r="K1350" s="7">
        <f>IF(A1350="","",IF(OR(B1350="",C1350="",D1350="",E1350=""),"Missing info",IF(ISNA(MATCH(B1350,Staff!$A$2:$A$101,0)),"Unknown employee",IF(H1350="?","Unknown site",IF(G1350&lt;=0,"Check times",IF(G1350&gt;12,"Over 12h",IF(COUNTIFS($L$2:$L$2001,L1350)&gt;1,"Duplicate?",IF(A1350&gt;TODAY(),"Future date","OK"))))))))</f>
        <v/>
      </c>
      <c r="L1350">
        <f>IF(A1350="","",TEXT(A1350,"yyyy-mm-dd")&amp;"|"&amp;B1350&amp;"|"&amp;C1350)</f>
        <v/>
      </c>
    </row>
    <row r="1351">
      <c r="A1351" s="4" t="n"/>
      <c r="D1351" s="5" t="n"/>
      <c r="E1351" s="5" t="n"/>
      <c r="G1351" s="6">
        <f>IF(OR(A1351="",D1351="",E1351=""),"",ROUND(MOD(E1351-D1351,1)*24-N(F1351)/60,2))</f>
        <v/>
      </c>
      <c r="H1351" s="7">
        <f>IF(C1351="","",IFERROR(INDEX(Sites!$B$2:$B$501,MATCH(C1351,Sites!$A$2:$A$501,0)),"?"))</f>
        <v/>
      </c>
      <c r="I1351" s="8">
        <f>IF(A1351="","",A1351-WEEKDAY(A1351,3))</f>
        <v/>
      </c>
      <c r="K1351" s="7">
        <f>IF(A1351="","",IF(OR(B1351="",C1351="",D1351="",E1351=""),"Missing info",IF(ISNA(MATCH(B1351,Staff!$A$2:$A$101,0)),"Unknown employee",IF(H1351="?","Unknown site",IF(G1351&lt;=0,"Check times",IF(G1351&gt;12,"Over 12h",IF(COUNTIFS($L$2:$L$2001,L1351)&gt;1,"Duplicate?",IF(A1351&gt;TODAY(),"Future date","OK"))))))))</f>
        <v/>
      </c>
      <c r="L1351">
        <f>IF(A1351="","",TEXT(A1351,"yyyy-mm-dd")&amp;"|"&amp;B1351&amp;"|"&amp;C1351)</f>
        <v/>
      </c>
    </row>
    <row r="1352">
      <c r="A1352" s="4" t="n"/>
      <c r="D1352" s="5" t="n"/>
      <c r="E1352" s="5" t="n"/>
      <c r="G1352" s="6">
        <f>IF(OR(A1352="",D1352="",E1352=""),"",ROUND(MOD(E1352-D1352,1)*24-N(F1352)/60,2))</f>
        <v/>
      </c>
      <c r="H1352" s="7">
        <f>IF(C1352="","",IFERROR(INDEX(Sites!$B$2:$B$501,MATCH(C1352,Sites!$A$2:$A$501,0)),"?"))</f>
        <v/>
      </c>
      <c r="I1352" s="8">
        <f>IF(A1352="","",A1352-WEEKDAY(A1352,3))</f>
        <v/>
      </c>
      <c r="K1352" s="7">
        <f>IF(A1352="","",IF(OR(B1352="",C1352="",D1352="",E1352=""),"Missing info",IF(ISNA(MATCH(B1352,Staff!$A$2:$A$101,0)),"Unknown employee",IF(H1352="?","Unknown site",IF(G1352&lt;=0,"Check times",IF(G1352&gt;12,"Over 12h",IF(COUNTIFS($L$2:$L$2001,L1352)&gt;1,"Duplicate?",IF(A1352&gt;TODAY(),"Future date","OK"))))))))</f>
        <v/>
      </c>
      <c r="L1352">
        <f>IF(A1352="","",TEXT(A1352,"yyyy-mm-dd")&amp;"|"&amp;B1352&amp;"|"&amp;C1352)</f>
        <v/>
      </c>
    </row>
    <row r="1353">
      <c r="A1353" s="4" t="n"/>
      <c r="D1353" s="5" t="n"/>
      <c r="E1353" s="5" t="n"/>
      <c r="G1353" s="6">
        <f>IF(OR(A1353="",D1353="",E1353=""),"",ROUND(MOD(E1353-D1353,1)*24-N(F1353)/60,2))</f>
        <v/>
      </c>
      <c r="H1353" s="7">
        <f>IF(C1353="","",IFERROR(INDEX(Sites!$B$2:$B$501,MATCH(C1353,Sites!$A$2:$A$501,0)),"?"))</f>
        <v/>
      </c>
      <c r="I1353" s="8">
        <f>IF(A1353="","",A1353-WEEKDAY(A1353,3))</f>
        <v/>
      </c>
      <c r="K1353" s="7">
        <f>IF(A1353="","",IF(OR(B1353="",C1353="",D1353="",E1353=""),"Missing info",IF(ISNA(MATCH(B1353,Staff!$A$2:$A$101,0)),"Unknown employee",IF(H1353="?","Unknown site",IF(G1353&lt;=0,"Check times",IF(G1353&gt;12,"Over 12h",IF(COUNTIFS($L$2:$L$2001,L1353)&gt;1,"Duplicate?",IF(A1353&gt;TODAY(),"Future date","OK"))))))))</f>
        <v/>
      </c>
      <c r="L1353">
        <f>IF(A1353="","",TEXT(A1353,"yyyy-mm-dd")&amp;"|"&amp;B1353&amp;"|"&amp;C1353)</f>
        <v/>
      </c>
    </row>
    <row r="1354">
      <c r="A1354" s="4" t="n"/>
      <c r="D1354" s="5" t="n"/>
      <c r="E1354" s="5" t="n"/>
      <c r="G1354" s="6">
        <f>IF(OR(A1354="",D1354="",E1354=""),"",ROUND(MOD(E1354-D1354,1)*24-N(F1354)/60,2))</f>
        <v/>
      </c>
      <c r="H1354" s="7">
        <f>IF(C1354="","",IFERROR(INDEX(Sites!$B$2:$B$501,MATCH(C1354,Sites!$A$2:$A$501,0)),"?"))</f>
        <v/>
      </c>
      <c r="I1354" s="8">
        <f>IF(A1354="","",A1354-WEEKDAY(A1354,3))</f>
        <v/>
      </c>
      <c r="K1354" s="7">
        <f>IF(A1354="","",IF(OR(B1354="",C1354="",D1354="",E1354=""),"Missing info",IF(ISNA(MATCH(B1354,Staff!$A$2:$A$101,0)),"Unknown employee",IF(H1354="?","Unknown site",IF(G1354&lt;=0,"Check times",IF(G1354&gt;12,"Over 12h",IF(COUNTIFS($L$2:$L$2001,L1354)&gt;1,"Duplicate?",IF(A1354&gt;TODAY(),"Future date","OK"))))))))</f>
        <v/>
      </c>
      <c r="L1354">
        <f>IF(A1354="","",TEXT(A1354,"yyyy-mm-dd")&amp;"|"&amp;B1354&amp;"|"&amp;C1354)</f>
        <v/>
      </c>
    </row>
    <row r="1355">
      <c r="A1355" s="4" t="n"/>
      <c r="D1355" s="5" t="n"/>
      <c r="E1355" s="5" t="n"/>
      <c r="G1355" s="6">
        <f>IF(OR(A1355="",D1355="",E1355=""),"",ROUND(MOD(E1355-D1355,1)*24-N(F1355)/60,2))</f>
        <v/>
      </c>
      <c r="H1355" s="7">
        <f>IF(C1355="","",IFERROR(INDEX(Sites!$B$2:$B$501,MATCH(C1355,Sites!$A$2:$A$501,0)),"?"))</f>
        <v/>
      </c>
      <c r="I1355" s="8">
        <f>IF(A1355="","",A1355-WEEKDAY(A1355,3))</f>
        <v/>
      </c>
      <c r="K1355" s="7">
        <f>IF(A1355="","",IF(OR(B1355="",C1355="",D1355="",E1355=""),"Missing info",IF(ISNA(MATCH(B1355,Staff!$A$2:$A$101,0)),"Unknown employee",IF(H1355="?","Unknown site",IF(G1355&lt;=0,"Check times",IF(G1355&gt;12,"Over 12h",IF(COUNTIFS($L$2:$L$2001,L1355)&gt;1,"Duplicate?",IF(A1355&gt;TODAY(),"Future date","OK"))))))))</f>
        <v/>
      </c>
      <c r="L1355">
        <f>IF(A1355="","",TEXT(A1355,"yyyy-mm-dd")&amp;"|"&amp;B1355&amp;"|"&amp;C1355)</f>
        <v/>
      </c>
    </row>
    <row r="1356">
      <c r="A1356" s="4" t="n"/>
      <c r="D1356" s="5" t="n"/>
      <c r="E1356" s="5" t="n"/>
      <c r="G1356" s="6">
        <f>IF(OR(A1356="",D1356="",E1356=""),"",ROUND(MOD(E1356-D1356,1)*24-N(F1356)/60,2))</f>
        <v/>
      </c>
      <c r="H1356" s="7">
        <f>IF(C1356="","",IFERROR(INDEX(Sites!$B$2:$B$501,MATCH(C1356,Sites!$A$2:$A$501,0)),"?"))</f>
        <v/>
      </c>
      <c r="I1356" s="8">
        <f>IF(A1356="","",A1356-WEEKDAY(A1356,3))</f>
        <v/>
      </c>
      <c r="K1356" s="7">
        <f>IF(A1356="","",IF(OR(B1356="",C1356="",D1356="",E1356=""),"Missing info",IF(ISNA(MATCH(B1356,Staff!$A$2:$A$101,0)),"Unknown employee",IF(H1356="?","Unknown site",IF(G1356&lt;=0,"Check times",IF(G1356&gt;12,"Over 12h",IF(COUNTIFS($L$2:$L$2001,L1356)&gt;1,"Duplicate?",IF(A1356&gt;TODAY(),"Future date","OK"))))))))</f>
        <v/>
      </c>
      <c r="L1356">
        <f>IF(A1356="","",TEXT(A1356,"yyyy-mm-dd")&amp;"|"&amp;B1356&amp;"|"&amp;C1356)</f>
        <v/>
      </c>
    </row>
    <row r="1357">
      <c r="A1357" s="4" t="n"/>
      <c r="D1357" s="5" t="n"/>
      <c r="E1357" s="5" t="n"/>
      <c r="G1357" s="6">
        <f>IF(OR(A1357="",D1357="",E1357=""),"",ROUND(MOD(E1357-D1357,1)*24-N(F1357)/60,2))</f>
        <v/>
      </c>
      <c r="H1357" s="7">
        <f>IF(C1357="","",IFERROR(INDEX(Sites!$B$2:$B$501,MATCH(C1357,Sites!$A$2:$A$501,0)),"?"))</f>
        <v/>
      </c>
      <c r="I1357" s="8">
        <f>IF(A1357="","",A1357-WEEKDAY(A1357,3))</f>
        <v/>
      </c>
      <c r="K1357" s="7">
        <f>IF(A1357="","",IF(OR(B1357="",C1357="",D1357="",E1357=""),"Missing info",IF(ISNA(MATCH(B1357,Staff!$A$2:$A$101,0)),"Unknown employee",IF(H1357="?","Unknown site",IF(G1357&lt;=0,"Check times",IF(G1357&gt;12,"Over 12h",IF(COUNTIFS($L$2:$L$2001,L1357)&gt;1,"Duplicate?",IF(A1357&gt;TODAY(),"Future date","OK"))))))))</f>
        <v/>
      </c>
      <c r="L1357">
        <f>IF(A1357="","",TEXT(A1357,"yyyy-mm-dd")&amp;"|"&amp;B1357&amp;"|"&amp;C1357)</f>
        <v/>
      </c>
    </row>
    <row r="1358">
      <c r="A1358" s="4" t="n"/>
      <c r="D1358" s="5" t="n"/>
      <c r="E1358" s="5" t="n"/>
      <c r="G1358" s="6">
        <f>IF(OR(A1358="",D1358="",E1358=""),"",ROUND(MOD(E1358-D1358,1)*24-N(F1358)/60,2))</f>
        <v/>
      </c>
      <c r="H1358" s="7">
        <f>IF(C1358="","",IFERROR(INDEX(Sites!$B$2:$B$501,MATCH(C1358,Sites!$A$2:$A$501,0)),"?"))</f>
        <v/>
      </c>
      <c r="I1358" s="8">
        <f>IF(A1358="","",A1358-WEEKDAY(A1358,3))</f>
        <v/>
      </c>
      <c r="K1358" s="7">
        <f>IF(A1358="","",IF(OR(B1358="",C1358="",D1358="",E1358=""),"Missing info",IF(ISNA(MATCH(B1358,Staff!$A$2:$A$101,0)),"Unknown employee",IF(H1358="?","Unknown site",IF(G1358&lt;=0,"Check times",IF(G1358&gt;12,"Over 12h",IF(COUNTIFS($L$2:$L$2001,L1358)&gt;1,"Duplicate?",IF(A1358&gt;TODAY(),"Future date","OK"))))))))</f>
        <v/>
      </c>
      <c r="L1358">
        <f>IF(A1358="","",TEXT(A1358,"yyyy-mm-dd")&amp;"|"&amp;B1358&amp;"|"&amp;C1358)</f>
        <v/>
      </c>
    </row>
    <row r="1359">
      <c r="A1359" s="4" t="n"/>
      <c r="D1359" s="5" t="n"/>
      <c r="E1359" s="5" t="n"/>
      <c r="G1359" s="6">
        <f>IF(OR(A1359="",D1359="",E1359=""),"",ROUND(MOD(E1359-D1359,1)*24-N(F1359)/60,2))</f>
        <v/>
      </c>
      <c r="H1359" s="7">
        <f>IF(C1359="","",IFERROR(INDEX(Sites!$B$2:$B$501,MATCH(C1359,Sites!$A$2:$A$501,0)),"?"))</f>
        <v/>
      </c>
      <c r="I1359" s="8">
        <f>IF(A1359="","",A1359-WEEKDAY(A1359,3))</f>
        <v/>
      </c>
      <c r="K1359" s="7">
        <f>IF(A1359="","",IF(OR(B1359="",C1359="",D1359="",E1359=""),"Missing info",IF(ISNA(MATCH(B1359,Staff!$A$2:$A$101,0)),"Unknown employee",IF(H1359="?","Unknown site",IF(G1359&lt;=0,"Check times",IF(G1359&gt;12,"Over 12h",IF(COUNTIFS($L$2:$L$2001,L1359)&gt;1,"Duplicate?",IF(A1359&gt;TODAY(),"Future date","OK"))))))))</f>
        <v/>
      </c>
      <c r="L1359">
        <f>IF(A1359="","",TEXT(A1359,"yyyy-mm-dd")&amp;"|"&amp;B1359&amp;"|"&amp;C1359)</f>
        <v/>
      </c>
    </row>
    <row r="1360">
      <c r="A1360" s="4" t="n"/>
      <c r="D1360" s="5" t="n"/>
      <c r="E1360" s="5" t="n"/>
      <c r="G1360" s="6">
        <f>IF(OR(A1360="",D1360="",E1360=""),"",ROUND(MOD(E1360-D1360,1)*24-N(F1360)/60,2))</f>
        <v/>
      </c>
      <c r="H1360" s="7">
        <f>IF(C1360="","",IFERROR(INDEX(Sites!$B$2:$B$501,MATCH(C1360,Sites!$A$2:$A$501,0)),"?"))</f>
        <v/>
      </c>
      <c r="I1360" s="8">
        <f>IF(A1360="","",A1360-WEEKDAY(A1360,3))</f>
        <v/>
      </c>
      <c r="K1360" s="7">
        <f>IF(A1360="","",IF(OR(B1360="",C1360="",D1360="",E1360=""),"Missing info",IF(ISNA(MATCH(B1360,Staff!$A$2:$A$101,0)),"Unknown employee",IF(H1360="?","Unknown site",IF(G1360&lt;=0,"Check times",IF(G1360&gt;12,"Over 12h",IF(COUNTIFS($L$2:$L$2001,L1360)&gt;1,"Duplicate?",IF(A1360&gt;TODAY(),"Future date","OK"))))))))</f>
        <v/>
      </c>
      <c r="L1360">
        <f>IF(A1360="","",TEXT(A1360,"yyyy-mm-dd")&amp;"|"&amp;B1360&amp;"|"&amp;C1360)</f>
        <v/>
      </c>
    </row>
    <row r="1361">
      <c r="A1361" s="4" t="n"/>
      <c r="D1361" s="5" t="n"/>
      <c r="E1361" s="5" t="n"/>
      <c r="G1361" s="6">
        <f>IF(OR(A1361="",D1361="",E1361=""),"",ROUND(MOD(E1361-D1361,1)*24-N(F1361)/60,2))</f>
        <v/>
      </c>
      <c r="H1361" s="7">
        <f>IF(C1361="","",IFERROR(INDEX(Sites!$B$2:$B$501,MATCH(C1361,Sites!$A$2:$A$501,0)),"?"))</f>
        <v/>
      </c>
      <c r="I1361" s="8">
        <f>IF(A1361="","",A1361-WEEKDAY(A1361,3))</f>
        <v/>
      </c>
      <c r="K1361" s="7">
        <f>IF(A1361="","",IF(OR(B1361="",C1361="",D1361="",E1361=""),"Missing info",IF(ISNA(MATCH(B1361,Staff!$A$2:$A$101,0)),"Unknown employee",IF(H1361="?","Unknown site",IF(G1361&lt;=0,"Check times",IF(G1361&gt;12,"Over 12h",IF(COUNTIFS($L$2:$L$2001,L1361)&gt;1,"Duplicate?",IF(A1361&gt;TODAY(),"Future date","OK"))))))))</f>
        <v/>
      </c>
      <c r="L1361">
        <f>IF(A1361="","",TEXT(A1361,"yyyy-mm-dd")&amp;"|"&amp;B1361&amp;"|"&amp;C1361)</f>
        <v/>
      </c>
    </row>
    <row r="1362">
      <c r="A1362" s="4" t="n"/>
      <c r="D1362" s="5" t="n"/>
      <c r="E1362" s="5" t="n"/>
      <c r="G1362" s="6">
        <f>IF(OR(A1362="",D1362="",E1362=""),"",ROUND(MOD(E1362-D1362,1)*24-N(F1362)/60,2))</f>
        <v/>
      </c>
      <c r="H1362" s="7">
        <f>IF(C1362="","",IFERROR(INDEX(Sites!$B$2:$B$501,MATCH(C1362,Sites!$A$2:$A$501,0)),"?"))</f>
        <v/>
      </c>
      <c r="I1362" s="8">
        <f>IF(A1362="","",A1362-WEEKDAY(A1362,3))</f>
        <v/>
      </c>
      <c r="K1362" s="7">
        <f>IF(A1362="","",IF(OR(B1362="",C1362="",D1362="",E1362=""),"Missing info",IF(ISNA(MATCH(B1362,Staff!$A$2:$A$101,0)),"Unknown employee",IF(H1362="?","Unknown site",IF(G1362&lt;=0,"Check times",IF(G1362&gt;12,"Over 12h",IF(COUNTIFS($L$2:$L$2001,L1362)&gt;1,"Duplicate?",IF(A1362&gt;TODAY(),"Future date","OK"))))))))</f>
        <v/>
      </c>
      <c r="L1362">
        <f>IF(A1362="","",TEXT(A1362,"yyyy-mm-dd")&amp;"|"&amp;B1362&amp;"|"&amp;C1362)</f>
        <v/>
      </c>
    </row>
    <row r="1363">
      <c r="A1363" s="4" t="n"/>
      <c r="D1363" s="5" t="n"/>
      <c r="E1363" s="5" t="n"/>
      <c r="G1363" s="6">
        <f>IF(OR(A1363="",D1363="",E1363=""),"",ROUND(MOD(E1363-D1363,1)*24-N(F1363)/60,2))</f>
        <v/>
      </c>
      <c r="H1363" s="7">
        <f>IF(C1363="","",IFERROR(INDEX(Sites!$B$2:$B$501,MATCH(C1363,Sites!$A$2:$A$501,0)),"?"))</f>
        <v/>
      </c>
      <c r="I1363" s="8">
        <f>IF(A1363="","",A1363-WEEKDAY(A1363,3))</f>
        <v/>
      </c>
      <c r="K1363" s="7">
        <f>IF(A1363="","",IF(OR(B1363="",C1363="",D1363="",E1363=""),"Missing info",IF(ISNA(MATCH(B1363,Staff!$A$2:$A$101,0)),"Unknown employee",IF(H1363="?","Unknown site",IF(G1363&lt;=0,"Check times",IF(G1363&gt;12,"Over 12h",IF(COUNTIFS($L$2:$L$2001,L1363)&gt;1,"Duplicate?",IF(A1363&gt;TODAY(),"Future date","OK"))))))))</f>
        <v/>
      </c>
      <c r="L1363">
        <f>IF(A1363="","",TEXT(A1363,"yyyy-mm-dd")&amp;"|"&amp;B1363&amp;"|"&amp;C1363)</f>
        <v/>
      </c>
    </row>
    <row r="1364">
      <c r="A1364" s="4" t="n"/>
      <c r="D1364" s="5" t="n"/>
      <c r="E1364" s="5" t="n"/>
      <c r="G1364" s="6">
        <f>IF(OR(A1364="",D1364="",E1364=""),"",ROUND(MOD(E1364-D1364,1)*24-N(F1364)/60,2))</f>
        <v/>
      </c>
      <c r="H1364" s="7">
        <f>IF(C1364="","",IFERROR(INDEX(Sites!$B$2:$B$501,MATCH(C1364,Sites!$A$2:$A$501,0)),"?"))</f>
        <v/>
      </c>
      <c r="I1364" s="8">
        <f>IF(A1364="","",A1364-WEEKDAY(A1364,3))</f>
        <v/>
      </c>
      <c r="K1364" s="7">
        <f>IF(A1364="","",IF(OR(B1364="",C1364="",D1364="",E1364=""),"Missing info",IF(ISNA(MATCH(B1364,Staff!$A$2:$A$101,0)),"Unknown employee",IF(H1364="?","Unknown site",IF(G1364&lt;=0,"Check times",IF(G1364&gt;12,"Over 12h",IF(COUNTIFS($L$2:$L$2001,L1364)&gt;1,"Duplicate?",IF(A1364&gt;TODAY(),"Future date","OK"))))))))</f>
        <v/>
      </c>
      <c r="L1364">
        <f>IF(A1364="","",TEXT(A1364,"yyyy-mm-dd")&amp;"|"&amp;B1364&amp;"|"&amp;C1364)</f>
        <v/>
      </c>
    </row>
    <row r="1365">
      <c r="A1365" s="4" t="n"/>
      <c r="D1365" s="5" t="n"/>
      <c r="E1365" s="5" t="n"/>
      <c r="G1365" s="6">
        <f>IF(OR(A1365="",D1365="",E1365=""),"",ROUND(MOD(E1365-D1365,1)*24-N(F1365)/60,2))</f>
        <v/>
      </c>
      <c r="H1365" s="7">
        <f>IF(C1365="","",IFERROR(INDEX(Sites!$B$2:$B$501,MATCH(C1365,Sites!$A$2:$A$501,0)),"?"))</f>
        <v/>
      </c>
      <c r="I1365" s="8">
        <f>IF(A1365="","",A1365-WEEKDAY(A1365,3))</f>
        <v/>
      </c>
      <c r="K1365" s="7">
        <f>IF(A1365="","",IF(OR(B1365="",C1365="",D1365="",E1365=""),"Missing info",IF(ISNA(MATCH(B1365,Staff!$A$2:$A$101,0)),"Unknown employee",IF(H1365="?","Unknown site",IF(G1365&lt;=0,"Check times",IF(G1365&gt;12,"Over 12h",IF(COUNTIFS($L$2:$L$2001,L1365)&gt;1,"Duplicate?",IF(A1365&gt;TODAY(),"Future date","OK"))))))))</f>
        <v/>
      </c>
      <c r="L1365">
        <f>IF(A1365="","",TEXT(A1365,"yyyy-mm-dd")&amp;"|"&amp;B1365&amp;"|"&amp;C1365)</f>
        <v/>
      </c>
    </row>
    <row r="1366">
      <c r="A1366" s="4" t="n"/>
      <c r="D1366" s="5" t="n"/>
      <c r="E1366" s="5" t="n"/>
      <c r="G1366" s="6">
        <f>IF(OR(A1366="",D1366="",E1366=""),"",ROUND(MOD(E1366-D1366,1)*24-N(F1366)/60,2))</f>
        <v/>
      </c>
      <c r="H1366" s="7">
        <f>IF(C1366="","",IFERROR(INDEX(Sites!$B$2:$B$501,MATCH(C1366,Sites!$A$2:$A$501,0)),"?"))</f>
        <v/>
      </c>
      <c r="I1366" s="8">
        <f>IF(A1366="","",A1366-WEEKDAY(A1366,3))</f>
        <v/>
      </c>
      <c r="K1366" s="7">
        <f>IF(A1366="","",IF(OR(B1366="",C1366="",D1366="",E1366=""),"Missing info",IF(ISNA(MATCH(B1366,Staff!$A$2:$A$101,0)),"Unknown employee",IF(H1366="?","Unknown site",IF(G1366&lt;=0,"Check times",IF(G1366&gt;12,"Over 12h",IF(COUNTIFS($L$2:$L$2001,L1366)&gt;1,"Duplicate?",IF(A1366&gt;TODAY(),"Future date","OK"))))))))</f>
        <v/>
      </c>
      <c r="L1366">
        <f>IF(A1366="","",TEXT(A1366,"yyyy-mm-dd")&amp;"|"&amp;B1366&amp;"|"&amp;C1366)</f>
        <v/>
      </c>
    </row>
    <row r="1367">
      <c r="A1367" s="4" t="n"/>
      <c r="D1367" s="5" t="n"/>
      <c r="E1367" s="5" t="n"/>
      <c r="G1367" s="6">
        <f>IF(OR(A1367="",D1367="",E1367=""),"",ROUND(MOD(E1367-D1367,1)*24-N(F1367)/60,2))</f>
        <v/>
      </c>
      <c r="H1367" s="7">
        <f>IF(C1367="","",IFERROR(INDEX(Sites!$B$2:$B$501,MATCH(C1367,Sites!$A$2:$A$501,0)),"?"))</f>
        <v/>
      </c>
      <c r="I1367" s="8">
        <f>IF(A1367="","",A1367-WEEKDAY(A1367,3))</f>
        <v/>
      </c>
      <c r="K1367" s="7">
        <f>IF(A1367="","",IF(OR(B1367="",C1367="",D1367="",E1367=""),"Missing info",IF(ISNA(MATCH(B1367,Staff!$A$2:$A$101,0)),"Unknown employee",IF(H1367="?","Unknown site",IF(G1367&lt;=0,"Check times",IF(G1367&gt;12,"Over 12h",IF(COUNTIFS($L$2:$L$2001,L1367)&gt;1,"Duplicate?",IF(A1367&gt;TODAY(),"Future date","OK"))))))))</f>
        <v/>
      </c>
      <c r="L1367">
        <f>IF(A1367="","",TEXT(A1367,"yyyy-mm-dd")&amp;"|"&amp;B1367&amp;"|"&amp;C1367)</f>
        <v/>
      </c>
    </row>
    <row r="1368">
      <c r="A1368" s="4" t="n"/>
      <c r="D1368" s="5" t="n"/>
      <c r="E1368" s="5" t="n"/>
      <c r="G1368" s="6">
        <f>IF(OR(A1368="",D1368="",E1368=""),"",ROUND(MOD(E1368-D1368,1)*24-N(F1368)/60,2))</f>
        <v/>
      </c>
      <c r="H1368" s="7">
        <f>IF(C1368="","",IFERROR(INDEX(Sites!$B$2:$B$501,MATCH(C1368,Sites!$A$2:$A$501,0)),"?"))</f>
        <v/>
      </c>
      <c r="I1368" s="8">
        <f>IF(A1368="","",A1368-WEEKDAY(A1368,3))</f>
        <v/>
      </c>
      <c r="K1368" s="7">
        <f>IF(A1368="","",IF(OR(B1368="",C1368="",D1368="",E1368=""),"Missing info",IF(ISNA(MATCH(B1368,Staff!$A$2:$A$101,0)),"Unknown employee",IF(H1368="?","Unknown site",IF(G1368&lt;=0,"Check times",IF(G1368&gt;12,"Over 12h",IF(COUNTIFS($L$2:$L$2001,L1368)&gt;1,"Duplicate?",IF(A1368&gt;TODAY(),"Future date","OK"))))))))</f>
        <v/>
      </c>
      <c r="L1368">
        <f>IF(A1368="","",TEXT(A1368,"yyyy-mm-dd")&amp;"|"&amp;B1368&amp;"|"&amp;C1368)</f>
        <v/>
      </c>
    </row>
    <row r="1369">
      <c r="A1369" s="4" t="n"/>
      <c r="D1369" s="5" t="n"/>
      <c r="E1369" s="5" t="n"/>
      <c r="G1369" s="6">
        <f>IF(OR(A1369="",D1369="",E1369=""),"",ROUND(MOD(E1369-D1369,1)*24-N(F1369)/60,2))</f>
        <v/>
      </c>
      <c r="H1369" s="7">
        <f>IF(C1369="","",IFERROR(INDEX(Sites!$B$2:$B$501,MATCH(C1369,Sites!$A$2:$A$501,0)),"?"))</f>
        <v/>
      </c>
      <c r="I1369" s="8">
        <f>IF(A1369="","",A1369-WEEKDAY(A1369,3))</f>
        <v/>
      </c>
      <c r="K1369" s="7">
        <f>IF(A1369="","",IF(OR(B1369="",C1369="",D1369="",E1369=""),"Missing info",IF(ISNA(MATCH(B1369,Staff!$A$2:$A$101,0)),"Unknown employee",IF(H1369="?","Unknown site",IF(G1369&lt;=0,"Check times",IF(G1369&gt;12,"Over 12h",IF(COUNTIFS($L$2:$L$2001,L1369)&gt;1,"Duplicate?",IF(A1369&gt;TODAY(),"Future date","OK"))))))))</f>
        <v/>
      </c>
      <c r="L1369">
        <f>IF(A1369="","",TEXT(A1369,"yyyy-mm-dd")&amp;"|"&amp;B1369&amp;"|"&amp;C1369)</f>
        <v/>
      </c>
    </row>
    <row r="1370">
      <c r="A1370" s="4" t="n"/>
      <c r="D1370" s="5" t="n"/>
      <c r="E1370" s="5" t="n"/>
      <c r="G1370" s="6">
        <f>IF(OR(A1370="",D1370="",E1370=""),"",ROUND(MOD(E1370-D1370,1)*24-N(F1370)/60,2))</f>
        <v/>
      </c>
      <c r="H1370" s="7">
        <f>IF(C1370="","",IFERROR(INDEX(Sites!$B$2:$B$501,MATCH(C1370,Sites!$A$2:$A$501,0)),"?"))</f>
        <v/>
      </c>
      <c r="I1370" s="8">
        <f>IF(A1370="","",A1370-WEEKDAY(A1370,3))</f>
        <v/>
      </c>
      <c r="K1370" s="7">
        <f>IF(A1370="","",IF(OR(B1370="",C1370="",D1370="",E1370=""),"Missing info",IF(ISNA(MATCH(B1370,Staff!$A$2:$A$101,0)),"Unknown employee",IF(H1370="?","Unknown site",IF(G1370&lt;=0,"Check times",IF(G1370&gt;12,"Over 12h",IF(COUNTIFS($L$2:$L$2001,L1370)&gt;1,"Duplicate?",IF(A1370&gt;TODAY(),"Future date","OK"))))))))</f>
        <v/>
      </c>
      <c r="L1370">
        <f>IF(A1370="","",TEXT(A1370,"yyyy-mm-dd")&amp;"|"&amp;B1370&amp;"|"&amp;C1370)</f>
        <v/>
      </c>
    </row>
    <row r="1371">
      <c r="A1371" s="4" t="n"/>
      <c r="D1371" s="5" t="n"/>
      <c r="E1371" s="5" t="n"/>
      <c r="G1371" s="6">
        <f>IF(OR(A1371="",D1371="",E1371=""),"",ROUND(MOD(E1371-D1371,1)*24-N(F1371)/60,2))</f>
        <v/>
      </c>
      <c r="H1371" s="7">
        <f>IF(C1371="","",IFERROR(INDEX(Sites!$B$2:$B$501,MATCH(C1371,Sites!$A$2:$A$501,0)),"?"))</f>
        <v/>
      </c>
      <c r="I1371" s="8">
        <f>IF(A1371="","",A1371-WEEKDAY(A1371,3))</f>
        <v/>
      </c>
      <c r="K1371" s="7">
        <f>IF(A1371="","",IF(OR(B1371="",C1371="",D1371="",E1371=""),"Missing info",IF(ISNA(MATCH(B1371,Staff!$A$2:$A$101,0)),"Unknown employee",IF(H1371="?","Unknown site",IF(G1371&lt;=0,"Check times",IF(G1371&gt;12,"Over 12h",IF(COUNTIFS($L$2:$L$2001,L1371)&gt;1,"Duplicate?",IF(A1371&gt;TODAY(),"Future date","OK"))))))))</f>
        <v/>
      </c>
      <c r="L1371">
        <f>IF(A1371="","",TEXT(A1371,"yyyy-mm-dd")&amp;"|"&amp;B1371&amp;"|"&amp;C1371)</f>
        <v/>
      </c>
    </row>
    <row r="1372">
      <c r="A1372" s="4" t="n"/>
      <c r="D1372" s="5" t="n"/>
      <c r="E1372" s="5" t="n"/>
      <c r="G1372" s="6">
        <f>IF(OR(A1372="",D1372="",E1372=""),"",ROUND(MOD(E1372-D1372,1)*24-N(F1372)/60,2))</f>
        <v/>
      </c>
      <c r="H1372" s="7">
        <f>IF(C1372="","",IFERROR(INDEX(Sites!$B$2:$B$501,MATCH(C1372,Sites!$A$2:$A$501,0)),"?"))</f>
        <v/>
      </c>
      <c r="I1372" s="8">
        <f>IF(A1372="","",A1372-WEEKDAY(A1372,3))</f>
        <v/>
      </c>
      <c r="K1372" s="7">
        <f>IF(A1372="","",IF(OR(B1372="",C1372="",D1372="",E1372=""),"Missing info",IF(ISNA(MATCH(B1372,Staff!$A$2:$A$101,0)),"Unknown employee",IF(H1372="?","Unknown site",IF(G1372&lt;=0,"Check times",IF(G1372&gt;12,"Over 12h",IF(COUNTIFS($L$2:$L$2001,L1372)&gt;1,"Duplicate?",IF(A1372&gt;TODAY(),"Future date","OK"))))))))</f>
        <v/>
      </c>
      <c r="L1372">
        <f>IF(A1372="","",TEXT(A1372,"yyyy-mm-dd")&amp;"|"&amp;B1372&amp;"|"&amp;C1372)</f>
        <v/>
      </c>
    </row>
    <row r="1373">
      <c r="A1373" s="4" t="n"/>
      <c r="D1373" s="5" t="n"/>
      <c r="E1373" s="5" t="n"/>
      <c r="G1373" s="6">
        <f>IF(OR(A1373="",D1373="",E1373=""),"",ROUND(MOD(E1373-D1373,1)*24-N(F1373)/60,2))</f>
        <v/>
      </c>
      <c r="H1373" s="7">
        <f>IF(C1373="","",IFERROR(INDEX(Sites!$B$2:$B$501,MATCH(C1373,Sites!$A$2:$A$501,0)),"?"))</f>
        <v/>
      </c>
      <c r="I1373" s="8">
        <f>IF(A1373="","",A1373-WEEKDAY(A1373,3))</f>
        <v/>
      </c>
      <c r="K1373" s="7">
        <f>IF(A1373="","",IF(OR(B1373="",C1373="",D1373="",E1373=""),"Missing info",IF(ISNA(MATCH(B1373,Staff!$A$2:$A$101,0)),"Unknown employee",IF(H1373="?","Unknown site",IF(G1373&lt;=0,"Check times",IF(G1373&gt;12,"Over 12h",IF(COUNTIFS($L$2:$L$2001,L1373)&gt;1,"Duplicate?",IF(A1373&gt;TODAY(),"Future date","OK"))))))))</f>
        <v/>
      </c>
      <c r="L1373">
        <f>IF(A1373="","",TEXT(A1373,"yyyy-mm-dd")&amp;"|"&amp;B1373&amp;"|"&amp;C1373)</f>
        <v/>
      </c>
    </row>
    <row r="1374">
      <c r="A1374" s="4" t="n"/>
      <c r="D1374" s="5" t="n"/>
      <c r="E1374" s="5" t="n"/>
      <c r="G1374" s="6">
        <f>IF(OR(A1374="",D1374="",E1374=""),"",ROUND(MOD(E1374-D1374,1)*24-N(F1374)/60,2))</f>
        <v/>
      </c>
      <c r="H1374" s="7">
        <f>IF(C1374="","",IFERROR(INDEX(Sites!$B$2:$B$501,MATCH(C1374,Sites!$A$2:$A$501,0)),"?"))</f>
        <v/>
      </c>
      <c r="I1374" s="8">
        <f>IF(A1374="","",A1374-WEEKDAY(A1374,3))</f>
        <v/>
      </c>
      <c r="K1374" s="7">
        <f>IF(A1374="","",IF(OR(B1374="",C1374="",D1374="",E1374=""),"Missing info",IF(ISNA(MATCH(B1374,Staff!$A$2:$A$101,0)),"Unknown employee",IF(H1374="?","Unknown site",IF(G1374&lt;=0,"Check times",IF(G1374&gt;12,"Over 12h",IF(COUNTIFS($L$2:$L$2001,L1374)&gt;1,"Duplicate?",IF(A1374&gt;TODAY(),"Future date","OK"))))))))</f>
        <v/>
      </c>
      <c r="L1374">
        <f>IF(A1374="","",TEXT(A1374,"yyyy-mm-dd")&amp;"|"&amp;B1374&amp;"|"&amp;C1374)</f>
        <v/>
      </c>
    </row>
    <row r="1375">
      <c r="A1375" s="4" t="n"/>
      <c r="D1375" s="5" t="n"/>
      <c r="E1375" s="5" t="n"/>
      <c r="G1375" s="6">
        <f>IF(OR(A1375="",D1375="",E1375=""),"",ROUND(MOD(E1375-D1375,1)*24-N(F1375)/60,2))</f>
        <v/>
      </c>
      <c r="H1375" s="7">
        <f>IF(C1375="","",IFERROR(INDEX(Sites!$B$2:$B$501,MATCH(C1375,Sites!$A$2:$A$501,0)),"?"))</f>
        <v/>
      </c>
      <c r="I1375" s="8">
        <f>IF(A1375="","",A1375-WEEKDAY(A1375,3))</f>
        <v/>
      </c>
      <c r="K1375" s="7">
        <f>IF(A1375="","",IF(OR(B1375="",C1375="",D1375="",E1375=""),"Missing info",IF(ISNA(MATCH(B1375,Staff!$A$2:$A$101,0)),"Unknown employee",IF(H1375="?","Unknown site",IF(G1375&lt;=0,"Check times",IF(G1375&gt;12,"Over 12h",IF(COUNTIFS($L$2:$L$2001,L1375)&gt;1,"Duplicate?",IF(A1375&gt;TODAY(),"Future date","OK"))))))))</f>
        <v/>
      </c>
      <c r="L1375">
        <f>IF(A1375="","",TEXT(A1375,"yyyy-mm-dd")&amp;"|"&amp;B1375&amp;"|"&amp;C1375)</f>
        <v/>
      </c>
    </row>
    <row r="1376">
      <c r="A1376" s="4" t="n"/>
      <c r="D1376" s="5" t="n"/>
      <c r="E1376" s="5" t="n"/>
      <c r="G1376" s="6">
        <f>IF(OR(A1376="",D1376="",E1376=""),"",ROUND(MOD(E1376-D1376,1)*24-N(F1376)/60,2))</f>
        <v/>
      </c>
      <c r="H1376" s="7">
        <f>IF(C1376="","",IFERROR(INDEX(Sites!$B$2:$B$501,MATCH(C1376,Sites!$A$2:$A$501,0)),"?"))</f>
        <v/>
      </c>
      <c r="I1376" s="8">
        <f>IF(A1376="","",A1376-WEEKDAY(A1376,3))</f>
        <v/>
      </c>
      <c r="K1376" s="7">
        <f>IF(A1376="","",IF(OR(B1376="",C1376="",D1376="",E1376=""),"Missing info",IF(ISNA(MATCH(B1376,Staff!$A$2:$A$101,0)),"Unknown employee",IF(H1376="?","Unknown site",IF(G1376&lt;=0,"Check times",IF(G1376&gt;12,"Over 12h",IF(COUNTIFS($L$2:$L$2001,L1376)&gt;1,"Duplicate?",IF(A1376&gt;TODAY(),"Future date","OK"))))))))</f>
        <v/>
      </c>
      <c r="L1376">
        <f>IF(A1376="","",TEXT(A1376,"yyyy-mm-dd")&amp;"|"&amp;B1376&amp;"|"&amp;C1376)</f>
        <v/>
      </c>
    </row>
    <row r="1377">
      <c r="A1377" s="4" t="n"/>
      <c r="D1377" s="5" t="n"/>
      <c r="E1377" s="5" t="n"/>
      <c r="G1377" s="6">
        <f>IF(OR(A1377="",D1377="",E1377=""),"",ROUND(MOD(E1377-D1377,1)*24-N(F1377)/60,2))</f>
        <v/>
      </c>
      <c r="H1377" s="7">
        <f>IF(C1377="","",IFERROR(INDEX(Sites!$B$2:$B$501,MATCH(C1377,Sites!$A$2:$A$501,0)),"?"))</f>
        <v/>
      </c>
      <c r="I1377" s="8">
        <f>IF(A1377="","",A1377-WEEKDAY(A1377,3))</f>
        <v/>
      </c>
      <c r="K1377" s="7">
        <f>IF(A1377="","",IF(OR(B1377="",C1377="",D1377="",E1377=""),"Missing info",IF(ISNA(MATCH(B1377,Staff!$A$2:$A$101,0)),"Unknown employee",IF(H1377="?","Unknown site",IF(G1377&lt;=0,"Check times",IF(G1377&gt;12,"Over 12h",IF(COUNTIFS($L$2:$L$2001,L1377)&gt;1,"Duplicate?",IF(A1377&gt;TODAY(),"Future date","OK"))))))))</f>
        <v/>
      </c>
      <c r="L1377">
        <f>IF(A1377="","",TEXT(A1377,"yyyy-mm-dd")&amp;"|"&amp;B1377&amp;"|"&amp;C1377)</f>
        <v/>
      </c>
    </row>
    <row r="1378">
      <c r="A1378" s="4" t="n"/>
      <c r="D1378" s="5" t="n"/>
      <c r="E1378" s="5" t="n"/>
      <c r="G1378" s="6">
        <f>IF(OR(A1378="",D1378="",E1378=""),"",ROUND(MOD(E1378-D1378,1)*24-N(F1378)/60,2))</f>
        <v/>
      </c>
      <c r="H1378" s="7">
        <f>IF(C1378="","",IFERROR(INDEX(Sites!$B$2:$B$501,MATCH(C1378,Sites!$A$2:$A$501,0)),"?"))</f>
        <v/>
      </c>
      <c r="I1378" s="8">
        <f>IF(A1378="","",A1378-WEEKDAY(A1378,3))</f>
        <v/>
      </c>
      <c r="K1378" s="7">
        <f>IF(A1378="","",IF(OR(B1378="",C1378="",D1378="",E1378=""),"Missing info",IF(ISNA(MATCH(B1378,Staff!$A$2:$A$101,0)),"Unknown employee",IF(H1378="?","Unknown site",IF(G1378&lt;=0,"Check times",IF(G1378&gt;12,"Over 12h",IF(COUNTIFS($L$2:$L$2001,L1378)&gt;1,"Duplicate?",IF(A1378&gt;TODAY(),"Future date","OK"))))))))</f>
        <v/>
      </c>
      <c r="L1378">
        <f>IF(A1378="","",TEXT(A1378,"yyyy-mm-dd")&amp;"|"&amp;B1378&amp;"|"&amp;C1378)</f>
        <v/>
      </c>
    </row>
    <row r="1379">
      <c r="A1379" s="4" t="n"/>
      <c r="D1379" s="5" t="n"/>
      <c r="E1379" s="5" t="n"/>
      <c r="G1379" s="6">
        <f>IF(OR(A1379="",D1379="",E1379=""),"",ROUND(MOD(E1379-D1379,1)*24-N(F1379)/60,2))</f>
        <v/>
      </c>
      <c r="H1379" s="7">
        <f>IF(C1379="","",IFERROR(INDEX(Sites!$B$2:$B$501,MATCH(C1379,Sites!$A$2:$A$501,0)),"?"))</f>
        <v/>
      </c>
      <c r="I1379" s="8">
        <f>IF(A1379="","",A1379-WEEKDAY(A1379,3))</f>
        <v/>
      </c>
      <c r="K1379" s="7">
        <f>IF(A1379="","",IF(OR(B1379="",C1379="",D1379="",E1379=""),"Missing info",IF(ISNA(MATCH(B1379,Staff!$A$2:$A$101,0)),"Unknown employee",IF(H1379="?","Unknown site",IF(G1379&lt;=0,"Check times",IF(G1379&gt;12,"Over 12h",IF(COUNTIFS($L$2:$L$2001,L1379)&gt;1,"Duplicate?",IF(A1379&gt;TODAY(),"Future date","OK"))))))))</f>
        <v/>
      </c>
      <c r="L1379">
        <f>IF(A1379="","",TEXT(A1379,"yyyy-mm-dd")&amp;"|"&amp;B1379&amp;"|"&amp;C1379)</f>
        <v/>
      </c>
    </row>
    <row r="1380">
      <c r="A1380" s="4" t="n"/>
      <c r="D1380" s="5" t="n"/>
      <c r="E1380" s="5" t="n"/>
      <c r="G1380" s="6">
        <f>IF(OR(A1380="",D1380="",E1380=""),"",ROUND(MOD(E1380-D1380,1)*24-N(F1380)/60,2))</f>
        <v/>
      </c>
      <c r="H1380" s="7">
        <f>IF(C1380="","",IFERROR(INDEX(Sites!$B$2:$B$501,MATCH(C1380,Sites!$A$2:$A$501,0)),"?"))</f>
        <v/>
      </c>
      <c r="I1380" s="8">
        <f>IF(A1380="","",A1380-WEEKDAY(A1380,3))</f>
        <v/>
      </c>
      <c r="K1380" s="7">
        <f>IF(A1380="","",IF(OR(B1380="",C1380="",D1380="",E1380=""),"Missing info",IF(ISNA(MATCH(B1380,Staff!$A$2:$A$101,0)),"Unknown employee",IF(H1380="?","Unknown site",IF(G1380&lt;=0,"Check times",IF(G1380&gt;12,"Over 12h",IF(COUNTIFS($L$2:$L$2001,L1380)&gt;1,"Duplicate?",IF(A1380&gt;TODAY(),"Future date","OK"))))))))</f>
        <v/>
      </c>
      <c r="L1380">
        <f>IF(A1380="","",TEXT(A1380,"yyyy-mm-dd")&amp;"|"&amp;B1380&amp;"|"&amp;C1380)</f>
        <v/>
      </c>
    </row>
    <row r="1381">
      <c r="A1381" s="4" t="n"/>
      <c r="D1381" s="5" t="n"/>
      <c r="E1381" s="5" t="n"/>
      <c r="G1381" s="6">
        <f>IF(OR(A1381="",D1381="",E1381=""),"",ROUND(MOD(E1381-D1381,1)*24-N(F1381)/60,2))</f>
        <v/>
      </c>
      <c r="H1381" s="7">
        <f>IF(C1381="","",IFERROR(INDEX(Sites!$B$2:$B$501,MATCH(C1381,Sites!$A$2:$A$501,0)),"?"))</f>
        <v/>
      </c>
      <c r="I1381" s="8">
        <f>IF(A1381="","",A1381-WEEKDAY(A1381,3))</f>
        <v/>
      </c>
      <c r="K1381" s="7">
        <f>IF(A1381="","",IF(OR(B1381="",C1381="",D1381="",E1381=""),"Missing info",IF(ISNA(MATCH(B1381,Staff!$A$2:$A$101,0)),"Unknown employee",IF(H1381="?","Unknown site",IF(G1381&lt;=0,"Check times",IF(G1381&gt;12,"Over 12h",IF(COUNTIFS($L$2:$L$2001,L1381)&gt;1,"Duplicate?",IF(A1381&gt;TODAY(),"Future date","OK"))))))))</f>
        <v/>
      </c>
      <c r="L1381">
        <f>IF(A1381="","",TEXT(A1381,"yyyy-mm-dd")&amp;"|"&amp;B1381&amp;"|"&amp;C1381)</f>
        <v/>
      </c>
    </row>
    <row r="1382">
      <c r="A1382" s="4" t="n"/>
      <c r="D1382" s="5" t="n"/>
      <c r="E1382" s="5" t="n"/>
      <c r="G1382" s="6">
        <f>IF(OR(A1382="",D1382="",E1382=""),"",ROUND(MOD(E1382-D1382,1)*24-N(F1382)/60,2))</f>
        <v/>
      </c>
      <c r="H1382" s="7">
        <f>IF(C1382="","",IFERROR(INDEX(Sites!$B$2:$B$501,MATCH(C1382,Sites!$A$2:$A$501,0)),"?"))</f>
        <v/>
      </c>
      <c r="I1382" s="8">
        <f>IF(A1382="","",A1382-WEEKDAY(A1382,3))</f>
        <v/>
      </c>
      <c r="K1382" s="7">
        <f>IF(A1382="","",IF(OR(B1382="",C1382="",D1382="",E1382=""),"Missing info",IF(ISNA(MATCH(B1382,Staff!$A$2:$A$101,0)),"Unknown employee",IF(H1382="?","Unknown site",IF(G1382&lt;=0,"Check times",IF(G1382&gt;12,"Over 12h",IF(COUNTIFS($L$2:$L$2001,L1382)&gt;1,"Duplicate?",IF(A1382&gt;TODAY(),"Future date","OK"))))))))</f>
        <v/>
      </c>
      <c r="L1382">
        <f>IF(A1382="","",TEXT(A1382,"yyyy-mm-dd")&amp;"|"&amp;B1382&amp;"|"&amp;C1382)</f>
        <v/>
      </c>
    </row>
    <row r="1383">
      <c r="A1383" s="4" t="n"/>
      <c r="D1383" s="5" t="n"/>
      <c r="E1383" s="5" t="n"/>
      <c r="G1383" s="6">
        <f>IF(OR(A1383="",D1383="",E1383=""),"",ROUND(MOD(E1383-D1383,1)*24-N(F1383)/60,2))</f>
        <v/>
      </c>
      <c r="H1383" s="7">
        <f>IF(C1383="","",IFERROR(INDEX(Sites!$B$2:$B$501,MATCH(C1383,Sites!$A$2:$A$501,0)),"?"))</f>
        <v/>
      </c>
      <c r="I1383" s="8">
        <f>IF(A1383="","",A1383-WEEKDAY(A1383,3))</f>
        <v/>
      </c>
      <c r="K1383" s="7">
        <f>IF(A1383="","",IF(OR(B1383="",C1383="",D1383="",E1383=""),"Missing info",IF(ISNA(MATCH(B1383,Staff!$A$2:$A$101,0)),"Unknown employee",IF(H1383="?","Unknown site",IF(G1383&lt;=0,"Check times",IF(G1383&gt;12,"Over 12h",IF(COUNTIFS($L$2:$L$2001,L1383)&gt;1,"Duplicate?",IF(A1383&gt;TODAY(),"Future date","OK"))))))))</f>
        <v/>
      </c>
      <c r="L1383">
        <f>IF(A1383="","",TEXT(A1383,"yyyy-mm-dd")&amp;"|"&amp;B1383&amp;"|"&amp;C1383)</f>
        <v/>
      </c>
    </row>
    <row r="1384">
      <c r="A1384" s="4" t="n"/>
      <c r="D1384" s="5" t="n"/>
      <c r="E1384" s="5" t="n"/>
      <c r="G1384" s="6">
        <f>IF(OR(A1384="",D1384="",E1384=""),"",ROUND(MOD(E1384-D1384,1)*24-N(F1384)/60,2))</f>
        <v/>
      </c>
      <c r="H1384" s="7">
        <f>IF(C1384="","",IFERROR(INDEX(Sites!$B$2:$B$501,MATCH(C1384,Sites!$A$2:$A$501,0)),"?"))</f>
        <v/>
      </c>
      <c r="I1384" s="8">
        <f>IF(A1384="","",A1384-WEEKDAY(A1384,3))</f>
        <v/>
      </c>
      <c r="K1384" s="7">
        <f>IF(A1384="","",IF(OR(B1384="",C1384="",D1384="",E1384=""),"Missing info",IF(ISNA(MATCH(B1384,Staff!$A$2:$A$101,0)),"Unknown employee",IF(H1384="?","Unknown site",IF(G1384&lt;=0,"Check times",IF(G1384&gt;12,"Over 12h",IF(COUNTIFS($L$2:$L$2001,L1384)&gt;1,"Duplicate?",IF(A1384&gt;TODAY(),"Future date","OK"))))))))</f>
        <v/>
      </c>
      <c r="L1384">
        <f>IF(A1384="","",TEXT(A1384,"yyyy-mm-dd")&amp;"|"&amp;B1384&amp;"|"&amp;C1384)</f>
        <v/>
      </c>
    </row>
    <row r="1385">
      <c r="A1385" s="4" t="n"/>
      <c r="D1385" s="5" t="n"/>
      <c r="E1385" s="5" t="n"/>
      <c r="G1385" s="6">
        <f>IF(OR(A1385="",D1385="",E1385=""),"",ROUND(MOD(E1385-D1385,1)*24-N(F1385)/60,2))</f>
        <v/>
      </c>
      <c r="H1385" s="7">
        <f>IF(C1385="","",IFERROR(INDEX(Sites!$B$2:$B$501,MATCH(C1385,Sites!$A$2:$A$501,0)),"?"))</f>
        <v/>
      </c>
      <c r="I1385" s="8">
        <f>IF(A1385="","",A1385-WEEKDAY(A1385,3))</f>
        <v/>
      </c>
      <c r="K1385" s="7">
        <f>IF(A1385="","",IF(OR(B1385="",C1385="",D1385="",E1385=""),"Missing info",IF(ISNA(MATCH(B1385,Staff!$A$2:$A$101,0)),"Unknown employee",IF(H1385="?","Unknown site",IF(G1385&lt;=0,"Check times",IF(G1385&gt;12,"Over 12h",IF(COUNTIFS($L$2:$L$2001,L1385)&gt;1,"Duplicate?",IF(A1385&gt;TODAY(),"Future date","OK"))))))))</f>
        <v/>
      </c>
      <c r="L1385">
        <f>IF(A1385="","",TEXT(A1385,"yyyy-mm-dd")&amp;"|"&amp;B1385&amp;"|"&amp;C1385)</f>
        <v/>
      </c>
    </row>
    <row r="1386">
      <c r="A1386" s="4" t="n"/>
      <c r="D1386" s="5" t="n"/>
      <c r="E1386" s="5" t="n"/>
      <c r="G1386" s="6">
        <f>IF(OR(A1386="",D1386="",E1386=""),"",ROUND(MOD(E1386-D1386,1)*24-N(F1386)/60,2))</f>
        <v/>
      </c>
      <c r="H1386" s="7">
        <f>IF(C1386="","",IFERROR(INDEX(Sites!$B$2:$B$501,MATCH(C1386,Sites!$A$2:$A$501,0)),"?"))</f>
        <v/>
      </c>
      <c r="I1386" s="8">
        <f>IF(A1386="","",A1386-WEEKDAY(A1386,3))</f>
        <v/>
      </c>
      <c r="K1386" s="7">
        <f>IF(A1386="","",IF(OR(B1386="",C1386="",D1386="",E1386=""),"Missing info",IF(ISNA(MATCH(B1386,Staff!$A$2:$A$101,0)),"Unknown employee",IF(H1386="?","Unknown site",IF(G1386&lt;=0,"Check times",IF(G1386&gt;12,"Over 12h",IF(COUNTIFS($L$2:$L$2001,L1386)&gt;1,"Duplicate?",IF(A1386&gt;TODAY(),"Future date","OK"))))))))</f>
        <v/>
      </c>
      <c r="L1386">
        <f>IF(A1386="","",TEXT(A1386,"yyyy-mm-dd")&amp;"|"&amp;B1386&amp;"|"&amp;C1386)</f>
        <v/>
      </c>
    </row>
    <row r="1387">
      <c r="A1387" s="4" t="n"/>
      <c r="D1387" s="5" t="n"/>
      <c r="E1387" s="5" t="n"/>
      <c r="G1387" s="6">
        <f>IF(OR(A1387="",D1387="",E1387=""),"",ROUND(MOD(E1387-D1387,1)*24-N(F1387)/60,2))</f>
        <v/>
      </c>
      <c r="H1387" s="7">
        <f>IF(C1387="","",IFERROR(INDEX(Sites!$B$2:$B$501,MATCH(C1387,Sites!$A$2:$A$501,0)),"?"))</f>
        <v/>
      </c>
      <c r="I1387" s="8">
        <f>IF(A1387="","",A1387-WEEKDAY(A1387,3))</f>
        <v/>
      </c>
      <c r="K1387" s="7">
        <f>IF(A1387="","",IF(OR(B1387="",C1387="",D1387="",E1387=""),"Missing info",IF(ISNA(MATCH(B1387,Staff!$A$2:$A$101,0)),"Unknown employee",IF(H1387="?","Unknown site",IF(G1387&lt;=0,"Check times",IF(G1387&gt;12,"Over 12h",IF(COUNTIFS($L$2:$L$2001,L1387)&gt;1,"Duplicate?",IF(A1387&gt;TODAY(),"Future date","OK"))))))))</f>
        <v/>
      </c>
      <c r="L1387">
        <f>IF(A1387="","",TEXT(A1387,"yyyy-mm-dd")&amp;"|"&amp;B1387&amp;"|"&amp;C1387)</f>
        <v/>
      </c>
    </row>
    <row r="1388">
      <c r="A1388" s="4" t="n"/>
      <c r="D1388" s="5" t="n"/>
      <c r="E1388" s="5" t="n"/>
      <c r="G1388" s="6">
        <f>IF(OR(A1388="",D1388="",E1388=""),"",ROUND(MOD(E1388-D1388,1)*24-N(F1388)/60,2))</f>
        <v/>
      </c>
      <c r="H1388" s="7">
        <f>IF(C1388="","",IFERROR(INDEX(Sites!$B$2:$B$501,MATCH(C1388,Sites!$A$2:$A$501,0)),"?"))</f>
        <v/>
      </c>
      <c r="I1388" s="8">
        <f>IF(A1388="","",A1388-WEEKDAY(A1388,3))</f>
        <v/>
      </c>
      <c r="K1388" s="7">
        <f>IF(A1388="","",IF(OR(B1388="",C1388="",D1388="",E1388=""),"Missing info",IF(ISNA(MATCH(B1388,Staff!$A$2:$A$101,0)),"Unknown employee",IF(H1388="?","Unknown site",IF(G1388&lt;=0,"Check times",IF(G1388&gt;12,"Over 12h",IF(COUNTIFS($L$2:$L$2001,L1388)&gt;1,"Duplicate?",IF(A1388&gt;TODAY(),"Future date","OK"))))))))</f>
        <v/>
      </c>
      <c r="L1388">
        <f>IF(A1388="","",TEXT(A1388,"yyyy-mm-dd")&amp;"|"&amp;B1388&amp;"|"&amp;C1388)</f>
        <v/>
      </c>
    </row>
    <row r="1389">
      <c r="A1389" s="4" t="n"/>
      <c r="D1389" s="5" t="n"/>
      <c r="E1389" s="5" t="n"/>
      <c r="G1389" s="6">
        <f>IF(OR(A1389="",D1389="",E1389=""),"",ROUND(MOD(E1389-D1389,1)*24-N(F1389)/60,2))</f>
        <v/>
      </c>
      <c r="H1389" s="7">
        <f>IF(C1389="","",IFERROR(INDEX(Sites!$B$2:$B$501,MATCH(C1389,Sites!$A$2:$A$501,0)),"?"))</f>
        <v/>
      </c>
      <c r="I1389" s="8">
        <f>IF(A1389="","",A1389-WEEKDAY(A1389,3))</f>
        <v/>
      </c>
      <c r="K1389" s="7">
        <f>IF(A1389="","",IF(OR(B1389="",C1389="",D1389="",E1389=""),"Missing info",IF(ISNA(MATCH(B1389,Staff!$A$2:$A$101,0)),"Unknown employee",IF(H1389="?","Unknown site",IF(G1389&lt;=0,"Check times",IF(G1389&gt;12,"Over 12h",IF(COUNTIFS($L$2:$L$2001,L1389)&gt;1,"Duplicate?",IF(A1389&gt;TODAY(),"Future date","OK"))))))))</f>
        <v/>
      </c>
      <c r="L1389">
        <f>IF(A1389="","",TEXT(A1389,"yyyy-mm-dd")&amp;"|"&amp;B1389&amp;"|"&amp;C1389)</f>
        <v/>
      </c>
    </row>
    <row r="1390">
      <c r="A1390" s="4" t="n"/>
      <c r="D1390" s="5" t="n"/>
      <c r="E1390" s="5" t="n"/>
      <c r="G1390" s="6">
        <f>IF(OR(A1390="",D1390="",E1390=""),"",ROUND(MOD(E1390-D1390,1)*24-N(F1390)/60,2))</f>
        <v/>
      </c>
      <c r="H1390" s="7">
        <f>IF(C1390="","",IFERROR(INDEX(Sites!$B$2:$B$501,MATCH(C1390,Sites!$A$2:$A$501,0)),"?"))</f>
        <v/>
      </c>
      <c r="I1390" s="8">
        <f>IF(A1390="","",A1390-WEEKDAY(A1390,3))</f>
        <v/>
      </c>
      <c r="K1390" s="7">
        <f>IF(A1390="","",IF(OR(B1390="",C1390="",D1390="",E1390=""),"Missing info",IF(ISNA(MATCH(B1390,Staff!$A$2:$A$101,0)),"Unknown employee",IF(H1390="?","Unknown site",IF(G1390&lt;=0,"Check times",IF(G1390&gt;12,"Over 12h",IF(COUNTIFS($L$2:$L$2001,L1390)&gt;1,"Duplicate?",IF(A1390&gt;TODAY(),"Future date","OK"))))))))</f>
        <v/>
      </c>
      <c r="L1390">
        <f>IF(A1390="","",TEXT(A1390,"yyyy-mm-dd")&amp;"|"&amp;B1390&amp;"|"&amp;C1390)</f>
        <v/>
      </c>
    </row>
    <row r="1391">
      <c r="A1391" s="4" t="n"/>
      <c r="D1391" s="5" t="n"/>
      <c r="E1391" s="5" t="n"/>
      <c r="G1391" s="6">
        <f>IF(OR(A1391="",D1391="",E1391=""),"",ROUND(MOD(E1391-D1391,1)*24-N(F1391)/60,2))</f>
        <v/>
      </c>
      <c r="H1391" s="7">
        <f>IF(C1391="","",IFERROR(INDEX(Sites!$B$2:$B$501,MATCH(C1391,Sites!$A$2:$A$501,0)),"?"))</f>
        <v/>
      </c>
      <c r="I1391" s="8">
        <f>IF(A1391="","",A1391-WEEKDAY(A1391,3))</f>
        <v/>
      </c>
      <c r="K1391" s="7">
        <f>IF(A1391="","",IF(OR(B1391="",C1391="",D1391="",E1391=""),"Missing info",IF(ISNA(MATCH(B1391,Staff!$A$2:$A$101,0)),"Unknown employee",IF(H1391="?","Unknown site",IF(G1391&lt;=0,"Check times",IF(G1391&gt;12,"Over 12h",IF(COUNTIFS($L$2:$L$2001,L1391)&gt;1,"Duplicate?",IF(A1391&gt;TODAY(),"Future date","OK"))))))))</f>
        <v/>
      </c>
      <c r="L1391">
        <f>IF(A1391="","",TEXT(A1391,"yyyy-mm-dd")&amp;"|"&amp;B1391&amp;"|"&amp;C1391)</f>
        <v/>
      </c>
    </row>
    <row r="1392">
      <c r="A1392" s="4" t="n"/>
      <c r="D1392" s="5" t="n"/>
      <c r="E1392" s="5" t="n"/>
      <c r="G1392" s="6">
        <f>IF(OR(A1392="",D1392="",E1392=""),"",ROUND(MOD(E1392-D1392,1)*24-N(F1392)/60,2))</f>
        <v/>
      </c>
      <c r="H1392" s="7">
        <f>IF(C1392="","",IFERROR(INDEX(Sites!$B$2:$B$501,MATCH(C1392,Sites!$A$2:$A$501,0)),"?"))</f>
        <v/>
      </c>
      <c r="I1392" s="8">
        <f>IF(A1392="","",A1392-WEEKDAY(A1392,3))</f>
        <v/>
      </c>
      <c r="K1392" s="7">
        <f>IF(A1392="","",IF(OR(B1392="",C1392="",D1392="",E1392=""),"Missing info",IF(ISNA(MATCH(B1392,Staff!$A$2:$A$101,0)),"Unknown employee",IF(H1392="?","Unknown site",IF(G1392&lt;=0,"Check times",IF(G1392&gt;12,"Over 12h",IF(COUNTIFS($L$2:$L$2001,L1392)&gt;1,"Duplicate?",IF(A1392&gt;TODAY(),"Future date","OK"))))))))</f>
        <v/>
      </c>
      <c r="L1392">
        <f>IF(A1392="","",TEXT(A1392,"yyyy-mm-dd")&amp;"|"&amp;B1392&amp;"|"&amp;C1392)</f>
        <v/>
      </c>
    </row>
    <row r="1393">
      <c r="A1393" s="4" t="n"/>
      <c r="D1393" s="5" t="n"/>
      <c r="E1393" s="5" t="n"/>
      <c r="G1393" s="6">
        <f>IF(OR(A1393="",D1393="",E1393=""),"",ROUND(MOD(E1393-D1393,1)*24-N(F1393)/60,2))</f>
        <v/>
      </c>
      <c r="H1393" s="7">
        <f>IF(C1393="","",IFERROR(INDEX(Sites!$B$2:$B$501,MATCH(C1393,Sites!$A$2:$A$501,0)),"?"))</f>
        <v/>
      </c>
      <c r="I1393" s="8">
        <f>IF(A1393="","",A1393-WEEKDAY(A1393,3))</f>
        <v/>
      </c>
      <c r="K1393" s="7">
        <f>IF(A1393="","",IF(OR(B1393="",C1393="",D1393="",E1393=""),"Missing info",IF(ISNA(MATCH(B1393,Staff!$A$2:$A$101,0)),"Unknown employee",IF(H1393="?","Unknown site",IF(G1393&lt;=0,"Check times",IF(G1393&gt;12,"Over 12h",IF(COUNTIFS($L$2:$L$2001,L1393)&gt;1,"Duplicate?",IF(A1393&gt;TODAY(),"Future date","OK"))))))))</f>
        <v/>
      </c>
      <c r="L1393">
        <f>IF(A1393="","",TEXT(A1393,"yyyy-mm-dd")&amp;"|"&amp;B1393&amp;"|"&amp;C1393)</f>
        <v/>
      </c>
    </row>
    <row r="1394">
      <c r="A1394" s="4" t="n"/>
      <c r="D1394" s="5" t="n"/>
      <c r="E1394" s="5" t="n"/>
      <c r="G1394" s="6">
        <f>IF(OR(A1394="",D1394="",E1394=""),"",ROUND(MOD(E1394-D1394,1)*24-N(F1394)/60,2))</f>
        <v/>
      </c>
      <c r="H1394" s="7">
        <f>IF(C1394="","",IFERROR(INDEX(Sites!$B$2:$B$501,MATCH(C1394,Sites!$A$2:$A$501,0)),"?"))</f>
        <v/>
      </c>
      <c r="I1394" s="8">
        <f>IF(A1394="","",A1394-WEEKDAY(A1394,3))</f>
        <v/>
      </c>
      <c r="K1394" s="7">
        <f>IF(A1394="","",IF(OR(B1394="",C1394="",D1394="",E1394=""),"Missing info",IF(ISNA(MATCH(B1394,Staff!$A$2:$A$101,0)),"Unknown employee",IF(H1394="?","Unknown site",IF(G1394&lt;=0,"Check times",IF(G1394&gt;12,"Over 12h",IF(COUNTIFS($L$2:$L$2001,L1394)&gt;1,"Duplicate?",IF(A1394&gt;TODAY(),"Future date","OK"))))))))</f>
        <v/>
      </c>
      <c r="L1394">
        <f>IF(A1394="","",TEXT(A1394,"yyyy-mm-dd")&amp;"|"&amp;B1394&amp;"|"&amp;C1394)</f>
        <v/>
      </c>
    </row>
    <row r="1395">
      <c r="A1395" s="4" t="n"/>
      <c r="D1395" s="5" t="n"/>
      <c r="E1395" s="5" t="n"/>
      <c r="G1395" s="6">
        <f>IF(OR(A1395="",D1395="",E1395=""),"",ROUND(MOD(E1395-D1395,1)*24-N(F1395)/60,2))</f>
        <v/>
      </c>
      <c r="H1395" s="7">
        <f>IF(C1395="","",IFERROR(INDEX(Sites!$B$2:$B$501,MATCH(C1395,Sites!$A$2:$A$501,0)),"?"))</f>
        <v/>
      </c>
      <c r="I1395" s="8">
        <f>IF(A1395="","",A1395-WEEKDAY(A1395,3))</f>
        <v/>
      </c>
      <c r="K1395" s="7">
        <f>IF(A1395="","",IF(OR(B1395="",C1395="",D1395="",E1395=""),"Missing info",IF(ISNA(MATCH(B1395,Staff!$A$2:$A$101,0)),"Unknown employee",IF(H1395="?","Unknown site",IF(G1395&lt;=0,"Check times",IF(G1395&gt;12,"Over 12h",IF(COUNTIFS($L$2:$L$2001,L1395)&gt;1,"Duplicate?",IF(A1395&gt;TODAY(),"Future date","OK"))))))))</f>
        <v/>
      </c>
      <c r="L1395">
        <f>IF(A1395="","",TEXT(A1395,"yyyy-mm-dd")&amp;"|"&amp;B1395&amp;"|"&amp;C1395)</f>
        <v/>
      </c>
    </row>
    <row r="1396">
      <c r="A1396" s="4" t="n"/>
      <c r="D1396" s="5" t="n"/>
      <c r="E1396" s="5" t="n"/>
      <c r="G1396" s="6">
        <f>IF(OR(A1396="",D1396="",E1396=""),"",ROUND(MOD(E1396-D1396,1)*24-N(F1396)/60,2))</f>
        <v/>
      </c>
      <c r="H1396" s="7">
        <f>IF(C1396="","",IFERROR(INDEX(Sites!$B$2:$B$501,MATCH(C1396,Sites!$A$2:$A$501,0)),"?"))</f>
        <v/>
      </c>
      <c r="I1396" s="8">
        <f>IF(A1396="","",A1396-WEEKDAY(A1396,3))</f>
        <v/>
      </c>
      <c r="K1396" s="7">
        <f>IF(A1396="","",IF(OR(B1396="",C1396="",D1396="",E1396=""),"Missing info",IF(ISNA(MATCH(B1396,Staff!$A$2:$A$101,0)),"Unknown employee",IF(H1396="?","Unknown site",IF(G1396&lt;=0,"Check times",IF(G1396&gt;12,"Over 12h",IF(COUNTIFS($L$2:$L$2001,L1396)&gt;1,"Duplicate?",IF(A1396&gt;TODAY(),"Future date","OK"))))))))</f>
        <v/>
      </c>
      <c r="L1396">
        <f>IF(A1396="","",TEXT(A1396,"yyyy-mm-dd")&amp;"|"&amp;B1396&amp;"|"&amp;C1396)</f>
        <v/>
      </c>
    </row>
    <row r="1397">
      <c r="A1397" s="4" t="n"/>
      <c r="D1397" s="5" t="n"/>
      <c r="E1397" s="5" t="n"/>
      <c r="G1397" s="6">
        <f>IF(OR(A1397="",D1397="",E1397=""),"",ROUND(MOD(E1397-D1397,1)*24-N(F1397)/60,2))</f>
        <v/>
      </c>
      <c r="H1397" s="7">
        <f>IF(C1397="","",IFERROR(INDEX(Sites!$B$2:$B$501,MATCH(C1397,Sites!$A$2:$A$501,0)),"?"))</f>
        <v/>
      </c>
      <c r="I1397" s="8">
        <f>IF(A1397="","",A1397-WEEKDAY(A1397,3))</f>
        <v/>
      </c>
      <c r="K1397" s="7">
        <f>IF(A1397="","",IF(OR(B1397="",C1397="",D1397="",E1397=""),"Missing info",IF(ISNA(MATCH(B1397,Staff!$A$2:$A$101,0)),"Unknown employee",IF(H1397="?","Unknown site",IF(G1397&lt;=0,"Check times",IF(G1397&gt;12,"Over 12h",IF(COUNTIFS($L$2:$L$2001,L1397)&gt;1,"Duplicate?",IF(A1397&gt;TODAY(),"Future date","OK"))))))))</f>
        <v/>
      </c>
      <c r="L1397">
        <f>IF(A1397="","",TEXT(A1397,"yyyy-mm-dd")&amp;"|"&amp;B1397&amp;"|"&amp;C1397)</f>
        <v/>
      </c>
    </row>
    <row r="1398">
      <c r="A1398" s="4" t="n"/>
      <c r="D1398" s="5" t="n"/>
      <c r="E1398" s="5" t="n"/>
      <c r="G1398" s="6">
        <f>IF(OR(A1398="",D1398="",E1398=""),"",ROUND(MOD(E1398-D1398,1)*24-N(F1398)/60,2))</f>
        <v/>
      </c>
      <c r="H1398" s="7">
        <f>IF(C1398="","",IFERROR(INDEX(Sites!$B$2:$B$501,MATCH(C1398,Sites!$A$2:$A$501,0)),"?"))</f>
        <v/>
      </c>
      <c r="I1398" s="8">
        <f>IF(A1398="","",A1398-WEEKDAY(A1398,3))</f>
        <v/>
      </c>
      <c r="K1398" s="7">
        <f>IF(A1398="","",IF(OR(B1398="",C1398="",D1398="",E1398=""),"Missing info",IF(ISNA(MATCH(B1398,Staff!$A$2:$A$101,0)),"Unknown employee",IF(H1398="?","Unknown site",IF(G1398&lt;=0,"Check times",IF(G1398&gt;12,"Over 12h",IF(COUNTIFS($L$2:$L$2001,L1398)&gt;1,"Duplicate?",IF(A1398&gt;TODAY(),"Future date","OK"))))))))</f>
        <v/>
      </c>
      <c r="L1398">
        <f>IF(A1398="","",TEXT(A1398,"yyyy-mm-dd")&amp;"|"&amp;B1398&amp;"|"&amp;C1398)</f>
        <v/>
      </c>
    </row>
    <row r="1399">
      <c r="A1399" s="4" t="n"/>
      <c r="D1399" s="5" t="n"/>
      <c r="E1399" s="5" t="n"/>
      <c r="G1399" s="6">
        <f>IF(OR(A1399="",D1399="",E1399=""),"",ROUND(MOD(E1399-D1399,1)*24-N(F1399)/60,2))</f>
        <v/>
      </c>
      <c r="H1399" s="7">
        <f>IF(C1399="","",IFERROR(INDEX(Sites!$B$2:$B$501,MATCH(C1399,Sites!$A$2:$A$501,0)),"?"))</f>
        <v/>
      </c>
      <c r="I1399" s="8">
        <f>IF(A1399="","",A1399-WEEKDAY(A1399,3))</f>
        <v/>
      </c>
      <c r="K1399" s="7">
        <f>IF(A1399="","",IF(OR(B1399="",C1399="",D1399="",E1399=""),"Missing info",IF(ISNA(MATCH(B1399,Staff!$A$2:$A$101,0)),"Unknown employee",IF(H1399="?","Unknown site",IF(G1399&lt;=0,"Check times",IF(G1399&gt;12,"Over 12h",IF(COUNTIFS($L$2:$L$2001,L1399)&gt;1,"Duplicate?",IF(A1399&gt;TODAY(),"Future date","OK"))))))))</f>
        <v/>
      </c>
      <c r="L1399">
        <f>IF(A1399="","",TEXT(A1399,"yyyy-mm-dd")&amp;"|"&amp;B1399&amp;"|"&amp;C1399)</f>
        <v/>
      </c>
    </row>
    <row r="1400">
      <c r="A1400" s="4" t="n"/>
      <c r="D1400" s="5" t="n"/>
      <c r="E1400" s="5" t="n"/>
      <c r="G1400" s="6">
        <f>IF(OR(A1400="",D1400="",E1400=""),"",ROUND(MOD(E1400-D1400,1)*24-N(F1400)/60,2))</f>
        <v/>
      </c>
      <c r="H1400" s="7">
        <f>IF(C1400="","",IFERROR(INDEX(Sites!$B$2:$B$501,MATCH(C1400,Sites!$A$2:$A$501,0)),"?"))</f>
        <v/>
      </c>
      <c r="I1400" s="8">
        <f>IF(A1400="","",A1400-WEEKDAY(A1400,3))</f>
        <v/>
      </c>
      <c r="K1400" s="7">
        <f>IF(A1400="","",IF(OR(B1400="",C1400="",D1400="",E1400=""),"Missing info",IF(ISNA(MATCH(B1400,Staff!$A$2:$A$101,0)),"Unknown employee",IF(H1400="?","Unknown site",IF(G1400&lt;=0,"Check times",IF(G1400&gt;12,"Over 12h",IF(COUNTIFS($L$2:$L$2001,L1400)&gt;1,"Duplicate?",IF(A1400&gt;TODAY(),"Future date","OK"))))))))</f>
        <v/>
      </c>
      <c r="L1400">
        <f>IF(A1400="","",TEXT(A1400,"yyyy-mm-dd")&amp;"|"&amp;B1400&amp;"|"&amp;C1400)</f>
        <v/>
      </c>
    </row>
    <row r="1401">
      <c r="A1401" s="4" t="n"/>
      <c r="D1401" s="5" t="n"/>
      <c r="E1401" s="5" t="n"/>
      <c r="G1401" s="6">
        <f>IF(OR(A1401="",D1401="",E1401=""),"",ROUND(MOD(E1401-D1401,1)*24-N(F1401)/60,2))</f>
        <v/>
      </c>
      <c r="H1401" s="7">
        <f>IF(C1401="","",IFERROR(INDEX(Sites!$B$2:$B$501,MATCH(C1401,Sites!$A$2:$A$501,0)),"?"))</f>
        <v/>
      </c>
      <c r="I1401" s="8">
        <f>IF(A1401="","",A1401-WEEKDAY(A1401,3))</f>
        <v/>
      </c>
      <c r="K1401" s="7">
        <f>IF(A1401="","",IF(OR(B1401="",C1401="",D1401="",E1401=""),"Missing info",IF(ISNA(MATCH(B1401,Staff!$A$2:$A$101,0)),"Unknown employee",IF(H1401="?","Unknown site",IF(G1401&lt;=0,"Check times",IF(G1401&gt;12,"Over 12h",IF(COUNTIFS($L$2:$L$2001,L1401)&gt;1,"Duplicate?",IF(A1401&gt;TODAY(),"Future date","OK"))))))))</f>
        <v/>
      </c>
      <c r="L1401">
        <f>IF(A1401="","",TEXT(A1401,"yyyy-mm-dd")&amp;"|"&amp;B1401&amp;"|"&amp;C1401)</f>
        <v/>
      </c>
    </row>
    <row r="1402">
      <c r="A1402" s="4" t="n"/>
      <c r="D1402" s="5" t="n"/>
      <c r="E1402" s="5" t="n"/>
      <c r="G1402" s="6">
        <f>IF(OR(A1402="",D1402="",E1402=""),"",ROUND(MOD(E1402-D1402,1)*24-N(F1402)/60,2))</f>
        <v/>
      </c>
      <c r="H1402" s="7">
        <f>IF(C1402="","",IFERROR(INDEX(Sites!$B$2:$B$501,MATCH(C1402,Sites!$A$2:$A$501,0)),"?"))</f>
        <v/>
      </c>
      <c r="I1402" s="8">
        <f>IF(A1402="","",A1402-WEEKDAY(A1402,3))</f>
        <v/>
      </c>
      <c r="K1402" s="7">
        <f>IF(A1402="","",IF(OR(B1402="",C1402="",D1402="",E1402=""),"Missing info",IF(ISNA(MATCH(B1402,Staff!$A$2:$A$101,0)),"Unknown employee",IF(H1402="?","Unknown site",IF(G1402&lt;=0,"Check times",IF(G1402&gt;12,"Over 12h",IF(COUNTIFS($L$2:$L$2001,L1402)&gt;1,"Duplicate?",IF(A1402&gt;TODAY(),"Future date","OK"))))))))</f>
        <v/>
      </c>
      <c r="L1402">
        <f>IF(A1402="","",TEXT(A1402,"yyyy-mm-dd")&amp;"|"&amp;B1402&amp;"|"&amp;C1402)</f>
        <v/>
      </c>
    </row>
    <row r="1403">
      <c r="A1403" s="4" t="n"/>
      <c r="D1403" s="5" t="n"/>
      <c r="E1403" s="5" t="n"/>
      <c r="G1403" s="6">
        <f>IF(OR(A1403="",D1403="",E1403=""),"",ROUND(MOD(E1403-D1403,1)*24-N(F1403)/60,2))</f>
        <v/>
      </c>
      <c r="H1403" s="7">
        <f>IF(C1403="","",IFERROR(INDEX(Sites!$B$2:$B$501,MATCH(C1403,Sites!$A$2:$A$501,0)),"?"))</f>
        <v/>
      </c>
      <c r="I1403" s="8">
        <f>IF(A1403="","",A1403-WEEKDAY(A1403,3))</f>
        <v/>
      </c>
      <c r="K1403" s="7">
        <f>IF(A1403="","",IF(OR(B1403="",C1403="",D1403="",E1403=""),"Missing info",IF(ISNA(MATCH(B1403,Staff!$A$2:$A$101,0)),"Unknown employee",IF(H1403="?","Unknown site",IF(G1403&lt;=0,"Check times",IF(G1403&gt;12,"Over 12h",IF(COUNTIFS($L$2:$L$2001,L1403)&gt;1,"Duplicate?",IF(A1403&gt;TODAY(),"Future date","OK"))))))))</f>
        <v/>
      </c>
      <c r="L1403">
        <f>IF(A1403="","",TEXT(A1403,"yyyy-mm-dd")&amp;"|"&amp;B1403&amp;"|"&amp;C1403)</f>
        <v/>
      </c>
    </row>
    <row r="1404">
      <c r="A1404" s="4" t="n"/>
      <c r="D1404" s="5" t="n"/>
      <c r="E1404" s="5" t="n"/>
      <c r="G1404" s="6">
        <f>IF(OR(A1404="",D1404="",E1404=""),"",ROUND(MOD(E1404-D1404,1)*24-N(F1404)/60,2))</f>
        <v/>
      </c>
      <c r="H1404" s="7">
        <f>IF(C1404="","",IFERROR(INDEX(Sites!$B$2:$B$501,MATCH(C1404,Sites!$A$2:$A$501,0)),"?"))</f>
        <v/>
      </c>
      <c r="I1404" s="8">
        <f>IF(A1404="","",A1404-WEEKDAY(A1404,3))</f>
        <v/>
      </c>
      <c r="K1404" s="7">
        <f>IF(A1404="","",IF(OR(B1404="",C1404="",D1404="",E1404=""),"Missing info",IF(ISNA(MATCH(B1404,Staff!$A$2:$A$101,0)),"Unknown employee",IF(H1404="?","Unknown site",IF(G1404&lt;=0,"Check times",IF(G1404&gt;12,"Over 12h",IF(COUNTIFS($L$2:$L$2001,L1404)&gt;1,"Duplicate?",IF(A1404&gt;TODAY(),"Future date","OK"))))))))</f>
        <v/>
      </c>
      <c r="L1404">
        <f>IF(A1404="","",TEXT(A1404,"yyyy-mm-dd")&amp;"|"&amp;B1404&amp;"|"&amp;C1404)</f>
        <v/>
      </c>
    </row>
    <row r="1405">
      <c r="A1405" s="4" t="n"/>
      <c r="D1405" s="5" t="n"/>
      <c r="E1405" s="5" t="n"/>
      <c r="G1405" s="6">
        <f>IF(OR(A1405="",D1405="",E1405=""),"",ROUND(MOD(E1405-D1405,1)*24-N(F1405)/60,2))</f>
        <v/>
      </c>
      <c r="H1405" s="7">
        <f>IF(C1405="","",IFERROR(INDEX(Sites!$B$2:$B$501,MATCH(C1405,Sites!$A$2:$A$501,0)),"?"))</f>
        <v/>
      </c>
      <c r="I1405" s="8">
        <f>IF(A1405="","",A1405-WEEKDAY(A1405,3))</f>
        <v/>
      </c>
      <c r="K1405" s="7">
        <f>IF(A1405="","",IF(OR(B1405="",C1405="",D1405="",E1405=""),"Missing info",IF(ISNA(MATCH(B1405,Staff!$A$2:$A$101,0)),"Unknown employee",IF(H1405="?","Unknown site",IF(G1405&lt;=0,"Check times",IF(G1405&gt;12,"Over 12h",IF(COUNTIFS($L$2:$L$2001,L1405)&gt;1,"Duplicate?",IF(A1405&gt;TODAY(),"Future date","OK"))))))))</f>
        <v/>
      </c>
      <c r="L1405">
        <f>IF(A1405="","",TEXT(A1405,"yyyy-mm-dd")&amp;"|"&amp;B1405&amp;"|"&amp;C1405)</f>
        <v/>
      </c>
    </row>
    <row r="1406">
      <c r="A1406" s="4" t="n"/>
      <c r="D1406" s="5" t="n"/>
      <c r="E1406" s="5" t="n"/>
      <c r="G1406" s="6">
        <f>IF(OR(A1406="",D1406="",E1406=""),"",ROUND(MOD(E1406-D1406,1)*24-N(F1406)/60,2))</f>
        <v/>
      </c>
      <c r="H1406" s="7">
        <f>IF(C1406="","",IFERROR(INDEX(Sites!$B$2:$B$501,MATCH(C1406,Sites!$A$2:$A$501,0)),"?"))</f>
        <v/>
      </c>
      <c r="I1406" s="8">
        <f>IF(A1406="","",A1406-WEEKDAY(A1406,3))</f>
        <v/>
      </c>
      <c r="K1406" s="7">
        <f>IF(A1406="","",IF(OR(B1406="",C1406="",D1406="",E1406=""),"Missing info",IF(ISNA(MATCH(B1406,Staff!$A$2:$A$101,0)),"Unknown employee",IF(H1406="?","Unknown site",IF(G1406&lt;=0,"Check times",IF(G1406&gt;12,"Over 12h",IF(COUNTIFS($L$2:$L$2001,L1406)&gt;1,"Duplicate?",IF(A1406&gt;TODAY(),"Future date","OK"))))))))</f>
        <v/>
      </c>
      <c r="L1406">
        <f>IF(A1406="","",TEXT(A1406,"yyyy-mm-dd")&amp;"|"&amp;B1406&amp;"|"&amp;C1406)</f>
        <v/>
      </c>
    </row>
    <row r="1407">
      <c r="A1407" s="4" t="n"/>
      <c r="D1407" s="5" t="n"/>
      <c r="E1407" s="5" t="n"/>
      <c r="G1407" s="6">
        <f>IF(OR(A1407="",D1407="",E1407=""),"",ROUND(MOD(E1407-D1407,1)*24-N(F1407)/60,2))</f>
        <v/>
      </c>
      <c r="H1407" s="7">
        <f>IF(C1407="","",IFERROR(INDEX(Sites!$B$2:$B$501,MATCH(C1407,Sites!$A$2:$A$501,0)),"?"))</f>
        <v/>
      </c>
      <c r="I1407" s="8">
        <f>IF(A1407="","",A1407-WEEKDAY(A1407,3))</f>
        <v/>
      </c>
      <c r="K1407" s="7">
        <f>IF(A1407="","",IF(OR(B1407="",C1407="",D1407="",E1407=""),"Missing info",IF(ISNA(MATCH(B1407,Staff!$A$2:$A$101,0)),"Unknown employee",IF(H1407="?","Unknown site",IF(G1407&lt;=0,"Check times",IF(G1407&gt;12,"Over 12h",IF(COUNTIFS($L$2:$L$2001,L1407)&gt;1,"Duplicate?",IF(A1407&gt;TODAY(),"Future date","OK"))))))))</f>
        <v/>
      </c>
      <c r="L1407">
        <f>IF(A1407="","",TEXT(A1407,"yyyy-mm-dd")&amp;"|"&amp;B1407&amp;"|"&amp;C1407)</f>
        <v/>
      </c>
    </row>
    <row r="1408">
      <c r="A1408" s="4" t="n"/>
      <c r="D1408" s="5" t="n"/>
      <c r="E1408" s="5" t="n"/>
      <c r="G1408" s="6">
        <f>IF(OR(A1408="",D1408="",E1408=""),"",ROUND(MOD(E1408-D1408,1)*24-N(F1408)/60,2))</f>
        <v/>
      </c>
      <c r="H1408" s="7">
        <f>IF(C1408="","",IFERROR(INDEX(Sites!$B$2:$B$501,MATCH(C1408,Sites!$A$2:$A$501,0)),"?"))</f>
        <v/>
      </c>
      <c r="I1408" s="8">
        <f>IF(A1408="","",A1408-WEEKDAY(A1408,3))</f>
        <v/>
      </c>
      <c r="K1408" s="7">
        <f>IF(A1408="","",IF(OR(B1408="",C1408="",D1408="",E1408=""),"Missing info",IF(ISNA(MATCH(B1408,Staff!$A$2:$A$101,0)),"Unknown employee",IF(H1408="?","Unknown site",IF(G1408&lt;=0,"Check times",IF(G1408&gt;12,"Over 12h",IF(COUNTIFS($L$2:$L$2001,L1408)&gt;1,"Duplicate?",IF(A1408&gt;TODAY(),"Future date","OK"))))))))</f>
        <v/>
      </c>
      <c r="L1408">
        <f>IF(A1408="","",TEXT(A1408,"yyyy-mm-dd")&amp;"|"&amp;B1408&amp;"|"&amp;C1408)</f>
        <v/>
      </c>
    </row>
    <row r="1409">
      <c r="A1409" s="4" t="n"/>
      <c r="D1409" s="5" t="n"/>
      <c r="E1409" s="5" t="n"/>
      <c r="G1409" s="6">
        <f>IF(OR(A1409="",D1409="",E1409=""),"",ROUND(MOD(E1409-D1409,1)*24-N(F1409)/60,2))</f>
        <v/>
      </c>
      <c r="H1409" s="7">
        <f>IF(C1409="","",IFERROR(INDEX(Sites!$B$2:$B$501,MATCH(C1409,Sites!$A$2:$A$501,0)),"?"))</f>
        <v/>
      </c>
      <c r="I1409" s="8">
        <f>IF(A1409="","",A1409-WEEKDAY(A1409,3))</f>
        <v/>
      </c>
      <c r="K1409" s="7">
        <f>IF(A1409="","",IF(OR(B1409="",C1409="",D1409="",E1409=""),"Missing info",IF(ISNA(MATCH(B1409,Staff!$A$2:$A$101,0)),"Unknown employee",IF(H1409="?","Unknown site",IF(G1409&lt;=0,"Check times",IF(G1409&gt;12,"Over 12h",IF(COUNTIFS($L$2:$L$2001,L1409)&gt;1,"Duplicate?",IF(A1409&gt;TODAY(),"Future date","OK"))))))))</f>
        <v/>
      </c>
      <c r="L1409">
        <f>IF(A1409="","",TEXT(A1409,"yyyy-mm-dd")&amp;"|"&amp;B1409&amp;"|"&amp;C1409)</f>
        <v/>
      </c>
    </row>
    <row r="1410">
      <c r="A1410" s="4" t="n"/>
      <c r="D1410" s="5" t="n"/>
      <c r="E1410" s="5" t="n"/>
      <c r="G1410" s="6">
        <f>IF(OR(A1410="",D1410="",E1410=""),"",ROUND(MOD(E1410-D1410,1)*24-N(F1410)/60,2))</f>
        <v/>
      </c>
      <c r="H1410" s="7">
        <f>IF(C1410="","",IFERROR(INDEX(Sites!$B$2:$B$501,MATCH(C1410,Sites!$A$2:$A$501,0)),"?"))</f>
        <v/>
      </c>
      <c r="I1410" s="8">
        <f>IF(A1410="","",A1410-WEEKDAY(A1410,3))</f>
        <v/>
      </c>
      <c r="K1410" s="7">
        <f>IF(A1410="","",IF(OR(B1410="",C1410="",D1410="",E1410=""),"Missing info",IF(ISNA(MATCH(B1410,Staff!$A$2:$A$101,0)),"Unknown employee",IF(H1410="?","Unknown site",IF(G1410&lt;=0,"Check times",IF(G1410&gt;12,"Over 12h",IF(COUNTIFS($L$2:$L$2001,L1410)&gt;1,"Duplicate?",IF(A1410&gt;TODAY(),"Future date","OK"))))))))</f>
        <v/>
      </c>
      <c r="L1410">
        <f>IF(A1410="","",TEXT(A1410,"yyyy-mm-dd")&amp;"|"&amp;B1410&amp;"|"&amp;C1410)</f>
        <v/>
      </c>
    </row>
    <row r="1411">
      <c r="A1411" s="4" t="n"/>
      <c r="D1411" s="5" t="n"/>
      <c r="E1411" s="5" t="n"/>
      <c r="G1411" s="6">
        <f>IF(OR(A1411="",D1411="",E1411=""),"",ROUND(MOD(E1411-D1411,1)*24-N(F1411)/60,2))</f>
        <v/>
      </c>
      <c r="H1411" s="7">
        <f>IF(C1411="","",IFERROR(INDEX(Sites!$B$2:$B$501,MATCH(C1411,Sites!$A$2:$A$501,0)),"?"))</f>
        <v/>
      </c>
      <c r="I1411" s="8">
        <f>IF(A1411="","",A1411-WEEKDAY(A1411,3))</f>
        <v/>
      </c>
      <c r="K1411" s="7">
        <f>IF(A1411="","",IF(OR(B1411="",C1411="",D1411="",E1411=""),"Missing info",IF(ISNA(MATCH(B1411,Staff!$A$2:$A$101,0)),"Unknown employee",IF(H1411="?","Unknown site",IF(G1411&lt;=0,"Check times",IF(G1411&gt;12,"Over 12h",IF(COUNTIFS($L$2:$L$2001,L1411)&gt;1,"Duplicate?",IF(A1411&gt;TODAY(),"Future date","OK"))))))))</f>
        <v/>
      </c>
      <c r="L1411">
        <f>IF(A1411="","",TEXT(A1411,"yyyy-mm-dd")&amp;"|"&amp;B1411&amp;"|"&amp;C1411)</f>
        <v/>
      </c>
    </row>
    <row r="1412">
      <c r="A1412" s="4" t="n"/>
      <c r="D1412" s="5" t="n"/>
      <c r="E1412" s="5" t="n"/>
      <c r="G1412" s="6">
        <f>IF(OR(A1412="",D1412="",E1412=""),"",ROUND(MOD(E1412-D1412,1)*24-N(F1412)/60,2))</f>
        <v/>
      </c>
      <c r="H1412" s="7">
        <f>IF(C1412="","",IFERROR(INDEX(Sites!$B$2:$B$501,MATCH(C1412,Sites!$A$2:$A$501,0)),"?"))</f>
        <v/>
      </c>
      <c r="I1412" s="8">
        <f>IF(A1412="","",A1412-WEEKDAY(A1412,3))</f>
        <v/>
      </c>
      <c r="K1412" s="7">
        <f>IF(A1412="","",IF(OR(B1412="",C1412="",D1412="",E1412=""),"Missing info",IF(ISNA(MATCH(B1412,Staff!$A$2:$A$101,0)),"Unknown employee",IF(H1412="?","Unknown site",IF(G1412&lt;=0,"Check times",IF(G1412&gt;12,"Over 12h",IF(COUNTIFS($L$2:$L$2001,L1412)&gt;1,"Duplicate?",IF(A1412&gt;TODAY(),"Future date","OK"))))))))</f>
        <v/>
      </c>
      <c r="L1412">
        <f>IF(A1412="","",TEXT(A1412,"yyyy-mm-dd")&amp;"|"&amp;B1412&amp;"|"&amp;C1412)</f>
        <v/>
      </c>
    </row>
    <row r="1413">
      <c r="A1413" s="4" t="n"/>
      <c r="D1413" s="5" t="n"/>
      <c r="E1413" s="5" t="n"/>
      <c r="G1413" s="6">
        <f>IF(OR(A1413="",D1413="",E1413=""),"",ROUND(MOD(E1413-D1413,1)*24-N(F1413)/60,2))</f>
        <v/>
      </c>
      <c r="H1413" s="7">
        <f>IF(C1413="","",IFERROR(INDEX(Sites!$B$2:$B$501,MATCH(C1413,Sites!$A$2:$A$501,0)),"?"))</f>
        <v/>
      </c>
      <c r="I1413" s="8">
        <f>IF(A1413="","",A1413-WEEKDAY(A1413,3))</f>
        <v/>
      </c>
      <c r="K1413" s="7">
        <f>IF(A1413="","",IF(OR(B1413="",C1413="",D1413="",E1413=""),"Missing info",IF(ISNA(MATCH(B1413,Staff!$A$2:$A$101,0)),"Unknown employee",IF(H1413="?","Unknown site",IF(G1413&lt;=0,"Check times",IF(G1413&gt;12,"Over 12h",IF(COUNTIFS($L$2:$L$2001,L1413)&gt;1,"Duplicate?",IF(A1413&gt;TODAY(),"Future date","OK"))))))))</f>
        <v/>
      </c>
      <c r="L1413">
        <f>IF(A1413="","",TEXT(A1413,"yyyy-mm-dd")&amp;"|"&amp;B1413&amp;"|"&amp;C1413)</f>
        <v/>
      </c>
    </row>
    <row r="1414">
      <c r="A1414" s="4" t="n"/>
      <c r="D1414" s="5" t="n"/>
      <c r="E1414" s="5" t="n"/>
      <c r="G1414" s="6">
        <f>IF(OR(A1414="",D1414="",E1414=""),"",ROUND(MOD(E1414-D1414,1)*24-N(F1414)/60,2))</f>
        <v/>
      </c>
      <c r="H1414" s="7">
        <f>IF(C1414="","",IFERROR(INDEX(Sites!$B$2:$B$501,MATCH(C1414,Sites!$A$2:$A$501,0)),"?"))</f>
        <v/>
      </c>
      <c r="I1414" s="8">
        <f>IF(A1414="","",A1414-WEEKDAY(A1414,3))</f>
        <v/>
      </c>
      <c r="K1414" s="7">
        <f>IF(A1414="","",IF(OR(B1414="",C1414="",D1414="",E1414=""),"Missing info",IF(ISNA(MATCH(B1414,Staff!$A$2:$A$101,0)),"Unknown employee",IF(H1414="?","Unknown site",IF(G1414&lt;=0,"Check times",IF(G1414&gt;12,"Over 12h",IF(COUNTIFS($L$2:$L$2001,L1414)&gt;1,"Duplicate?",IF(A1414&gt;TODAY(),"Future date","OK"))))))))</f>
        <v/>
      </c>
      <c r="L1414">
        <f>IF(A1414="","",TEXT(A1414,"yyyy-mm-dd")&amp;"|"&amp;B1414&amp;"|"&amp;C1414)</f>
        <v/>
      </c>
    </row>
    <row r="1415">
      <c r="A1415" s="4" t="n"/>
      <c r="D1415" s="5" t="n"/>
      <c r="E1415" s="5" t="n"/>
      <c r="G1415" s="6">
        <f>IF(OR(A1415="",D1415="",E1415=""),"",ROUND(MOD(E1415-D1415,1)*24-N(F1415)/60,2))</f>
        <v/>
      </c>
      <c r="H1415" s="7">
        <f>IF(C1415="","",IFERROR(INDEX(Sites!$B$2:$B$501,MATCH(C1415,Sites!$A$2:$A$501,0)),"?"))</f>
        <v/>
      </c>
      <c r="I1415" s="8">
        <f>IF(A1415="","",A1415-WEEKDAY(A1415,3))</f>
        <v/>
      </c>
      <c r="K1415" s="7">
        <f>IF(A1415="","",IF(OR(B1415="",C1415="",D1415="",E1415=""),"Missing info",IF(ISNA(MATCH(B1415,Staff!$A$2:$A$101,0)),"Unknown employee",IF(H1415="?","Unknown site",IF(G1415&lt;=0,"Check times",IF(G1415&gt;12,"Over 12h",IF(COUNTIFS($L$2:$L$2001,L1415)&gt;1,"Duplicate?",IF(A1415&gt;TODAY(),"Future date","OK"))))))))</f>
        <v/>
      </c>
      <c r="L1415">
        <f>IF(A1415="","",TEXT(A1415,"yyyy-mm-dd")&amp;"|"&amp;B1415&amp;"|"&amp;C1415)</f>
        <v/>
      </c>
    </row>
    <row r="1416">
      <c r="A1416" s="4" t="n"/>
      <c r="D1416" s="5" t="n"/>
      <c r="E1416" s="5" t="n"/>
      <c r="G1416" s="6">
        <f>IF(OR(A1416="",D1416="",E1416=""),"",ROUND(MOD(E1416-D1416,1)*24-N(F1416)/60,2))</f>
        <v/>
      </c>
      <c r="H1416" s="7">
        <f>IF(C1416="","",IFERROR(INDEX(Sites!$B$2:$B$501,MATCH(C1416,Sites!$A$2:$A$501,0)),"?"))</f>
        <v/>
      </c>
      <c r="I1416" s="8">
        <f>IF(A1416="","",A1416-WEEKDAY(A1416,3))</f>
        <v/>
      </c>
      <c r="K1416" s="7">
        <f>IF(A1416="","",IF(OR(B1416="",C1416="",D1416="",E1416=""),"Missing info",IF(ISNA(MATCH(B1416,Staff!$A$2:$A$101,0)),"Unknown employee",IF(H1416="?","Unknown site",IF(G1416&lt;=0,"Check times",IF(G1416&gt;12,"Over 12h",IF(COUNTIFS($L$2:$L$2001,L1416)&gt;1,"Duplicate?",IF(A1416&gt;TODAY(),"Future date","OK"))))))))</f>
        <v/>
      </c>
      <c r="L1416">
        <f>IF(A1416="","",TEXT(A1416,"yyyy-mm-dd")&amp;"|"&amp;B1416&amp;"|"&amp;C1416)</f>
        <v/>
      </c>
    </row>
    <row r="1417">
      <c r="A1417" s="4" t="n"/>
      <c r="D1417" s="5" t="n"/>
      <c r="E1417" s="5" t="n"/>
      <c r="G1417" s="6">
        <f>IF(OR(A1417="",D1417="",E1417=""),"",ROUND(MOD(E1417-D1417,1)*24-N(F1417)/60,2))</f>
        <v/>
      </c>
      <c r="H1417" s="7">
        <f>IF(C1417="","",IFERROR(INDEX(Sites!$B$2:$B$501,MATCH(C1417,Sites!$A$2:$A$501,0)),"?"))</f>
        <v/>
      </c>
      <c r="I1417" s="8">
        <f>IF(A1417="","",A1417-WEEKDAY(A1417,3))</f>
        <v/>
      </c>
      <c r="K1417" s="7">
        <f>IF(A1417="","",IF(OR(B1417="",C1417="",D1417="",E1417=""),"Missing info",IF(ISNA(MATCH(B1417,Staff!$A$2:$A$101,0)),"Unknown employee",IF(H1417="?","Unknown site",IF(G1417&lt;=0,"Check times",IF(G1417&gt;12,"Over 12h",IF(COUNTIFS($L$2:$L$2001,L1417)&gt;1,"Duplicate?",IF(A1417&gt;TODAY(),"Future date","OK"))))))))</f>
        <v/>
      </c>
      <c r="L1417">
        <f>IF(A1417="","",TEXT(A1417,"yyyy-mm-dd")&amp;"|"&amp;B1417&amp;"|"&amp;C1417)</f>
        <v/>
      </c>
    </row>
    <row r="1418">
      <c r="A1418" s="4" t="n"/>
      <c r="D1418" s="5" t="n"/>
      <c r="E1418" s="5" t="n"/>
      <c r="G1418" s="6">
        <f>IF(OR(A1418="",D1418="",E1418=""),"",ROUND(MOD(E1418-D1418,1)*24-N(F1418)/60,2))</f>
        <v/>
      </c>
      <c r="H1418" s="7">
        <f>IF(C1418="","",IFERROR(INDEX(Sites!$B$2:$B$501,MATCH(C1418,Sites!$A$2:$A$501,0)),"?"))</f>
        <v/>
      </c>
      <c r="I1418" s="8">
        <f>IF(A1418="","",A1418-WEEKDAY(A1418,3))</f>
        <v/>
      </c>
      <c r="K1418" s="7">
        <f>IF(A1418="","",IF(OR(B1418="",C1418="",D1418="",E1418=""),"Missing info",IF(ISNA(MATCH(B1418,Staff!$A$2:$A$101,0)),"Unknown employee",IF(H1418="?","Unknown site",IF(G1418&lt;=0,"Check times",IF(G1418&gt;12,"Over 12h",IF(COUNTIFS($L$2:$L$2001,L1418)&gt;1,"Duplicate?",IF(A1418&gt;TODAY(),"Future date","OK"))))))))</f>
        <v/>
      </c>
      <c r="L1418">
        <f>IF(A1418="","",TEXT(A1418,"yyyy-mm-dd")&amp;"|"&amp;B1418&amp;"|"&amp;C1418)</f>
        <v/>
      </c>
    </row>
    <row r="1419">
      <c r="A1419" s="4" t="n"/>
      <c r="D1419" s="5" t="n"/>
      <c r="E1419" s="5" t="n"/>
      <c r="G1419" s="6">
        <f>IF(OR(A1419="",D1419="",E1419=""),"",ROUND(MOD(E1419-D1419,1)*24-N(F1419)/60,2))</f>
        <v/>
      </c>
      <c r="H1419" s="7">
        <f>IF(C1419="","",IFERROR(INDEX(Sites!$B$2:$B$501,MATCH(C1419,Sites!$A$2:$A$501,0)),"?"))</f>
        <v/>
      </c>
      <c r="I1419" s="8">
        <f>IF(A1419="","",A1419-WEEKDAY(A1419,3))</f>
        <v/>
      </c>
      <c r="K1419" s="7">
        <f>IF(A1419="","",IF(OR(B1419="",C1419="",D1419="",E1419=""),"Missing info",IF(ISNA(MATCH(B1419,Staff!$A$2:$A$101,0)),"Unknown employee",IF(H1419="?","Unknown site",IF(G1419&lt;=0,"Check times",IF(G1419&gt;12,"Over 12h",IF(COUNTIFS($L$2:$L$2001,L1419)&gt;1,"Duplicate?",IF(A1419&gt;TODAY(),"Future date","OK"))))))))</f>
        <v/>
      </c>
      <c r="L1419">
        <f>IF(A1419="","",TEXT(A1419,"yyyy-mm-dd")&amp;"|"&amp;B1419&amp;"|"&amp;C1419)</f>
        <v/>
      </c>
    </row>
    <row r="1420">
      <c r="A1420" s="4" t="n"/>
      <c r="D1420" s="5" t="n"/>
      <c r="E1420" s="5" t="n"/>
      <c r="G1420" s="6">
        <f>IF(OR(A1420="",D1420="",E1420=""),"",ROUND(MOD(E1420-D1420,1)*24-N(F1420)/60,2))</f>
        <v/>
      </c>
      <c r="H1420" s="7">
        <f>IF(C1420="","",IFERROR(INDEX(Sites!$B$2:$B$501,MATCH(C1420,Sites!$A$2:$A$501,0)),"?"))</f>
        <v/>
      </c>
      <c r="I1420" s="8">
        <f>IF(A1420="","",A1420-WEEKDAY(A1420,3))</f>
        <v/>
      </c>
      <c r="K1420" s="7">
        <f>IF(A1420="","",IF(OR(B1420="",C1420="",D1420="",E1420=""),"Missing info",IF(ISNA(MATCH(B1420,Staff!$A$2:$A$101,0)),"Unknown employee",IF(H1420="?","Unknown site",IF(G1420&lt;=0,"Check times",IF(G1420&gt;12,"Over 12h",IF(COUNTIFS($L$2:$L$2001,L1420)&gt;1,"Duplicate?",IF(A1420&gt;TODAY(),"Future date","OK"))))))))</f>
        <v/>
      </c>
      <c r="L1420">
        <f>IF(A1420="","",TEXT(A1420,"yyyy-mm-dd")&amp;"|"&amp;B1420&amp;"|"&amp;C1420)</f>
        <v/>
      </c>
    </row>
    <row r="1421">
      <c r="A1421" s="4" t="n"/>
      <c r="D1421" s="5" t="n"/>
      <c r="E1421" s="5" t="n"/>
      <c r="G1421" s="6">
        <f>IF(OR(A1421="",D1421="",E1421=""),"",ROUND(MOD(E1421-D1421,1)*24-N(F1421)/60,2))</f>
        <v/>
      </c>
      <c r="H1421" s="7">
        <f>IF(C1421="","",IFERROR(INDEX(Sites!$B$2:$B$501,MATCH(C1421,Sites!$A$2:$A$501,0)),"?"))</f>
        <v/>
      </c>
      <c r="I1421" s="8">
        <f>IF(A1421="","",A1421-WEEKDAY(A1421,3))</f>
        <v/>
      </c>
      <c r="K1421" s="7">
        <f>IF(A1421="","",IF(OR(B1421="",C1421="",D1421="",E1421=""),"Missing info",IF(ISNA(MATCH(B1421,Staff!$A$2:$A$101,0)),"Unknown employee",IF(H1421="?","Unknown site",IF(G1421&lt;=0,"Check times",IF(G1421&gt;12,"Over 12h",IF(COUNTIFS($L$2:$L$2001,L1421)&gt;1,"Duplicate?",IF(A1421&gt;TODAY(),"Future date","OK"))))))))</f>
        <v/>
      </c>
      <c r="L1421">
        <f>IF(A1421="","",TEXT(A1421,"yyyy-mm-dd")&amp;"|"&amp;B1421&amp;"|"&amp;C1421)</f>
        <v/>
      </c>
    </row>
    <row r="1422">
      <c r="A1422" s="4" t="n"/>
      <c r="D1422" s="5" t="n"/>
      <c r="E1422" s="5" t="n"/>
      <c r="G1422" s="6">
        <f>IF(OR(A1422="",D1422="",E1422=""),"",ROUND(MOD(E1422-D1422,1)*24-N(F1422)/60,2))</f>
        <v/>
      </c>
      <c r="H1422" s="7">
        <f>IF(C1422="","",IFERROR(INDEX(Sites!$B$2:$B$501,MATCH(C1422,Sites!$A$2:$A$501,0)),"?"))</f>
        <v/>
      </c>
      <c r="I1422" s="8">
        <f>IF(A1422="","",A1422-WEEKDAY(A1422,3))</f>
        <v/>
      </c>
      <c r="K1422" s="7">
        <f>IF(A1422="","",IF(OR(B1422="",C1422="",D1422="",E1422=""),"Missing info",IF(ISNA(MATCH(B1422,Staff!$A$2:$A$101,0)),"Unknown employee",IF(H1422="?","Unknown site",IF(G1422&lt;=0,"Check times",IF(G1422&gt;12,"Over 12h",IF(COUNTIFS($L$2:$L$2001,L1422)&gt;1,"Duplicate?",IF(A1422&gt;TODAY(),"Future date","OK"))))))))</f>
        <v/>
      </c>
      <c r="L1422">
        <f>IF(A1422="","",TEXT(A1422,"yyyy-mm-dd")&amp;"|"&amp;B1422&amp;"|"&amp;C1422)</f>
        <v/>
      </c>
    </row>
    <row r="1423">
      <c r="A1423" s="4" t="n"/>
      <c r="D1423" s="5" t="n"/>
      <c r="E1423" s="5" t="n"/>
      <c r="G1423" s="6">
        <f>IF(OR(A1423="",D1423="",E1423=""),"",ROUND(MOD(E1423-D1423,1)*24-N(F1423)/60,2))</f>
        <v/>
      </c>
      <c r="H1423" s="7">
        <f>IF(C1423="","",IFERROR(INDEX(Sites!$B$2:$B$501,MATCH(C1423,Sites!$A$2:$A$501,0)),"?"))</f>
        <v/>
      </c>
      <c r="I1423" s="8">
        <f>IF(A1423="","",A1423-WEEKDAY(A1423,3))</f>
        <v/>
      </c>
      <c r="K1423" s="7">
        <f>IF(A1423="","",IF(OR(B1423="",C1423="",D1423="",E1423=""),"Missing info",IF(ISNA(MATCH(B1423,Staff!$A$2:$A$101,0)),"Unknown employee",IF(H1423="?","Unknown site",IF(G1423&lt;=0,"Check times",IF(G1423&gt;12,"Over 12h",IF(COUNTIFS($L$2:$L$2001,L1423)&gt;1,"Duplicate?",IF(A1423&gt;TODAY(),"Future date","OK"))))))))</f>
        <v/>
      </c>
      <c r="L1423">
        <f>IF(A1423="","",TEXT(A1423,"yyyy-mm-dd")&amp;"|"&amp;B1423&amp;"|"&amp;C1423)</f>
        <v/>
      </c>
    </row>
    <row r="1424">
      <c r="A1424" s="4" t="n"/>
      <c r="D1424" s="5" t="n"/>
      <c r="E1424" s="5" t="n"/>
      <c r="G1424" s="6">
        <f>IF(OR(A1424="",D1424="",E1424=""),"",ROUND(MOD(E1424-D1424,1)*24-N(F1424)/60,2))</f>
        <v/>
      </c>
      <c r="H1424" s="7">
        <f>IF(C1424="","",IFERROR(INDEX(Sites!$B$2:$B$501,MATCH(C1424,Sites!$A$2:$A$501,0)),"?"))</f>
        <v/>
      </c>
      <c r="I1424" s="8">
        <f>IF(A1424="","",A1424-WEEKDAY(A1424,3))</f>
        <v/>
      </c>
      <c r="K1424" s="7">
        <f>IF(A1424="","",IF(OR(B1424="",C1424="",D1424="",E1424=""),"Missing info",IF(ISNA(MATCH(B1424,Staff!$A$2:$A$101,0)),"Unknown employee",IF(H1424="?","Unknown site",IF(G1424&lt;=0,"Check times",IF(G1424&gt;12,"Over 12h",IF(COUNTIFS($L$2:$L$2001,L1424)&gt;1,"Duplicate?",IF(A1424&gt;TODAY(),"Future date","OK"))))))))</f>
        <v/>
      </c>
      <c r="L1424">
        <f>IF(A1424="","",TEXT(A1424,"yyyy-mm-dd")&amp;"|"&amp;B1424&amp;"|"&amp;C1424)</f>
        <v/>
      </c>
    </row>
    <row r="1425">
      <c r="A1425" s="4" t="n"/>
      <c r="D1425" s="5" t="n"/>
      <c r="E1425" s="5" t="n"/>
      <c r="G1425" s="6">
        <f>IF(OR(A1425="",D1425="",E1425=""),"",ROUND(MOD(E1425-D1425,1)*24-N(F1425)/60,2))</f>
        <v/>
      </c>
      <c r="H1425" s="7">
        <f>IF(C1425="","",IFERROR(INDEX(Sites!$B$2:$B$501,MATCH(C1425,Sites!$A$2:$A$501,0)),"?"))</f>
        <v/>
      </c>
      <c r="I1425" s="8">
        <f>IF(A1425="","",A1425-WEEKDAY(A1425,3))</f>
        <v/>
      </c>
      <c r="K1425" s="7">
        <f>IF(A1425="","",IF(OR(B1425="",C1425="",D1425="",E1425=""),"Missing info",IF(ISNA(MATCH(B1425,Staff!$A$2:$A$101,0)),"Unknown employee",IF(H1425="?","Unknown site",IF(G1425&lt;=0,"Check times",IF(G1425&gt;12,"Over 12h",IF(COUNTIFS($L$2:$L$2001,L1425)&gt;1,"Duplicate?",IF(A1425&gt;TODAY(),"Future date","OK"))))))))</f>
        <v/>
      </c>
      <c r="L1425">
        <f>IF(A1425="","",TEXT(A1425,"yyyy-mm-dd")&amp;"|"&amp;B1425&amp;"|"&amp;C1425)</f>
        <v/>
      </c>
    </row>
    <row r="1426">
      <c r="A1426" s="4" t="n"/>
      <c r="D1426" s="5" t="n"/>
      <c r="E1426" s="5" t="n"/>
      <c r="G1426" s="6">
        <f>IF(OR(A1426="",D1426="",E1426=""),"",ROUND(MOD(E1426-D1426,1)*24-N(F1426)/60,2))</f>
        <v/>
      </c>
      <c r="H1426" s="7">
        <f>IF(C1426="","",IFERROR(INDEX(Sites!$B$2:$B$501,MATCH(C1426,Sites!$A$2:$A$501,0)),"?"))</f>
        <v/>
      </c>
      <c r="I1426" s="8">
        <f>IF(A1426="","",A1426-WEEKDAY(A1426,3))</f>
        <v/>
      </c>
      <c r="K1426" s="7">
        <f>IF(A1426="","",IF(OR(B1426="",C1426="",D1426="",E1426=""),"Missing info",IF(ISNA(MATCH(B1426,Staff!$A$2:$A$101,0)),"Unknown employee",IF(H1426="?","Unknown site",IF(G1426&lt;=0,"Check times",IF(G1426&gt;12,"Over 12h",IF(COUNTIFS($L$2:$L$2001,L1426)&gt;1,"Duplicate?",IF(A1426&gt;TODAY(),"Future date","OK"))))))))</f>
        <v/>
      </c>
      <c r="L1426">
        <f>IF(A1426="","",TEXT(A1426,"yyyy-mm-dd")&amp;"|"&amp;B1426&amp;"|"&amp;C1426)</f>
        <v/>
      </c>
    </row>
    <row r="1427">
      <c r="A1427" s="4" t="n"/>
      <c r="D1427" s="5" t="n"/>
      <c r="E1427" s="5" t="n"/>
      <c r="G1427" s="6">
        <f>IF(OR(A1427="",D1427="",E1427=""),"",ROUND(MOD(E1427-D1427,1)*24-N(F1427)/60,2))</f>
        <v/>
      </c>
      <c r="H1427" s="7">
        <f>IF(C1427="","",IFERROR(INDEX(Sites!$B$2:$B$501,MATCH(C1427,Sites!$A$2:$A$501,0)),"?"))</f>
        <v/>
      </c>
      <c r="I1427" s="8">
        <f>IF(A1427="","",A1427-WEEKDAY(A1427,3))</f>
        <v/>
      </c>
      <c r="K1427" s="7">
        <f>IF(A1427="","",IF(OR(B1427="",C1427="",D1427="",E1427=""),"Missing info",IF(ISNA(MATCH(B1427,Staff!$A$2:$A$101,0)),"Unknown employee",IF(H1427="?","Unknown site",IF(G1427&lt;=0,"Check times",IF(G1427&gt;12,"Over 12h",IF(COUNTIFS($L$2:$L$2001,L1427)&gt;1,"Duplicate?",IF(A1427&gt;TODAY(),"Future date","OK"))))))))</f>
        <v/>
      </c>
      <c r="L1427">
        <f>IF(A1427="","",TEXT(A1427,"yyyy-mm-dd")&amp;"|"&amp;B1427&amp;"|"&amp;C1427)</f>
        <v/>
      </c>
    </row>
    <row r="1428">
      <c r="A1428" s="4" t="n"/>
      <c r="D1428" s="5" t="n"/>
      <c r="E1428" s="5" t="n"/>
      <c r="G1428" s="6">
        <f>IF(OR(A1428="",D1428="",E1428=""),"",ROUND(MOD(E1428-D1428,1)*24-N(F1428)/60,2))</f>
        <v/>
      </c>
      <c r="H1428" s="7">
        <f>IF(C1428="","",IFERROR(INDEX(Sites!$B$2:$B$501,MATCH(C1428,Sites!$A$2:$A$501,0)),"?"))</f>
        <v/>
      </c>
      <c r="I1428" s="8">
        <f>IF(A1428="","",A1428-WEEKDAY(A1428,3))</f>
        <v/>
      </c>
      <c r="K1428" s="7">
        <f>IF(A1428="","",IF(OR(B1428="",C1428="",D1428="",E1428=""),"Missing info",IF(ISNA(MATCH(B1428,Staff!$A$2:$A$101,0)),"Unknown employee",IF(H1428="?","Unknown site",IF(G1428&lt;=0,"Check times",IF(G1428&gt;12,"Over 12h",IF(COUNTIFS($L$2:$L$2001,L1428)&gt;1,"Duplicate?",IF(A1428&gt;TODAY(),"Future date","OK"))))))))</f>
        <v/>
      </c>
      <c r="L1428">
        <f>IF(A1428="","",TEXT(A1428,"yyyy-mm-dd")&amp;"|"&amp;B1428&amp;"|"&amp;C1428)</f>
        <v/>
      </c>
    </row>
    <row r="1429">
      <c r="A1429" s="4" t="n"/>
      <c r="D1429" s="5" t="n"/>
      <c r="E1429" s="5" t="n"/>
      <c r="G1429" s="6">
        <f>IF(OR(A1429="",D1429="",E1429=""),"",ROUND(MOD(E1429-D1429,1)*24-N(F1429)/60,2))</f>
        <v/>
      </c>
      <c r="H1429" s="7">
        <f>IF(C1429="","",IFERROR(INDEX(Sites!$B$2:$B$501,MATCH(C1429,Sites!$A$2:$A$501,0)),"?"))</f>
        <v/>
      </c>
      <c r="I1429" s="8">
        <f>IF(A1429="","",A1429-WEEKDAY(A1429,3))</f>
        <v/>
      </c>
      <c r="K1429" s="7">
        <f>IF(A1429="","",IF(OR(B1429="",C1429="",D1429="",E1429=""),"Missing info",IF(ISNA(MATCH(B1429,Staff!$A$2:$A$101,0)),"Unknown employee",IF(H1429="?","Unknown site",IF(G1429&lt;=0,"Check times",IF(G1429&gt;12,"Over 12h",IF(COUNTIFS($L$2:$L$2001,L1429)&gt;1,"Duplicate?",IF(A1429&gt;TODAY(),"Future date","OK"))))))))</f>
        <v/>
      </c>
      <c r="L1429">
        <f>IF(A1429="","",TEXT(A1429,"yyyy-mm-dd")&amp;"|"&amp;B1429&amp;"|"&amp;C1429)</f>
        <v/>
      </c>
    </row>
    <row r="1430">
      <c r="A1430" s="4" t="n"/>
      <c r="D1430" s="5" t="n"/>
      <c r="E1430" s="5" t="n"/>
      <c r="G1430" s="6">
        <f>IF(OR(A1430="",D1430="",E1430=""),"",ROUND(MOD(E1430-D1430,1)*24-N(F1430)/60,2))</f>
        <v/>
      </c>
      <c r="H1430" s="7">
        <f>IF(C1430="","",IFERROR(INDEX(Sites!$B$2:$B$501,MATCH(C1430,Sites!$A$2:$A$501,0)),"?"))</f>
        <v/>
      </c>
      <c r="I1430" s="8">
        <f>IF(A1430="","",A1430-WEEKDAY(A1430,3))</f>
        <v/>
      </c>
      <c r="K1430" s="7">
        <f>IF(A1430="","",IF(OR(B1430="",C1430="",D1430="",E1430=""),"Missing info",IF(ISNA(MATCH(B1430,Staff!$A$2:$A$101,0)),"Unknown employee",IF(H1430="?","Unknown site",IF(G1430&lt;=0,"Check times",IF(G1430&gt;12,"Over 12h",IF(COUNTIFS($L$2:$L$2001,L1430)&gt;1,"Duplicate?",IF(A1430&gt;TODAY(),"Future date","OK"))))))))</f>
        <v/>
      </c>
      <c r="L1430">
        <f>IF(A1430="","",TEXT(A1430,"yyyy-mm-dd")&amp;"|"&amp;B1430&amp;"|"&amp;C1430)</f>
        <v/>
      </c>
    </row>
    <row r="1431">
      <c r="A1431" s="4" t="n"/>
      <c r="D1431" s="5" t="n"/>
      <c r="E1431" s="5" t="n"/>
      <c r="G1431" s="6">
        <f>IF(OR(A1431="",D1431="",E1431=""),"",ROUND(MOD(E1431-D1431,1)*24-N(F1431)/60,2))</f>
        <v/>
      </c>
      <c r="H1431" s="7">
        <f>IF(C1431="","",IFERROR(INDEX(Sites!$B$2:$B$501,MATCH(C1431,Sites!$A$2:$A$501,0)),"?"))</f>
        <v/>
      </c>
      <c r="I1431" s="8">
        <f>IF(A1431="","",A1431-WEEKDAY(A1431,3))</f>
        <v/>
      </c>
      <c r="K1431" s="7">
        <f>IF(A1431="","",IF(OR(B1431="",C1431="",D1431="",E1431=""),"Missing info",IF(ISNA(MATCH(B1431,Staff!$A$2:$A$101,0)),"Unknown employee",IF(H1431="?","Unknown site",IF(G1431&lt;=0,"Check times",IF(G1431&gt;12,"Over 12h",IF(COUNTIFS($L$2:$L$2001,L1431)&gt;1,"Duplicate?",IF(A1431&gt;TODAY(),"Future date","OK"))))))))</f>
        <v/>
      </c>
      <c r="L1431">
        <f>IF(A1431="","",TEXT(A1431,"yyyy-mm-dd")&amp;"|"&amp;B1431&amp;"|"&amp;C1431)</f>
        <v/>
      </c>
    </row>
    <row r="1432">
      <c r="A1432" s="4" t="n"/>
      <c r="D1432" s="5" t="n"/>
      <c r="E1432" s="5" t="n"/>
      <c r="G1432" s="6">
        <f>IF(OR(A1432="",D1432="",E1432=""),"",ROUND(MOD(E1432-D1432,1)*24-N(F1432)/60,2))</f>
        <v/>
      </c>
      <c r="H1432" s="7">
        <f>IF(C1432="","",IFERROR(INDEX(Sites!$B$2:$B$501,MATCH(C1432,Sites!$A$2:$A$501,0)),"?"))</f>
        <v/>
      </c>
      <c r="I1432" s="8">
        <f>IF(A1432="","",A1432-WEEKDAY(A1432,3))</f>
        <v/>
      </c>
      <c r="K1432" s="7">
        <f>IF(A1432="","",IF(OR(B1432="",C1432="",D1432="",E1432=""),"Missing info",IF(ISNA(MATCH(B1432,Staff!$A$2:$A$101,0)),"Unknown employee",IF(H1432="?","Unknown site",IF(G1432&lt;=0,"Check times",IF(G1432&gt;12,"Over 12h",IF(COUNTIFS($L$2:$L$2001,L1432)&gt;1,"Duplicate?",IF(A1432&gt;TODAY(),"Future date","OK"))))))))</f>
        <v/>
      </c>
      <c r="L1432">
        <f>IF(A1432="","",TEXT(A1432,"yyyy-mm-dd")&amp;"|"&amp;B1432&amp;"|"&amp;C1432)</f>
        <v/>
      </c>
    </row>
    <row r="1433">
      <c r="A1433" s="4" t="n"/>
      <c r="D1433" s="5" t="n"/>
      <c r="E1433" s="5" t="n"/>
      <c r="G1433" s="6">
        <f>IF(OR(A1433="",D1433="",E1433=""),"",ROUND(MOD(E1433-D1433,1)*24-N(F1433)/60,2))</f>
        <v/>
      </c>
      <c r="H1433" s="7">
        <f>IF(C1433="","",IFERROR(INDEX(Sites!$B$2:$B$501,MATCH(C1433,Sites!$A$2:$A$501,0)),"?"))</f>
        <v/>
      </c>
      <c r="I1433" s="8">
        <f>IF(A1433="","",A1433-WEEKDAY(A1433,3))</f>
        <v/>
      </c>
      <c r="K1433" s="7">
        <f>IF(A1433="","",IF(OR(B1433="",C1433="",D1433="",E1433=""),"Missing info",IF(ISNA(MATCH(B1433,Staff!$A$2:$A$101,0)),"Unknown employee",IF(H1433="?","Unknown site",IF(G1433&lt;=0,"Check times",IF(G1433&gt;12,"Over 12h",IF(COUNTIFS($L$2:$L$2001,L1433)&gt;1,"Duplicate?",IF(A1433&gt;TODAY(),"Future date","OK"))))))))</f>
        <v/>
      </c>
      <c r="L1433">
        <f>IF(A1433="","",TEXT(A1433,"yyyy-mm-dd")&amp;"|"&amp;B1433&amp;"|"&amp;C1433)</f>
        <v/>
      </c>
    </row>
    <row r="1434">
      <c r="A1434" s="4" t="n"/>
      <c r="D1434" s="5" t="n"/>
      <c r="E1434" s="5" t="n"/>
      <c r="G1434" s="6">
        <f>IF(OR(A1434="",D1434="",E1434=""),"",ROUND(MOD(E1434-D1434,1)*24-N(F1434)/60,2))</f>
        <v/>
      </c>
      <c r="H1434" s="7">
        <f>IF(C1434="","",IFERROR(INDEX(Sites!$B$2:$B$501,MATCH(C1434,Sites!$A$2:$A$501,0)),"?"))</f>
        <v/>
      </c>
      <c r="I1434" s="8">
        <f>IF(A1434="","",A1434-WEEKDAY(A1434,3))</f>
        <v/>
      </c>
      <c r="K1434" s="7">
        <f>IF(A1434="","",IF(OR(B1434="",C1434="",D1434="",E1434=""),"Missing info",IF(ISNA(MATCH(B1434,Staff!$A$2:$A$101,0)),"Unknown employee",IF(H1434="?","Unknown site",IF(G1434&lt;=0,"Check times",IF(G1434&gt;12,"Over 12h",IF(COUNTIFS($L$2:$L$2001,L1434)&gt;1,"Duplicate?",IF(A1434&gt;TODAY(),"Future date","OK"))))))))</f>
        <v/>
      </c>
      <c r="L1434">
        <f>IF(A1434="","",TEXT(A1434,"yyyy-mm-dd")&amp;"|"&amp;B1434&amp;"|"&amp;C1434)</f>
        <v/>
      </c>
    </row>
    <row r="1435">
      <c r="A1435" s="4" t="n"/>
      <c r="D1435" s="5" t="n"/>
      <c r="E1435" s="5" t="n"/>
      <c r="G1435" s="6">
        <f>IF(OR(A1435="",D1435="",E1435=""),"",ROUND(MOD(E1435-D1435,1)*24-N(F1435)/60,2))</f>
        <v/>
      </c>
      <c r="H1435" s="7">
        <f>IF(C1435="","",IFERROR(INDEX(Sites!$B$2:$B$501,MATCH(C1435,Sites!$A$2:$A$501,0)),"?"))</f>
        <v/>
      </c>
      <c r="I1435" s="8">
        <f>IF(A1435="","",A1435-WEEKDAY(A1435,3))</f>
        <v/>
      </c>
      <c r="K1435" s="7">
        <f>IF(A1435="","",IF(OR(B1435="",C1435="",D1435="",E1435=""),"Missing info",IF(ISNA(MATCH(B1435,Staff!$A$2:$A$101,0)),"Unknown employee",IF(H1435="?","Unknown site",IF(G1435&lt;=0,"Check times",IF(G1435&gt;12,"Over 12h",IF(COUNTIFS($L$2:$L$2001,L1435)&gt;1,"Duplicate?",IF(A1435&gt;TODAY(),"Future date","OK"))))))))</f>
        <v/>
      </c>
      <c r="L1435">
        <f>IF(A1435="","",TEXT(A1435,"yyyy-mm-dd")&amp;"|"&amp;B1435&amp;"|"&amp;C1435)</f>
        <v/>
      </c>
    </row>
    <row r="1436">
      <c r="A1436" s="4" t="n"/>
      <c r="D1436" s="5" t="n"/>
      <c r="E1436" s="5" t="n"/>
      <c r="G1436" s="6">
        <f>IF(OR(A1436="",D1436="",E1436=""),"",ROUND(MOD(E1436-D1436,1)*24-N(F1436)/60,2))</f>
        <v/>
      </c>
      <c r="H1436" s="7">
        <f>IF(C1436="","",IFERROR(INDEX(Sites!$B$2:$B$501,MATCH(C1436,Sites!$A$2:$A$501,0)),"?"))</f>
        <v/>
      </c>
      <c r="I1436" s="8">
        <f>IF(A1436="","",A1436-WEEKDAY(A1436,3))</f>
        <v/>
      </c>
      <c r="K1436" s="7">
        <f>IF(A1436="","",IF(OR(B1436="",C1436="",D1436="",E1436=""),"Missing info",IF(ISNA(MATCH(B1436,Staff!$A$2:$A$101,0)),"Unknown employee",IF(H1436="?","Unknown site",IF(G1436&lt;=0,"Check times",IF(G1436&gt;12,"Over 12h",IF(COUNTIFS($L$2:$L$2001,L1436)&gt;1,"Duplicate?",IF(A1436&gt;TODAY(),"Future date","OK"))))))))</f>
        <v/>
      </c>
      <c r="L1436">
        <f>IF(A1436="","",TEXT(A1436,"yyyy-mm-dd")&amp;"|"&amp;B1436&amp;"|"&amp;C1436)</f>
        <v/>
      </c>
    </row>
    <row r="1437">
      <c r="A1437" s="4" t="n"/>
      <c r="D1437" s="5" t="n"/>
      <c r="E1437" s="5" t="n"/>
      <c r="G1437" s="6">
        <f>IF(OR(A1437="",D1437="",E1437=""),"",ROUND(MOD(E1437-D1437,1)*24-N(F1437)/60,2))</f>
        <v/>
      </c>
      <c r="H1437" s="7">
        <f>IF(C1437="","",IFERROR(INDEX(Sites!$B$2:$B$501,MATCH(C1437,Sites!$A$2:$A$501,0)),"?"))</f>
        <v/>
      </c>
      <c r="I1437" s="8">
        <f>IF(A1437="","",A1437-WEEKDAY(A1437,3))</f>
        <v/>
      </c>
      <c r="K1437" s="7">
        <f>IF(A1437="","",IF(OR(B1437="",C1437="",D1437="",E1437=""),"Missing info",IF(ISNA(MATCH(B1437,Staff!$A$2:$A$101,0)),"Unknown employee",IF(H1437="?","Unknown site",IF(G1437&lt;=0,"Check times",IF(G1437&gt;12,"Over 12h",IF(COUNTIFS($L$2:$L$2001,L1437)&gt;1,"Duplicate?",IF(A1437&gt;TODAY(),"Future date","OK"))))))))</f>
        <v/>
      </c>
      <c r="L1437">
        <f>IF(A1437="","",TEXT(A1437,"yyyy-mm-dd")&amp;"|"&amp;B1437&amp;"|"&amp;C1437)</f>
        <v/>
      </c>
    </row>
    <row r="1438">
      <c r="A1438" s="4" t="n"/>
      <c r="D1438" s="5" t="n"/>
      <c r="E1438" s="5" t="n"/>
      <c r="G1438" s="6">
        <f>IF(OR(A1438="",D1438="",E1438=""),"",ROUND(MOD(E1438-D1438,1)*24-N(F1438)/60,2))</f>
        <v/>
      </c>
      <c r="H1438" s="7">
        <f>IF(C1438="","",IFERROR(INDEX(Sites!$B$2:$B$501,MATCH(C1438,Sites!$A$2:$A$501,0)),"?"))</f>
        <v/>
      </c>
      <c r="I1438" s="8">
        <f>IF(A1438="","",A1438-WEEKDAY(A1438,3))</f>
        <v/>
      </c>
      <c r="K1438" s="7">
        <f>IF(A1438="","",IF(OR(B1438="",C1438="",D1438="",E1438=""),"Missing info",IF(ISNA(MATCH(B1438,Staff!$A$2:$A$101,0)),"Unknown employee",IF(H1438="?","Unknown site",IF(G1438&lt;=0,"Check times",IF(G1438&gt;12,"Over 12h",IF(COUNTIFS($L$2:$L$2001,L1438)&gt;1,"Duplicate?",IF(A1438&gt;TODAY(),"Future date","OK"))))))))</f>
        <v/>
      </c>
      <c r="L1438">
        <f>IF(A1438="","",TEXT(A1438,"yyyy-mm-dd")&amp;"|"&amp;B1438&amp;"|"&amp;C1438)</f>
        <v/>
      </c>
    </row>
    <row r="1439">
      <c r="A1439" s="4" t="n"/>
      <c r="D1439" s="5" t="n"/>
      <c r="E1439" s="5" t="n"/>
      <c r="G1439" s="6">
        <f>IF(OR(A1439="",D1439="",E1439=""),"",ROUND(MOD(E1439-D1439,1)*24-N(F1439)/60,2))</f>
        <v/>
      </c>
      <c r="H1439" s="7">
        <f>IF(C1439="","",IFERROR(INDEX(Sites!$B$2:$B$501,MATCH(C1439,Sites!$A$2:$A$501,0)),"?"))</f>
        <v/>
      </c>
      <c r="I1439" s="8">
        <f>IF(A1439="","",A1439-WEEKDAY(A1439,3))</f>
        <v/>
      </c>
      <c r="K1439" s="7">
        <f>IF(A1439="","",IF(OR(B1439="",C1439="",D1439="",E1439=""),"Missing info",IF(ISNA(MATCH(B1439,Staff!$A$2:$A$101,0)),"Unknown employee",IF(H1439="?","Unknown site",IF(G1439&lt;=0,"Check times",IF(G1439&gt;12,"Over 12h",IF(COUNTIFS($L$2:$L$2001,L1439)&gt;1,"Duplicate?",IF(A1439&gt;TODAY(),"Future date","OK"))))))))</f>
        <v/>
      </c>
      <c r="L1439">
        <f>IF(A1439="","",TEXT(A1439,"yyyy-mm-dd")&amp;"|"&amp;B1439&amp;"|"&amp;C1439)</f>
        <v/>
      </c>
    </row>
    <row r="1440">
      <c r="A1440" s="4" t="n"/>
      <c r="D1440" s="5" t="n"/>
      <c r="E1440" s="5" t="n"/>
      <c r="G1440" s="6">
        <f>IF(OR(A1440="",D1440="",E1440=""),"",ROUND(MOD(E1440-D1440,1)*24-N(F1440)/60,2))</f>
        <v/>
      </c>
      <c r="H1440" s="7">
        <f>IF(C1440="","",IFERROR(INDEX(Sites!$B$2:$B$501,MATCH(C1440,Sites!$A$2:$A$501,0)),"?"))</f>
        <v/>
      </c>
      <c r="I1440" s="8">
        <f>IF(A1440="","",A1440-WEEKDAY(A1440,3))</f>
        <v/>
      </c>
      <c r="K1440" s="7">
        <f>IF(A1440="","",IF(OR(B1440="",C1440="",D1440="",E1440=""),"Missing info",IF(ISNA(MATCH(B1440,Staff!$A$2:$A$101,0)),"Unknown employee",IF(H1440="?","Unknown site",IF(G1440&lt;=0,"Check times",IF(G1440&gt;12,"Over 12h",IF(COUNTIFS($L$2:$L$2001,L1440)&gt;1,"Duplicate?",IF(A1440&gt;TODAY(),"Future date","OK"))))))))</f>
        <v/>
      </c>
      <c r="L1440">
        <f>IF(A1440="","",TEXT(A1440,"yyyy-mm-dd")&amp;"|"&amp;B1440&amp;"|"&amp;C1440)</f>
        <v/>
      </c>
    </row>
    <row r="1441">
      <c r="A1441" s="4" t="n"/>
      <c r="D1441" s="5" t="n"/>
      <c r="E1441" s="5" t="n"/>
      <c r="G1441" s="6">
        <f>IF(OR(A1441="",D1441="",E1441=""),"",ROUND(MOD(E1441-D1441,1)*24-N(F1441)/60,2))</f>
        <v/>
      </c>
      <c r="H1441" s="7">
        <f>IF(C1441="","",IFERROR(INDEX(Sites!$B$2:$B$501,MATCH(C1441,Sites!$A$2:$A$501,0)),"?"))</f>
        <v/>
      </c>
      <c r="I1441" s="8">
        <f>IF(A1441="","",A1441-WEEKDAY(A1441,3))</f>
        <v/>
      </c>
      <c r="K1441" s="7">
        <f>IF(A1441="","",IF(OR(B1441="",C1441="",D1441="",E1441=""),"Missing info",IF(ISNA(MATCH(B1441,Staff!$A$2:$A$101,0)),"Unknown employee",IF(H1441="?","Unknown site",IF(G1441&lt;=0,"Check times",IF(G1441&gt;12,"Over 12h",IF(COUNTIFS($L$2:$L$2001,L1441)&gt;1,"Duplicate?",IF(A1441&gt;TODAY(),"Future date","OK"))))))))</f>
        <v/>
      </c>
      <c r="L1441">
        <f>IF(A1441="","",TEXT(A1441,"yyyy-mm-dd")&amp;"|"&amp;B1441&amp;"|"&amp;C1441)</f>
        <v/>
      </c>
    </row>
    <row r="1442">
      <c r="A1442" s="4" t="n"/>
      <c r="D1442" s="5" t="n"/>
      <c r="E1442" s="5" t="n"/>
      <c r="G1442" s="6">
        <f>IF(OR(A1442="",D1442="",E1442=""),"",ROUND(MOD(E1442-D1442,1)*24-N(F1442)/60,2))</f>
        <v/>
      </c>
      <c r="H1442" s="7">
        <f>IF(C1442="","",IFERROR(INDEX(Sites!$B$2:$B$501,MATCH(C1442,Sites!$A$2:$A$501,0)),"?"))</f>
        <v/>
      </c>
      <c r="I1442" s="8">
        <f>IF(A1442="","",A1442-WEEKDAY(A1442,3))</f>
        <v/>
      </c>
      <c r="K1442" s="7">
        <f>IF(A1442="","",IF(OR(B1442="",C1442="",D1442="",E1442=""),"Missing info",IF(ISNA(MATCH(B1442,Staff!$A$2:$A$101,0)),"Unknown employee",IF(H1442="?","Unknown site",IF(G1442&lt;=0,"Check times",IF(G1442&gt;12,"Over 12h",IF(COUNTIFS($L$2:$L$2001,L1442)&gt;1,"Duplicate?",IF(A1442&gt;TODAY(),"Future date","OK"))))))))</f>
        <v/>
      </c>
      <c r="L1442">
        <f>IF(A1442="","",TEXT(A1442,"yyyy-mm-dd")&amp;"|"&amp;B1442&amp;"|"&amp;C1442)</f>
        <v/>
      </c>
    </row>
    <row r="1443">
      <c r="A1443" s="4" t="n"/>
      <c r="D1443" s="5" t="n"/>
      <c r="E1443" s="5" t="n"/>
      <c r="G1443" s="6">
        <f>IF(OR(A1443="",D1443="",E1443=""),"",ROUND(MOD(E1443-D1443,1)*24-N(F1443)/60,2))</f>
        <v/>
      </c>
      <c r="H1443" s="7">
        <f>IF(C1443="","",IFERROR(INDEX(Sites!$B$2:$B$501,MATCH(C1443,Sites!$A$2:$A$501,0)),"?"))</f>
        <v/>
      </c>
      <c r="I1443" s="8">
        <f>IF(A1443="","",A1443-WEEKDAY(A1443,3))</f>
        <v/>
      </c>
      <c r="K1443" s="7">
        <f>IF(A1443="","",IF(OR(B1443="",C1443="",D1443="",E1443=""),"Missing info",IF(ISNA(MATCH(B1443,Staff!$A$2:$A$101,0)),"Unknown employee",IF(H1443="?","Unknown site",IF(G1443&lt;=0,"Check times",IF(G1443&gt;12,"Over 12h",IF(COUNTIFS($L$2:$L$2001,L1443)&gt;1,"Duplicate?",IF(A1443&gt;TODAY(),"Future date","OK"))))))))</f>
        <v/>
      </c>
      <c r="L1443">
        <f>IF(A1443="","",TEXT(A1443,"yyyy-mm-dd")&amp;"|"&amp;B1443&amp;"|"&amp;C1443)</f>
        <v/>
      </c>
    </row>
    <row r="1444">
      <c r="A1444" s="4" t="n"/>
      <c r="D1444" s="5" t="n"/>
      <c r="E1444" s="5" t="n"/>
      <c r="G1444" s="6">
        <f>IF(OR(A1444="",D1444="",E1444=""),"",ROUND(MOD(E1444-D1444,1)*24-N(F1444)/60,2))</f>
        <v/>
      </c>
      <c r="H1444" s="7">
        <f>IF(C1444="","",IFERROR(INDEX(Sites!$B$2:$B$501,MATCH(C1444,Sites!$A$2:$A$501,0)),"?"))</f>
        <v/>
      </c>
      <c r="I1444" s="8">
        <f>IF(A1444="","",A1444-WEEKDAY(A1444,3))</f>
        <v/>
      </c>
      <c r="K1444" s="7">
        <f>IF(A1444="","",IF(OR(B1444="",C1444="",D1444="",E1444=""),"Missing info",IF(ISNA(MATCH(B1444,Staff!$A$2:$A$101,0)),"Unknown employee",IF(H1444="?","Unknown site",IF(G1444&lt;=0,"Check times",IF(G1444&gt;12,"Over 12h",IF(COUNTIFS($L$2:$L$2001,L1444)&gt;1,"Duplicate?",IF(A1444&gt;TODAY(),"Future date","OK"))))))))</f>
        <v/>
      </c>
      <c r="L1444">
        <f>IF(A1444="","",TEXT(A1444,"yyyy-mm-dd")&amp;"|"&amp;B1444&amp;"|"&amp;C1444)</f>
        <v/>
      </c>
    </row>
    <row r="1445">
      <c r="A1445" s="4" t="n"/>
      <c r="D1445" s="5" t="n"/>
      <c r="E1445" s="5" t="n"/>
      <c r="G1445" s="6">
        <f>IF(OR(A1445="",D1445="",E1445=""),"",ROUND(MOD(E1445-D1445,1)*24-N(F1445)/60,2))</f>
        <v/>
      </c>
      <c r="H1445" s="7">
        <f>IF(C1445="","",IFERROR(INDEX(Sites!$B$2:$B$501,MATCH(C1445,Sites!$A$2:$A$501,0)),"?"))</f>
        <v/>
      </c>
      <c r="I1445" s="8">
        <f>IF(A1445="","",A1445-WEEKDAY(A1445,3))</f>
        <v/>
      </c>
      <c r="K1445" s="7">
        <f>IF(A1445="","",IF(OR(B1445="",C1445="",D1445="",E1445=""),"Missing info",IF(ISNA(MATCH(B1445,Staff!$A$2:$A$101,0)),"Unknown employee",IF(H1445="?","Unknown site",IF(G1445&lt;=0,"Check times",IF(G1445&gt;12,"Over 12h",IF(COUNTIFS($L$2:$L$2001,L1445)&gt;1,"Duplicate?",IF(A1445&gt;TODAY(),"Future date","OK"))))))))</f>
        <v/>
      </c>
      <c r="L1445">
        <f>IF(A1445="","",TEXT(A1445,"yyyy-mm-dd")&amp;"|"&amp;B1445&amp;"|"&amp;C1445)</f>
        <v/>
      </c>
    </row>
    <row r="1446">
      <c r="A1446" s="4" t="n"/>
      <c r="D1446" s="5" t="n"/>
      <c r="E1446" s="5" t="n"/>
      <c r="G1446" s="6">
        <f>IF(OR(A1446="",D1446="",E1446=""),"",ROUND(MOD(E1446-D1446,1)*24-N(F1446)/60,2))</f>
        <v/>
      </c>
      <c r="H1446" s="7">
        <f>IF(C1446="","",IFERROR(INDEX(Sites!$B$2:$B$501,MATCH(C1446,Sites!$A$2:$A$501,0)),"?"))</f>
        <v/>
      </c>
      <c r="I1446" s="8">
        <f>IF(A1446="","",A1446-WEEKDAY(A1446,3))</f>
        <v/>
      </c>
      <c r="K1446" s="7">
        <f>IF(A1446="","",IF(OR(B1446="",C1446="",D1446="",E1446=""),"Missing info",IF(ISNA(MATCH(B1446,Staff!$A$2:$A$101,0)),"Unknown employee",IF(H1446="?","Unknown site",IF(G1446&lt;=0,"Check times",IF(G1446&gt;12,"Over 12h",IF(COUNTIFS($L$2:$L$2001,L1446)&gt;1,"Duplicate?",IF(A1446&gt;TODAY(),"Future date","OK"))))))))</f>
        <v/>
      </c>
      <c r="L1446">
        <f>IF(A1446="","",TEXT(A1446,"yyyy-mm-dd")&amp;"|"&amp;B1446&amp;"|"&amp;C1446)</f>
        <v/>
      </c>
    </row>
    <row r="1447">
      <c r="A1447" s="4" t="n"/>
      <c r="D1447" s="5" t="n"/>
      <c r="E1447" s="5" t="n"/>
      <c r="G1447" s="6">
        <f>IF(OR(A1447="",D1447="",E1447=""),"",ROUND(MOD(E1447-D1447,1)*24-N(F1447)/60,2))</f>
        <v/>
      </c>
      <c r="H1447" s="7">
        <f>IF(C1447="","",IFERROR(INDEX(Sites!$B$2:$B$501,MATCH(C1447,Sites!$A$2:$A$501,0)),"?"))</f>
        <v/>
      </c>
      <c r="I1447" s="8">
        <f>IF(A1447="","",A1447-WEEKDAY(A1447,3))</f>
        <v/>
      </c>
      <c r="K1447" s="7">
        <f>IF(A1447="","",IF(OR(B1447="",C1447="",D1447="",E1447=""),"Missing info",IF(ISNA(MATCH(B1447,Staff!$A$2:$A$101,0)),"Unknown employee",IF(H1447="?","Unknown site",IF(G1447&lt;=0,"Check times",IF(G1447&gt;12,"Over 12h",IF(COUNTIFS($L$2:$L$2001,L1447)&gt;1,"Duplicate?",IF(A1447&gt;TODAY(),"Future date","OK"))))))))</f>
        <v/>
      </c>
      <c r="L1447">
        <f>IF(A1447="","",TEXT(A1447,"yyyy-mm-dd")&amp;"|"&amp;B1447&amp;"|"&amp;C1447)</f>
        <v/>
      </c>
    </row>
    <row r="1448">
      <c r="A1448" s="4" t="n"/>
      <c r="D1448" s="5" t="n"/>
      <c r="E1448" s="5" t="n"/>
      <c r="G1448" s="6">
        <f>IF(OR(A1448="",D1448="",E1448=""),"",ROUND(MOD(E1448-D1448,1)*24-N(F1448)/60,2))</f>
        <v/>
      </c>
      <c r="H1448" s="7">
        <f>IF(C1448="","",IFERROR(INDEX(Sites!$B$2:$B$501,MATCH(C1448,Sites!$A$2:$A$501,0)),"?"))</f>
        <v/>
      </c>
      <c r="I1448" s="8">
        <f>IF(A1448="","",A1448-WEEKDAY(A1448,3))</f>
        <v/>
      </c>
      <c r="K1448" s="7">
        <f>IF(A1448="","",IF(OR(B1448="",C1448="",D1448="",E1448=""),"Missing info",IF(ISNA(MATCH(B1448,Staff!$A$2:$A$101,0)),"Unknown employee",IF(H1448="?","Unknown site",IF(G1448&lt;=0,"Check times",IF(G1448&gt;12,"Over 12h",IF(COUNTIFS($L$2:$L$2001,L1448)&gt;1,"Duplicate?",IF(A1448&gt;TODAY(),"Future date","OK"))))))))</f>
        <v/>
      </c>
      <c r="L1448">
        <f>IF(A1448="","",TEXT(A1448,"yyyy-mm-dd")&amp;"|"&amp;B1448&amp;"|"&amp;C1448)</f>
        <v/>
      </c>
    </row>
    <row r="1449">
      <c r="A1449" s="4" t="n"/>
      <c r="D1449" s="5" t="n"/>
      <c r="E1449" s="5" t="n"/>
      <c r="G1449" s="6">
        <f>IF(OR(A1449="",D1449="",E1449=""),"",ROUND(MOD(E1449-D1449,1)*24-N(F1449)/60,2))</f>
        <v/>
      </c>
      <c r="H1449" s="7">
        <f>IF(C1449="","",IFERROR(INDEX(Sites!$B$2:$B$501,MATCH(C1449,Sites!$A$2:$A$501,0)),"?"))</f>
        <v/>
      </c>
      <c r="I1449" s="8">
        <f>IF(A1449="","",A1449-WEEKDAY(A1449,3))</f>
        <v/>
      </c>
      <c r="K1449" s="7">
        <f>IF(A1449="","",IF(OR(B1449="",C1449="",D1449="",E1449=""),"Missing info",IF(ISNA(MATCH(B1449,Staff!$A$2:$A$101,0)),"Unknown employee",IF(H1449="?","Unknown site",IF(G1449&lt;=0,"Check times",IF(G1449&gt;12,"Over 12h",IF(COUNTIFS($L$2:$L$2001,L1449)&gt;1,"Duplicate?",IF(A1449&gt;TODAY(),"Future date","OK"))))))))</f>
        <v/>
      </c>
      <c r="L1449">
        <f>IF(A1449="","",TEXT(A1449,"yyyy-mm-dd")&amp;"|"&amp;B1449&amp;"|"&amp;C1449)</f>
        <v/>
      </c>
    </row>
    <row r="1450">
      <c r="A1450" s="4" t="n"/>
      <c r="D1450" s="5" t="n"/>
      <c r="E1450" s="5" t="n"/>
      <c r="G1450" s="6">
        <f>IF(OR(A1450="",D1450="",E1450=""),"",ROUND(MOD(E1450-D1450,1)*24-N(F1450)/60,2))</f>
        <v/>
      </c>
      <c r="H1450" s="7">
        <f>IF(C1450="","",IFERROR(INDEX(Sites!$B$2:$B$501,MATCH(C1450,Sites!$A$2:$A$501,0)),"?"))</f>
        <v/>
      </c>
      <c r="I1450" s="8">
        <f>IF(A1450="","",A1450-WEEKDAY(A1450,3))</f>
        <v/>
      </c>
      <c r="K1450" s="7">
        <f>IF(A1450="","",IF(OR(B1450="",C1450="",D1450="",E1450=""),"Missing info",IF(ISNA(MATCH(B1450,Staff!$A$2:$A$101,0)),"Unknown employee",IF(H1450="?","Unknown site",IF(G1450&lt;=0,"Check times",IF(G1450&gt;12,"Over 12h",IF(COUNTIFS($L$2:$L$2001,L1450)&gt;1,"Duplicate?",IF(A1450&gt;TODAY(),"Future date","OK"))))))))</f>
        <v/>
      </c>
      <c r="L1450">
        <f>IF(A1450="","",TEXT(A1450,"yyyy-mm-dd")&amp;"|"&amp;B1450&amp;"|"&amp;C1450)</f>
        <v/>
      </c>
    </row>
    <row r="1451">
      <c r="A1451" s="4" t="n"/>
      <c r="D1451" s="5" t="n"/>
      <c r="E1451" s="5" t="n"/>
      <c r="G1451" s="6">
        <f>IF(OR(A1451="",D1451="",E1451=""),"",ROUND(MOD(E1451-D1451,1)*24-N(F1451)/60,2))</f>
        <v/>
      </c>
      <c r="H1451" s="7">
        <f>IF(C1451="","",IFERROR(INDEX(Sites!$B$2:$B$501,MATCH(C1451,Sites!$A$2:$A$501,0)),"?"))</f>
        <v/>
      </c>
      <c r="I1451" s="8">
        <f>IF(A1451="","",A1451-WEEKDAY(A1451,3))</f>
        <v/>
      </c>
      <c r="K1451" s="7">
        <f>IF(A1451="","",IF(OR(B1451="",C1451="",D1451="",E1451=""),"Missing info",IF(ISNA(MATCH(B1451,Staff!$A$2:$A$101,0)),"Unknown employee",IF(H1451="?","Unknown site",IF(G1451&lt;=0,"Check times",IF(G1451&gt;12,"Over 12h",IF(COUNTIFS($L$2:$L$2001,L1451)&gt;1,"Duplicate?",IF(A1451&gt;TODAY(),"Future date","OK"))))))))</f>
        <v/>
      </c>
      <c r="L1451">
        <f>IF(A1451="","",TEXT(A1451,"yyyy-mm-dd")&amp;"|"&amp;B1451&amp;"|"&amp;C1451)</f>
        <v/>
      </c>
    </row>
    <row r="1452">
      <c r="A1452" s="4" t="n"/>
      <c r="D1452" s="5" t="n"/>
      <c r="E1452" s="5" t="n"/>
      <c r="G1452" s="6">
        <f>IF(OR(A1452="",D1452="",E1452=""),"",ROUND(MOD(E1452-D1452,1)*24-N(F1452)/60,2))</f>
        <v/>
      </c>
      <c r="H1452" s="7">
        <f>IF(C1452="","",IFERROR(INDEX(Sites!$B$2:$B$501,MATCH(C1452,Sites!$A$2:$A$501,0)),"?"))</f>
        <v/>
      </c>
      <c r="I1452" s="8">
        <f>IF(A1452="","",A1452-WEEKDAY(A1452,3))</f>
        <v/>
      </c>
      <c r="K1452" s="7">
        <f>IF(A1452="","",IF(OR(B1452="",C1452="",D1452="",E1452=""),"Missing info",IF(ISNA(MATCH(B1452,Staff!$A$2:$A$101,0)),"Unknown employee",IF(H1452="?","Unknown site",IF(G1452&lt;=0,"Check times",IF(G1452&gt;12,"Over 12h",IF(COUNTIFS($L$2:$L$2001,L1452)&gt;1,"Duplicate?",IF(A1452&gt;TODAY(),"Future date","OK"))))))))</f>
        <v/>
      </c>
      <c r="L1452">
        <f>IF(A1452="","",TEXT(A1452,"yyyy-mm-dd")&amp;"|"&amp;B1452&amp;"|"&amp;C1452)</f>
        <v/>
      </c>
    </row>
    <row r="1453">
      <c r="A1453" s="4" t="n"/>
      <c r="D1453" s="5" t="n"/>
      <c r="E1453" s="5" t="n"/>
      <c r="G1453" s="6">
        <f>IF(OR(A1453="",D1453="",E1453=""),"",ROUND(MOD(E1453-D1453,1)*24-N(F1453)/60,2))</f>
        <v/>
      </c>
      <c r="H1453" s="7">
        <f>IF(C1453="","",IFERROR(INDEX(Sites!$B$2:$B$501,MATCH(C1453,Sites!$A$2:$A$501,0)),"?"))</f>
        <v/>
      </c>
      <c r="I1453" s="8">
        <f>IF(A1453="","",A1453-WEEKDAY(A1453,3))</f>
        <v/>
      </c>
      <c r="K1453" s="7">
        <f>IF(A1453="","",IF(OR(B1453="",C1453="",D1453="",E1453=""),"Missing info",IF(ISNA(MATCH(B1453,Staff!$A$2:$A$101,0)),"Unknown employee",IF(H1453="?","Unknown site",IF(G1453&lt;=0,"Check times",IF(G1453&gt;12,"Over 12h",IF(COUNTIFS($L$2:$L$2001,L1453)&gt;1,"Duplicate?",IF(A1453&gt;TODAY(),"Future date","OK"))))))))</f>
        <v/>
      </c>
      <c r="L1453">
        <f>IF(A1453="","",TEXT(A1453,"yyyy-mm-dd")&amp;"|"&amp;B1453&amp;"|"&amp;C1453)</f>
        <v/>
      </c>
    </row>
    <row r="1454">
      <c r="A1454" s="4" t="n"/>
      <c r="D1454" s="5" t="n"/>
      <c r="E1454" s="5" t="n"/>
      <c r="G1454" s="6">
        <f>IF(OR(A1454="",D1454="",E1454=""),"",ROUND(MOD(E1454-D1454,1)*24-N(F1454)/60,2))</f>
        <v/>
      </c>
      <c r="H1454" s="7">
        <f>IF(C1454="","",IFERROR(INDEX(Sites!$B$2:$B$501,MATCH(C1454,Sites!$A$2:$A$501,0)),"?"))</f>
        <v/>
      </c>
      <c r="I1454" s="8">
        <f>IF(A1454="","",A1454-WEEKDAY(A1454,3))</f>
        <v/>
      </c>
      <c r="K1454" s="7">
        <f>IF(A1454="","",IF(OR(B1454="",C1454="",D1454="",E1454=""),"Missing info",IF(ISNA(MATCH(B1454,Staff!$A$2:$A$101,0)),"Unknown employee",IF(H1454="?","Unknown site",IF(G1454&lt;=0,"Check times",IF(G1454&gt;12,"Over 12h",IF(COUNTIFS($L$2:$L$2001,L1454)&gt;1,"Duplicate?",IF(A1454&gt;TODAY(),"Future date","OK"))))))))</f>
        <v/>
      </c>
      <c r="L1454">
        <f>IF(A1454="","",TEXT(A1454,"yyyy-mm-dd")&amp;"|"&amp;B1454&amp;"|"&amp;C1454)</f>
        <v/>
      </c>
    </row>
    <row r="1455">
      <c r="A1455" s="4" t="n"/>
      <c r="D1455" s="5" t="n"/>
      <c r="E1455" s="5" t="n"/>
      <c r="G1455" s="6">
        <f>IF(OR(A1455="",D1455="",E1455=""),"",ROUND(MOD(E1455-D1455,1)*24-N(F1455)/60,2))</f>
        <v/>
      </c>
      <c r="H1455" s="7">
        <f>IF(C1455="","",IFERROR(INDEX(Sites!$B$2:$B$501,MATCH(C1455,Sites!$A$2:$A$501,0)),"?"))</f>
        <v/>
      </c>
      <c r="I1455" s="8">
        <f>IF(A1455="","",A1455-WEEKDAY(A1455,3))</f>
        <v/>
      </c>
      <c r="K1455" s="7">
        <f>IF(A1455="","",IF(OR(B1455="",C1455="",D1455="",E1455=""),"Missing info",IF(ISNA(MATCH(B1455,Staff!$A$2:$A$101,0)),"Unknown employee",IF(H1455="?","Unknown site",IF(G1455&lt;=0,"Check times",IF(G1455&gt;12,"Over 12h",IF(COUNTIFS($L$2:$L$2001,L1455)&gt;1,"Duplicate?",IF(A1455&gt;TODAY(),"Future date","OK"))))))))</f>
        <v/>
      </c>
      <c r="L1455">
        <f>IF(A1455="","",TEXT(A1455,"yyyy-mm-dd")&amp;"|"&amp;B1455&amp;"|"&amp;C1455)</f>
        <v/>
      </c>
    </row>
    <row r="1456">
      <c r="A1456" s="4" t="n"/>
      <c r="D1456" s="5" t="n"/>
      <c r="E1456" s="5" t="n"/>
      <c r="G1456" s="6">
        <f>IF(OR(A1456="",D1456="",E1456=""),"",ROUND(MOD(E1456-D1456,1)*24-N(F1456)/60,2))</f>
        <v/>
      </c>
      <c r="H1456" s="7">
        <f>IF(C1456="","",IFERROR(INDEX(Sites!$B$2:$B$501,MATCH(C1456,Sites!$A$2:$A$501,0)),"?"))</f>
        <v/>
      </c>
      <c r="I1456" s="8">
        <f>IF(A1456="","",A1456-WEEKDAY(A1456,3))</f>
        <v/>
      </c>
      <c r="K1456" s="7">
        <f>IF(A1456="","",IF(OR(B1456="",C1456="",D1456="",E1456=""),"Missing info",IF(ISNA(MATCH(B1456,Staff!$A$2:$A$101,0)),"Unknown employee",IF(H1456="?","Unknown site",IF(G1456&lt;=0,"Check times",IF(G1456&gt;12,"Over 12h",IF(COUNTIFS($L$2:$L$2001,L1456)&gt;1,"Duplicate?",IF(A1456&gt;TODAY(),"Future date","OK"))))))))</f>
        <v/>
      </c>
      <c r="L1456">
        <f>IF(A1456="","",TEXT(A1456,"yyyy-mm-dd")&amp;"|"&amp;B1456&amp;"|"&amp;C1456)</f>
        <v/>
      </c>
    </row>
    <row r="1457">
      <c r="A1457" s="4" t="n"/>
      <c r="D1457" s="5" t="n"/>
      <c r="E1457" s="5" t="n"/>
      <c r="G1457" s="6">
        <f>IF(OR(A1457="",D1457="",E1457=""),"",ROUND(MOD(E1457-D1457,1)*24-N(F1457)/60,2))</f>
        <v/>
      </c>
      <c r="H1457" s="7">
        <f>IF(C1457="","",IFERROR(INDEX(Sites!$B$2:$B$501,MATCH(C1457,Sites!$A$2:$A$501,0)),"?"))</f>
        <v/>
      </c>
      <c r="I1457" s="8">
        <f>IF(A1457="","",A1457-WEEKDAY(A1457,3))</f>
        <v/>
      </c>
      <c r="K1457" s="7">
        <f>IF(A1457="","",IF(OR(B1457="",C1457="",D1457="",E1457=""),"Missing info",IF(ISNA(MATCH(B1457,Staff!$A$2:$A$101,0)),"Unknown employee",IF(H1457="?","Unknown site",IF(G1457&lt;=0,"Check times",IF(G1457&gt;12,"Over 12h",IF(COUNTIFS($L$2:$L$2001,L1457)&gt;1,"Duplicate?",IF(A1457&gt;TODAY(),"Future date","OK"))))))))</f>
        <v/>
      </c>
      <c r="L1457">
        <f>IF(A1457="","",TEXT(A1457,"yyyy-mm-dd")&amp;"|"&amp;B1457&amp;"|"&amp;C1457)</f>
        <v/>
      </c>
    </row>
    <row r="1458">
      <c r="A1458" s="4" t="n"/>
      <c r="D1458" s="5" t="n"/>
      <c r="E1458" s="5" t="n"/>
      <c r="G1458" s="6">
        <f>IF(OR(A1458="",D1458="",E1458=""),"",ROUND(MOD(E1458-D1458,1)*24-N(F1458)/60,2))</f>
        <v/>
      </c>
      <c r="H1458" s="7">
        <f>IF(C1458="","",IFERROR(INDEX(Sites!$B$2:$B$501,MATCH(C1458,Sites!$A$2:$A$501,0)),"?"))</f>
        <v/>
      </c>
      <c r="I1458" s="8">
        <f>IF(A1458="","",A1458-WEEKDAY(A1458,3))</f>
        <v/>
      </c>
      <c r="K1458" s="7">
        <f>IF(A1458="","",IF(OR(B1458="",C1458="",D1458="",E1458=""),"Missing info",IF(ISNA(MATCH(B1458,Staff!$A$2:$A$101,0)),"Unknown employee",IF(H1458="?","Unknown site",IF(G1458&lt;=0,"Check times",IF(G1458&gt;12,"Over 12h",IF(COUNTIFS($L$2:$L$2001,L1458)&gt;1,"Duplicate?",IF(A1458&gt;TODAY(),"Future date","OK"))))))))</f>
        <v/>
      </c>
      <c r="L1458">
        <f>IF(A1458="","",TEXT(A1458,"yyyy-mm-dd")&amp;"|"&amp;B1458&amp;"|"&amp;C1458)</f>
        <v/>
      </c>
    </row>
    <row r="1459">
      <c r="A1459" s="4" t="n"/>
      <c r="D1459" s="5" t="n"/>
      <c r="E1459" s="5" t="n"/>
      <c r="G1459" s="6">
        <f>IF(OR(A1459="",D1459="",E1459=""),"",ROUND(MOD(E1459-D1459,1)*24-N(F1459)/60,2))</f>
        <v/>
      </c>
      <c r="H1459" s="7">
        <f>IF(C1459="","",IFERROR(INDEX(Sites!$B$2:$B$501,MATCH(C1459,Sites!$A$2:$A$501,0)),"?"))</f>
        <v/>
      </c>
      <c r="I1459" s="8">
        <f>IF(A1459="","",A1459-WEEKDAY(A1459,3))</f>
        <v/>
      </c>
      <c r="K1459" s="7">
        <f>IF(A1459="","",IF(OR(B1459="",C1459="",D1459="",E1459=""),"Missing info",IF(ISNA(MATCH(B1459,Staff!$A$2:$A$101,0)),"Unknown employee",IF(H1459="?","Unknown site",IF(G1459&lt;=0,"Check times",IF(G1459&gt;12,"Over 12h",IF(COUNTIFS($L$2:$L$2001,L1459)&gt;1,"Duplicate?",IF(A1459&gt;TODAY(),"Future date","OK"))))))))</f>
        <v/>
      </c>
      <c r="L1459">
        <f>IF(A1459="","",TEXT(A1459,"yyyy-mm-dd")&amp;"|"&amp;B1459&amp;"|"&amp;C1459)</f>
        <v/>
      </c>
    </row>
    <row r="1460">
      <c r="A1460" s="4" t="n"/>
      <c r="D1460" s="5" t="n"/>
      <c r="E1460" s="5" t="n"/>
      <c r="G1460" s="6">
        <f>IF(OR(A1460="",D1460="",E1460=""),"",ROUND(MOD(E1460-D1460,1)*24-N(F1460)/60,2))</f>
        <v/>
      </c>
      <c r="H1460" s="7">
        <f>IF(C1460="","",IFERROR(INDEX(Sites!$B$2:$B$501,MATCH(C1460,Sites!$A$2:$A$501,0)),"?"))</f>
        <v/>
      </c>
      <c r="I1460" s="8">
        <f>IF(A1460="","",A1460-WEEKDAY(A1460,3))</f>
        <v/>
      </c>
      <c r="K1460" s="7">
        <f>IF(A1460="","",IF(OR(B1460="",C1460="",D1460="",E1460=""),"Missing info",IF(ISNA(MATCH(B1460,Staff!$A$2:$A$101,0)),"Unknown employee",IF(H1460="?","Unknown site",IF(G1460&lt;=0,"Check times",IF(G1460&gt;12,"Over 12h",IF(COUNTIFS($L$2:$L$2001,L1460)&gt;1,"Duplicate?",IF(A1460&gt;TODAY(),"Future date","OK"))))))))</f>
        <v/>
      </c>
      <c r="L1460">
        <f>IF(A1460="","",TEXT(A1460,"yyyy-mm-dd")&amp;"|"&amp;B1460&amp;"|"&amp;C1460)</f>
        <v/>
      </c>
    </row>
    <row r="1461">
      <c r="A1461" s="4" t="n"/>
      <c r="D1461" s="5" t="n"/>
      <c r="E1461" s="5" t="n"/>
      <c r="G1461" s="6">
        <f>IF(OR(A1461="",D1461="",E1461=""),"",ROUND(MOD(E1461-D1461,1)*24-N(F1461)/60,2))</f>
        <v/>
      </c>
      <c r="H1461" s="7">
        <f>IF(C1461="","",IFERROR(INDEX(Sites!$B$2:$B$501,MATCH(C1461,Sites!$A$2:$A$501,0)),"?"))</f>
        <v/>
      </c>
      <c r="I1461" s="8">
        <f>IF(A1461="","",A1461-WEEKDAY(A1461,3))</f>
        <v/>
      </c>
      <c r="K1461" s="7">
        <f>IF(A1461="","",IF(OR(B1461="",C1461="",D1461="",E1461=""),"Missing info",IF(ISNA(MATCH(B1461,Staff!$A$2:$A$101,0)),"Unknown employee",IF(H1461="?","Unknown site",IF(G1461&lt;=0,"Check times",IF(G1461&gt;12,"Over 12h",IF(COUNTIFS($L$2:$L$2001,L1461)&gt;1,"Duplicate?",IF(A1461&gt;TODAY(),"Future date","OK"))))))))</f>
        <v/>
      </c>
      <c r="L1461">
        <f>IF(A1461="","",TEXT(A1461,"yyyy-mm-dd")&amp;"|"&amp;B1461&amp;"|"&amp;C1461)</f>
        <v/>
      </c>
    </row>
    <row r="1462">
      <c r="A1462" s="4" t="n"/>
      <c r="D1462" s="5" t="n"/>
      <c r="E1462" s="5" t="n"/>
      <c r="G1462" s="6">
        <f>IF(OR(A1462="",D1462="",E1462=""),"",ROUND(MOD(E1462-D1462,1)*24-N(F1462)/60,2))</f>
        <v/>
      </c>
      <c r="H1462" s="7">
        <f>IF(C1462="","",IFERROR(INDEX(Sites!$B$2:$B$501,MATCH(C1462,Sites!$A$2:$A$501,0)),"?"))</f>
        <v/>
      </c>
      <c r="I1462" s="8">
        <f>IF(A1462="","",A1462-WEEKDAY(A1462,3))</f>
        <v/>
      </c>
      <c r="K1462" s="7">
        <f>IF(A1462="","",IF(OR(B1462="",C1462="",D1462="",E1462=""),"Missing info",IF(ISNA(MATCH(B1462,Staff!$A$2:$A$101,0)),"Unknown employee",IF(H1462="?","Unknown site",IF(G1462&lt;=0,"Check times",IF(G1462&gt;12,"Over 12h",IF(COUNTIFS($L$2:$L$2001,L1462)&gt;1,"Duplicate?",IF(A1462&gt;TODAY(),"Future date","OK"))))))))</f>
        <v/>
      </c>
      <c r="L1462">
        <f>IF(A1462="","",TEXT(A1462,"yyyy-mm-dd")&amp;"|"&amp;B1462&amp;"|"&amp;C1462)</f>
        <v/>
      </c>
    </row>
    <row r="1463">
      <c r="A1463" s="4" t="n"/>
      <c r="D1463" s="5" t="n"/>
      <c r="E1463" s="5" t="n"/>
      <c r="G1463" s="6">
        <f>IF(OR(A1463="",D1463="",E1463=""),"",ROUND(MOD(E1463-D1463,1)*24-N(F1463)/60,2))</f>
        <v/>
      </c>
      <c r="H1463" s="7">
        <f>IF(C1463="","",IFERROR(INDEX(Sites!$B$2:$B$501,MATCH(C1463,Sites!$A$2:$A$501,0)),"?"))</f>
        <v/>
      </c>
      <c r="I1463" s="8">
        <f>IF(A1463="","",A1463-WEEKDAY(A1463,3))</f>
        <v/>
      </c>
      <c r="K1463" s="7">
        <f>IF(A1463="","",IF(OR(B1463="",C1463="",D1463="",E1463=""),"Missing info",IF(ISNA(MATCH(B1463,Staff!$A$2:$A$101,0)),"Unknown employee",IF(H1463="?","Unknown site",IF(G1463&lt;=0,"Check times",IF(G1463&gt;12,"Over 12h",IF(COUNTIFS($L$2:$L$2001,L1463)&gt;1,"Duplicate?",IF(A1463&gt;TODAY(),"Future date","OK"))))))))</f>
        <v/>
      </c>
      <c r="L1463">
        <f>IF(A1463="","",TEXT(A1463,"yyyy-mm-dd")&amp;"|"&amp;B1463&amp;"|"&amp;C1463)</f>
        <v/>
      </c>
    </row>
    <row r="1464">
      <c r="A1464" s="4" t="n"/>
      <c r="D1464" s="5" t="n"/>
      <c r="E1464" s="5" t="n"/>
      <c r="G1464" s="6">
        <f>IF(OR(A1464="",D1464="",E1464=""),"",ROUND(MOD(E1464-D1464,1)*24-N(F1464)/60,2))</f>
        <v/>
      </c>
      <c r="H1464" s="7">
        <f>IF(C1464="","",IFERROR(INDEX(Sites!$B$2:$B$501,MATCH(C1464,Sites!$A$2:$A$501,0)),"?"))</f>
        <v/>
      </c>
      <c r="I1464" s="8">
        <f>IF(A1464="","",A1464-WEEKDAY(A1464,3))</f>
        <v/>
      </c>
      <c r="K1464" s="7">
        <f>IF(A1464="","",IF(OR(B1464="",C1464="",D1464="",E1464=""),"Missing info",IF(ISNA(MATCH(B1464,Staff!$A$2:$A$101,0)),"Unknown employee",IF(H1464="?","Unknown site",IF(G1464&lt;=0,"Check times",IF(G1464&gt;12,"Over 12h",IF(COUNTIFS($L$2:$L$2001,L1464)&gt;1,"Duplicate?",IF(A1464&gt;TODAY(),"Future date","OK"))))))))</f>
        <v/>
      </c>
      <c r="L1464">
        <f>IF(A1464="","",TEXT(A1464,"yyyy-mm-dd")&amp;"|"&amp;B1464&amp;"|"&amp;C1464)</f>
        <v/>
      </c>
    </row>
    <row r="1465">
      <c r="A1465" s="4" t="n"/>
      <c r="D1465" s="5" t="n"/>
      <c r="E1465" s="5" t="n"/>
      <c r="G1465" s="6">
        <f>IF(OR(A1465="",D1465="",E1465=""),"",ROUND(MOD(E1465-D1465,1)*24-N(F1465)/60,2))</f>
        <v/>
      </c>
      <c r="H1465" s="7">
        <f>IF(C1465="","",IFERROR(INDEX(Sites!$B$2:$B$501,MATCH(C1465,Sites!$A$2:$A$501,0)),"?"))</f>
        <v/>
      </c>
      <c r="I1465" s="8">
        <f>IF(A1465="","",A1465-WEEKDAY(A1465,3))</f>
        <v/>
      </c>
      <c r="K1465" s="7">
        <f>IF(A1465="","",IF(OR(B1465="",C1465="",D1465="",E1465=""),"Missing info",IF(ISNA(MATCH(B1465,Staff!$A$2:$A$101,0)),"Unknown employee",IF(H1465="?","Unknown site",IF(G1465&lt;=0,"Check times",IF(G1465&gt;12,"Over 12h",IF(COUNTIFS($L$2:$L$2001,L1465)&gt;1,"Duplicate?",IF(A1465&gt;TODAY(),"Future date","OK"))))))))</f>
        <v/>
      </c>
      <c r="L1465">
        <f>IF(A1465="","",TEXT(A1465,"yyyy-mm-dd")&amp;"|"&amp;B1465&amp;"|"&amp;C1465)</f>
        <v/>
      </c>
    </row>
    <row r="1466">
      <c r="A1466" s="4" t="n"/>
      <c r="D1466" s="5" t="n"/>
      <c r="E1466" s="5" t="n"/>
      <c r="G1466" s="6">
        <f>IF(OR(A1466="",D1466="",E1466=""),"",ROUND(MOD(E1466-D1466,1)*24-N(F1466)/60,2))</f>
        <v/>
      </c>
      <c r="H1466" s="7">
        <f>IF(C1466="","",IFERROR(INDEX(Sites!$B$2:$B$501,MATCH(C1466,Sites!$A$2:$A$501,0)),"?"))</f>
        <v/>
      </c>
      <c r="I1466" s="8">
        <f>IF(A1466="","",A1466-WEEKDAY(A1466,3))</f>
        <v/>
      </c>
      <c r="K1466" s="7">
        <f>IF(A1466="","",IF(OR(B1466="",C1466="",D1466="",E1466=""),"Missing info",IF(ISNA(MATCH(B1466,Staff!$A$2:$A$101,0)),"Unknown employee",IF(H1466="?","Unknown site",IF(G1466&lt;=0,"Check times",IF(G1466&gt;12,"Over 12h",IF(COUNTIFS($L$2:$L$2001,L1466)&gt;1,"Duplicate?",IF(A1466&gt;TODAY(),"Future date","OK"))))))))</f>
        <v/>
      </c>
      <c r="L1466">
        <f>IF(A1466="","",TEXT(A1466,"yyyy-mm-dd")&amp;"|"&amp;B1466&amp;"|"&amp;C1466)</f>
        <v/>
      </c>
    </row>
    <row r="1467">
      <c r="A1467" s="4" t="n"/>
      <c r="D1467" s="5" t="n"/>
      <c r="E1467" s="5" t="n"/>
      <c r="G1467" s="6">
        <f>IF(OR(A1467="",D1467="",E1467=""),"",ROUND(MOD(E1467-D1467,1)*24-N(F1467)/60,2))</f>
        <v/>
      </c>
      <c r="H1467" s="7">
        <f>IF(C1467="","",IFERROR(INDEX(Sites!$B$2:$B$501,MATCH(C1467,Sites!$A$2:$A$501,0)),"?"))</f>
        <v/>
      </c>
      <c r="I1467" s="8">
        <f>IF(A1467="","",A1467-WEEKDAY(A1467,3))</f>
        <v/>
      </c>
      <c r="K1467" s="7">
        <f>IF(A1467="","",IF(OR(B1467="",C1467="",D1467="",E1467=""),"Missing info",IF(ISNA(MATCH(B1467,Staff!$A$2:$A$101,0)),"Unknown employee",IF(H1467="?","Unknown site",IF(G1467&lt;=0,"Check times",IF(G1467&gt;12,"Over 12h",IF(COUNTIFS($L$2:$L$2001,L1467)&gt;1,"Duplicate?",IF(A1467&gt;TODAY(),"Future date","OK"))))))))</f>
        <v/>
      </c>
      <c r="L1467">
        <f>IF(A1467="","",TEXT(A1467,"yyyy-mm-dd")&amp;"|"&amp;B1467&amp;"|"&amp;C1467)</f>
        <v/>
      </c>
    </row>
    <row r="1468">
      <c r="A1468" s="4" t="n"/>
      <c r="D1468" s="5" t="n"/>
      <c r="E1468" s="5" t="n"/>
      <c r="G1468" s="6">
        <f>IF(OR(A1468="",D1468="",E1468=""),"",ROUND(MOD(E1468-D1468,1)*24-N(F1468)/60,2))</f>
        <v/>
      </c>
      <c r="H1468" s="7">
        <f>IF(C1468="","",IFERROR(INDEX(Sites!$B$2:$B$501,MATCH(C1468,Sites!$A$2:$A$501,0)),"?"))</f>
        <v/>
      </c>
      <c r="I1468" s="8">
        <f>IF(A1468="","",A1468-WEEKDAY(A1468,3))</f>
        <v/>
      </c>
      <c r="K1468" s="7">
        <f>IF(A1468="","",IF(OR(B1468="",C1468="",D1468="",E1468=""),"Missing info",IF(ISNA(MATCH(B1468,Staff!$A$2:$A$101,0)),"Unknown employee",IF(H1468="?","Unknown site",IF(G1468&lt;=0,"Check times",IF(G1468&gt;12,"Over 12h",IF(COUNTIFS($L$2:$L$2001,L1468)&gt;1,"Duplicate?",IF(A1468&gt;TODAY(),"Future date","OK"))))))))</f>
        <v/>
      </c>
      <c r="L1468">
        <f>IF(A1468="","",TEXT(A1468,"yyyy-mm-dd")&amp;"|"&amp;B1468&amp;"|"&amp;C1468)</f>
        <v/>
      </c>
    </row>
    <row r="1469">
      <c r="A1469" s="4" t="n"/>
      <c r="D1469" s="5" t="n"/>
      <c r="E1469" s="5" t="n"/>
      <c r="G1469" s="6">
        <f>IF(OR(A1469="",D1469="",E1469=""),"",ROUND(MOD(E1469-D1469,1)*24-N(F1469)/60,2))</f>
        <v/>
      </c>
      <c r="H1469" s="7">
        <f>IF(C1469="","",IFERROR(INDEX(Sites!$B$2:$B$501,MATCH(C1469,Sites!$A$2:$A$501,0)),"?"))</f>
        <v/>
      </c>
      <c r="I1469" s="8">
        <f>IF(A1469="","",A1469-WEEKDAY(A1469,3))</f>
        <v/>
      </c>
      <c r="K1469" s="7">
        <f>IF(A1469="","",IF(OR(B1469="",C1469="",D1469="",E1469=""),"Missing info",IF(ISNA(MATCH(B1469,Staff!$A$2:$A$101,0)),"Unknown employee",IF(H1469="?","Unknown site",IF(G1469&lt;=0,"Check times",IF(G1469&gt;12,"Over 12h",IF(COUNTIFS($L$2:$L$2001,L1469)&gt;1,"Duplicate?",IF(A1469&gt;TODAY(),"Future date","OK"))))))))</f>
        <v/>
      </c>
      <c r="L1469">
        <f>IF(A1469="","",TEXT(A1469,"yyyy-mm-dd")&amp;"|"&amp;B1469&amp;"|"&amp;C1469)</f>
        <v/>
      </c>
    </row>
    <row r="1470">
      <c r="A1470" s="4" t="n"/>
      <c r="D1470" s="5" t="n"/>
      <c r="E1470" s="5" t="n"/>
      <c r="G1470" s="6">
        <f>IF(OR(A1470="",D1470="",E1470=""),"",ROUND(MOD(E1470-D1470,1)*24-N(F1470)/60,2))</f>
        <v/>
      </c>
      <c r="H1470" s="7">
        <f>IF(C1470="","",IFERROR(INDEX(Sites!$B$2:$B$501,MATCH(C1470,Sites!$A$2:$A$501,0)),"?"))</f>
        <v/>
      </c>
      <c r="I1470" s="8">
        <f>IF(A1470="","",A1470-WEEKDAY(A1470,3))</f>
        <v/>
      </c>
      <c r="K1470" s="7">
        <f>IF(A1470="","",IF(OR(B1470="",C1470="",D1470="",E1470=""),"Missing info",IF(ISNA(MATCH(B1470,Staff!$A$2:$A$101,0)),"Unknown employee",IF(H1470="?","Unknown site",IF(G1470&lt;=0,"Check times",IF(G1470&gt;12,"Over 12h",IF(COUNTIFS($L$2:$L$2001,L1470)&gt;1,"Duplicate?",IF(A1470&gt;TODAY(),"Future date","OK"))))))))</f>
        <v/>
      </c>
      <c r="L1470">
        <f>IF(A1470="","",TEXT(A1470,"yyyy-mm-dd")&amp;"|"&amp;B1470&amp;"|"&amp;C1470)</f>
        <v/>
      </c>
    </row>
    <row r="1471">
      <c r="A1471" s="4" t="n"/>
      <c r="D1471" s="5" t="n"/>
      <c r="E1471" s="5" t="n"/>
      <c r="G1471" s="6">
        <f>IF(OR(A1471="",D1471="",E1471=""),"",ROUND(MOD(E1471-D1471,1)*24-N(F1471)/60,2))</f>
        <v/>
      </c>
      <c r="H1471" s="7">
        <f>IF(C1471="","",IFERROR(INDEX(Sites!$B$2:$B$501,MATCH(C1471,Sites!$A$2:$A$501,0)),"?"))</f>
        <v/>
      </c>
      <c r="I1471" s="8">
        <f>IF(A1471="","",A1471-WEEKDAY(A1471,3))</f>
        <v/>
      </c>
      <c r="K1471" s="7">
        <f>IF(A1471="","",IF(OR(B1471="",C1471="",D1471="",E1471=""),"Missing info",IF(ISNA(MATCH(B1471,Staff!$A$2:$A$101,0)),"Unknown employee",IF(H1471="?","Unknown site",IF(G1471&lt;=0,"Check times",IF(G1471&gt;12,"Over 12h",IF(COUNTIFS($L$2:$L$2001,L1471)&gt;1,"Duplicate?",IF(A1471&gt;TODAY(),"Future date","OK"))))))))</f>
        <v/>
      </c>
      <c r="L1471">
        <f>IF(A1471="","",TEXT(A1471,"yyyy-mm-dd")&amp;"|"&amp;B1471&amp;"|"&amp;C1471)</f>
        <v/>
      </c>
    </row>
    <row r="1472">
      <c r="A1472" s="4" t="n"/>
      <c r="D1472" s="5" t="n"/>
      <c r="E1472" s="5" t="n"/>
      <c r="G1472" s="6">
        <f>IF(OR(A1472="",D1472="",E1472=""),"",ROUND(MOD(E1472-D1472,1)*24-N(F1472)/60,2))</f>
        <v/>
      </c>
      <c r="H1472" s="7">
        <f>IF(C1472="","",IFERROR(INDEX(Sites!$B$2:$B$501,MATCH(C1472,Sites!$A$2:$A$501,0)),"?"))</f>
        <v/>
      </c>
      <c r="I1472" s="8">
        <f>IF(A1472="","",A1472-WEEKDAY(A1472,3))</f>
        <v/>
      </c>
      <c r="K1472" s="7">
        <f>IF(A1472="","",IF(OR(B1472="",C1472="",D1472="",E1472=""),"Missing info",IF(ISNA(MATCH(B1472,Staff!$A$2:$A$101,0)),"Unknown employee",IF(H1472="?","Unknown site",IF(G1472&lt;=0,"Check times",IF(G1472&gt;12,"Over 12h",IF(COUNTIFS($L$2:$L$2001,L1472)&gt;1,"Duplicate?",IF(A1472&gt;TODAY(),"Future date","OK"))))))))</f>
        <v/>
      </c>
      <c r="L1472">
        <f>IF(A1472="","",TEXT(A1472,"yyyy-mm-dd")&amp;"|"&amp;B1472&amp;"|"&amp;C1472)</f>
        <v/>
      </c>
    </row>
    <row r="1473">
      <c r="A1473" s="4" t="n"/>
      <c r="D1473" s="5" t="n"/>
      <c r="E1473" s="5" t="n"/>
      <c r="G1473" s="6">
        <f>IF(OR(A1473="",D1473="",E1473=""),"",ROUND(MOD(E1473-D1473,1)*24-N(F1473)/60,2))</f>
        <v/>
      </c>
      <c r="H1473" s="7">
        <f>IF(C1473="","",IFERROR(INDEX(Sites!$B$2:$B$501,MATCH(C1473,Sites!$A$2:$A$501,0)),"?"))</f>
        <v/>
      </c>
      <c r="I1473" s="8">
        <f>IF(A1473="","",A1473-WEEKDAY(A1473,3))</f>
        <v/>
      </c>
      <c r="K1473" s="7">
        <f>IF(A1473="","",IF(OR(B1473="",C1473="",D1473="",E1473=""),"Missing info",IF(ISNA(MATCH(B1473,Staff!$A$2:$A$101,0)),"Unknown employee",IF(H1473="?","Unknown site",IF(G1473&lt;=0,"Check times",IF(G1473&gt;12,"Over 12h",IF(COUNTIFS($L$2:$L$2001,L1473)&gt;1,"Duplicate?",IF(A1473&gt;TODAY(),"Future date","OK"))))))))</f>
        <v/>
      </c>
      <c r="L1473">
        <f>IF(A1473="","",TEXT(A1473,"yyyy-mm-dd")&amp;"|"&amp;B1473&amp;"|"&amp;C1473)</f>
        <v/>
      </c>
    </row>
    <row r="1474">
      <c r="A1474" s="4" t="n"/>
      <c r="D1474" s="5" t="n"/>
      <c r="E1474" s="5" t="n"/>
      <c r="G1474" s="6">
        <f>IF(OR(A1474="",D1474="",E1474=""),"",ROUND(MOD(E1474-D1474,1)*24-N(F1474)/60,2))</f>
        <v/>
      </c>
      <c r="H1474" s="7">
        <f>IF(C1474="","",IFERROR(INDEX(Sites!$B$2:$B$501,MATCH(C1474,Sites!$A$2:$A$501,0)),"?"))</f>
        <v/>
      </c>
      <c r="I1474" s="8">
        <f>IF(A1474="","",A1474-WEEKDAY(A1474,3))</f>
        <v/>
      </c>
      <c r="K1474" s="7">
        <f>IF(A1474="","",IF(OR(B1474="",C1474="",D1474="",E1474=""),"Missing info",IF(ISNA(MATCH(B1474,Staff!$A$2:$A$101,0)),"Unknown employee",IF(H1474="?","Unknown site",IF(G1474&lt;=0,"Check times",IF(G1474&gt;12,"Over 12h",IF(COUNTIFS($L$2:$L$2001,L1474)&gt;1,"Duplicate?",IF(A1474&gt;TODAY(),"Future date","OK"))))))))</f>
        <v/>
      </c>
      <c r="L1474">
        <f>IF(A1474="","",TEXT(A1474,"yyyy-mm-dd")&amp;"|"&amp;B1474&amp;"|"&amp;C1474)</f>
        <v/>
      </c>
    </row>
    <row r="1475">
      <c r="A1475" s="4" t="n"/>
      <c r="D1475" s="5" t="n"/>
      <c r="E1475" s="5" t="n"/>
      <c r="G1475" s="6">
        <f>IF(OR(A1475="",D1475="",E1475=""),"",ROUND(MOD(E1475-D1475,1)*24-N(F1475)/60,2))</f>
        <v/>
      </c>
      <c r="H1475" s="7">
        <f>IF(C1475="","",IFERROR(INDEX(Sites!$B$2:$B$501,MATCH(C1475,Sites!$A$2:$A$501,0)),"?"))</f>
        <v/>
      </c>
      <c r="I1475" s="8">
        <f>IF(A1475="","",A1475-WEEKDAY(A1475,3))</f>
        <v/>
      </c>
      <c r="K1475" s="7">
        <f>IF(A1475="","",IF(OR(B1475="",C1475="",D1475="",E1475=""),"Missing info",IF(ISNA(MATCH(B1475,Staff!$A$2:$A$101,0)),"Unknown employee",IF(H1475="?","Unknown site",IF(G1475&lt;=0,"Check times",IF(G1475&gt;12,"Over 12h",IF(COUNTIFS($L$2:$L$2001,L1475)&gt;1,"Duplicate?",IF(A1475&gt;TODAY(),"Future date","OK"))))))))</f>
        <v/>
      </c>
      <c r="L1475">
        <f>IF(A1475="","",TEXT(A1475,"yyyy-mm-dd")&amp;"|"&amp;B1475&amp;"|"&amp;C1475)</f>
        <v/>
      </c>
    </row>
    <row r="1476">
      <c r="A1476" s="4" t="n"/>
      <c r="D1476" s="5" t="n"/>
      <c r="E1476" s="5" t="n"/>
      <c r="G1476" s="6">
        <f>IF(OR(A1476="",D1476="",E1476=""),"",ROUND(MOD(E1476-D1476,1)*24-N(F1476)/60,2))</f>
        <v/>
      </c>
      <c r="H1476" s="7">
        <f>IF(C1476="","",IFERROR(INDEX(Sites!$B$2:$B$501,MATCH(C1476,Sites!$A$2:$A$501,0)),"?"))</f>
        <v/>
      </c>
      <c r="I1476" s="8">
        <f>IF(A1476="","",A1476-WEEKDAY(A1476,3))</f>
        <v/>
      </c>
      <c r="K1476" s="7">
        <f>IF(A1476="","",IF(OR(B1476="",C1476="",D1476="",E1476=""),"Missing info",IF(ISNA(MATCH(B1476,Staff!$A$2:$A$101,0)),"Unknown employee",IF(H1476="?","Unknown site",IF(G1476&lt;=0,"Check times",IF(G1476&gt;12,"Over 12h",IF(COUNTIFS($L$2:$L$2001,L1476)&gt;1,"Duplicate?",IF(A1476&gt;TODAY(),"Future date","OK"))))))))</f>
        <v/>
      </c>
      <c r="L1476">
        <f>IF(A1476="","",TEXT(A1476,"yyyy-mm-dd")&amp;"|"&amp;B1476&amp;"|"&amp;C1476)</f>
        <v/>
      </c>
    </row>
    <row r="1477">
      <c r="A1477" s="4" t="n"/>
      <c r="D1477" s="5" t="n"/>
      <c r="E1477" s="5" t="n"/>
      <c r="G1477" s="6">
        <f>IF(OR(A1477="",D1477="",E1477=""),"",ROUND(MOD(E1477-D1477,1)*24-N(F1477)/60,2))</f>
        <v/>
      </c>
      <c r="H1477" s="7">
        <f>IF(C1477="","",IFERROR(INDEX(Sites!$B$2:$B$501,MATCH(C1477,Sites!$A$2:$A$501,0)),"?"))</f>
        <v/>
      </c>
      <c r="I1477" s="8">
        <f>IF(A1477="","",A1477-WEEKDAY(A1477,3))</f>
        <v/>
      </c>
      <c r="K1477" s="7">
        <f>IF(A1477="","",IF(OR(B1477="",C1477="",D1477="",E1477=""),"Missing info",IF(ISNA(MATCH(B1477,Staff!$A$2:$A$101,0)),"Unknown employee",IF(H1477="?","Unknown site",IF(G1477&lt;=0,"Check times",IF(G1477&gt;12,"Over 12h",IF(COUNTIFS($L$2:$L$2001,L1477)&gt;1,"Duplicate?",IF(A1477&gt;TODAY(),"Future date","OK"))))))))</f>
        <v/>
      </c>
      <c r="L1477">
        <f>IF(A1477="","",TEXT(A1477,"yyyy-mm-dd")&amp;"|"&amp;B1477&amp;"|"&amp;C1477)</f>
        <v/>
      </c>
    </row>
    <row r="1478">
      <c r="A1478" s="4" t="n"/>
      <c r="D1478" s="5" t="n"/>
      <c r="E1478" s="5" t="n"/>
      <c r="G1478" s="6">
        <f>IF(OR(A1478="",D1478="",E1478=""),"",ROUND(MOD(E1478-D1478,1)*24-N(F1478)/60,2))</f>
        <v/>
      </c>
      <c r="H1478" s="7">
        <f>IF(C1478="","",IFERROR(INDEX(Sites!$B$2:$B$501,MATCH(C1478,Sites!$A$2:$A$501,0)),"?"))</f>
        <v/>
      </c>
      <c r="I1478" s="8">
        <f>IF(A1478="","",A1478-WEEKDAY(A1478,3))</f>
        <v/>
      </c>
      <c r="K1478" s="7">
        <f>IF(A1478="","",IF(OR(B1478="",C1478="",D1478="",E1478=""),"Missing info",IF(ISNA(MATCH(B1478,Staff!$A$2:$A$101,0)),"Unknown employee",IF(H1478="?","Unknown site",IF(G1478&lt;=0,"Check times",IF(G1478&gt;12,"Over 12h",IF(COUNTIFS($L$2:$L$2001,L1478)&gt;1,"Duplicate?",IF(A1478&gt;TODAY(),"Future date","OK"))))))))</f>
        <v/>
      </c>
      <c r="L1478">
        <f>IF(A1478="","",TEXT(A1478,"yyyy-mm-dd")&amp;"|"&amp;B1478&amp;"|"&amp;C1478)</f>
        <v/>
      </c>
    </row>
    <row r="1479">
      <c r="A1479" s="4" t="n"/>
      <c r="D1479" s="5" t="n"/>
      <c r="E1479" s="5" t="n"/>
      <c r="G1479" s="6">
        <f>IF(OR(A1479="",D1479="",E1479=""),"",ROUND(MOD(E1479-D1479,1)*24-N(F1479)/60,2))</f>
        <v/>
      </c>
      <c r="H1479" s="7">
        <f>IF(C1479="","",IFERROR(INDEX(Sites!$B$2:$B$501,MATCH(C1479,Sites!$A$2:$A$501,0)),"?"))</f>
        <v/>
      </c>
      <c r="I1479" s="8">
        <f>IF(A1479="","",A1479-WEEKDAY(A1479,3))</f>
        <v/>
      </c>
      <c r="K1479" s="7">
        <f>IF(A1479="","",IF(OR(B1479="",C1479="",D1479="",E1479=""),"Missing info",IF(ISNA(MATCH(B1479,Staff!$A$2:$A$101,0)),"Unknown employee",IF(H1479="?","Unknown site",IF(G1479&lt;=0,"Check times",IF(G1479&gt;12,"Over 12h",IF(COUNTIFS($L$2:$L$2001,L1479)&gt;1,"Duplicate?",IF(A1479&gt;TODAY(),"Future date","OK"))))))))</f>
        <v/>
      </c>
      <c r="L1479">
        <f>IF(A1479="","",TEXT(A1479,"yyyy-mm-dd")&amp;"|"&amp;B1479&amp;"|"&amp;C1479)</f>
        <v/>
      </c>
    </row>
    <row r="1480">
      <c r="A1480" s="4" t="n"/>
      <c r="D1480" s="5" t="n"/>
      <c r="E1480" s="5" t="n"/>
      <c r="G1480" s="6">
        <f>IF(OR(A1480="",D1480="",E1480=""),"",ROUND(MOD(E1480-D1480,1)*24-N(F1480)/60,2))</f>
        <v/>
      </c>
      <c r="H1480" s="7">
        <f>IF(C1480="","",IFERROR(INDEX(Sites!$B$2:$B$501,MATCH(C1480,Sites!$A$2:$A$501,0)),"?"))</f>
        <v/>
      </c>
      <c r="I1480" s="8">
        <f>IF(A1480="","",A1480-WEEKDAY(A1480,3))</f>
        <v/>
      </c>
      <c r="K1480" s="7">
        <f>IF(A1480="","",IF(OR(B1480="",C1480="",D1480="",E1480=""),"Missing info",IF(ISNA(MATCH(B1480,Staff!$A$2:$A$101,0)),"Unknown employee",IF(H1480="?","Unknown site",IF(G1480&lt;=0,"Check times",IF(G1480&gt;12,"Over 12h",IF(COUNTIFS($L$2:$L$2001,L1480)&gt;1,"Duplicate?",IF(A1480&gt;TODAY(),"Future date","OK"))))))))</f>
        <v/>
      </c>
      <c r="L1480">
        <f>IF(A1480="","",TEXT(A1480,"yyyy-mm-dd")&amp;"|"&amp;B1480&amp;"|"&amp;C1480)</f>
        <v/>
      </c>
    </row>
    <row r="1481">
      <c r="A1481" s="4" t="n"/>
      <c r="D1481" s="5" t="n"/>
      <c r="E1481" s="5" t="n"/>
      <c r="G1481" s="6">
        <f>IF(OR(A1481="",D1481="",E1481=""),"",ROUND(MOD(E1481-D1481,1)*24-N(F1481)/60,2))</f>
        <v/>
      </c>
      <c r="H1481" s="7">
        <f>IF(C1481="","",IFERROR(INDEX(Sites!$B$2:$B$501,MATCH(C1481,Sites!$A$2:$A$501,0)),"?"))</f>
        <v/>
      </c>
      <c r="I1481" s="8">
        <f>IF(A1481="","",A1481-WEEKDAY(A1481,3))</f>
        <v/>
      </c>
      <c r="K1481" s="7">
        <f>IF(A1481="","",IF(OR(B1481="",C1481="",D1481="",E1481=""),"Missing info",IF(ISNA(MATCH(B1481,Staff!$A$2:$A$101,0)),"Unknown employee",IF(H1481="?","Unknown site",IF(G1481&lt;=0,"Check times",IF(G1481&gt;12,"Over 12h",IF(COUNTIFS($L$2:$L$2001,L1481)&gt;1,"Duplicate?",IF(A1481&gt;TODAY(),"Future date","OK"))))))))</f>
        <v/>
      </c>
      <c r="L1481">
        <f>IF(A1481="","",TEXT(A1481,"yyyy-mm-dd")&amp;"|"&amp;B1481&amp;"|"&amp;C1481)</f>
        <v/>
      </c>
    </row>
    <row r="1482">
      <c r="A1482" s="4" t="n"/>
      <c r="D1482" s="5" t="n"/>
      <c r="E1482" s="5" t="n"/>
      <c r="G1482" s="6">
        <f>IF(OR(A1482="",D1482="",E1482=""),"",ROUND(MOD(E1482-D1482,1)*24-N(F1482)/60,2))</f>
        <v/>
      </c>
      <c r="H1482" s="7">
        <f>IF(C1482="","",IFERROR(INDEX(Sites!$B$2:$B$501,MATCH(C1482,Sites!$A$2:$A$501,0)),"?"))</f>
        <v/>
      </c>
      <c r="I1482" s="8">
        <f>IF(A1482="","",A1482-WEEKDAY(A1482,3))</f>
        <v/>
      </c>
      <c r="K1482" s="7">
        <f>IF(A1482="","",IF(OR(B1482="",C1482="",D1482="",E1482=""),"Missing info",IF(ISNA(MATCH(B1482,Staff!$A$2:$A$101,0)),"Unknown employee",IF(H1482="?","Unknown site",IF(G1482&lt;=0,"Check times",IF(G1482&gt;12,"Over 12h",IF(COUNTIFS($L$2:$L$2001,L1482)&gt;1,"Duplicate?",IF(A1482&gt;TODAY(),"Future date","OK"))))))))</f>
        <v/>
      </c>
      <c r="L1482">
        <f>IF(A1482="","",TEXT(A1482,"yyyy-mm-dd")&amp;"|"&amp;B1482&amp;"|"&amp;C1482)</f>
        <v/>
      </c>
    </row>
    <row r="1483">
      <c r="A1483" s="4" t="n"/>
      <c r="D1483" s="5" t="n"/>
      <c r="E1483" s="5" t="n"/>
      <c r="G1483" s="6">
        <f>IF(OR(A1483="",D1483="",E1483=""),"",ROUND(MOD(E1483-D1483,1)*24-N(F1483)/60,2))</f>
        <v/>
      </c>
      <c r="H1483" s="7">
        <f>IF(C1483="","",IFERROR(INDEX(Sites!$B$2:$B$501,MATCH(C1483,Sites!$A$2:$A$501,0)),"?"))</f>
        <v/>
      </c>
      <c r="I1483" s="8">
        <f>IF(A1483="","",A1483-WEEKDAY(A1483,3))</f>
        <v/>
      </c>
      <c r="K1483" s="7">
        <f>IF(A1483="","",IF(OR(B1483="",C1483="",D1483="",E1483=""),"Missing info",IF(ISNA(MATCH(B1483,Staff!$A$2:$A$101,0)),"Unknown employee",IF(H1483="?","Unknown site",IF(G1483&lt;=0,"Check times",IF(G1483&gt;12,"Over 12h",IF(COUNTIFS($L$2:$L$2001,L1483)&gt;1,"Duplicate?",IF(A1483&gt;TODAY(),"Future date","OK"))))))))</f>
        <v/>
      </c>
      <c r="L1483">
        <f>IF(A1483="","",TEXT(A1483,"yyyy-mm-dd")&amp;"|"&amp;B1483&amp;"|"&amp;C1483)</f>
        <v/>
      </c>
    </row>
    <row r="1484">
      <c r="A1484" s="4" t="n"/>
      <c r="D1484" s="5" t="n"/>
      <c r="E1484" s="5" t="n"/>
      <c r="G1484" s="6">
        <f>IF(OR(A1484="",D1484="",E1484=""),"",ROUND(MOD(E1484-D1484,1)*24-N(F1484)/60,2))</f>
        <v/>
      </c>
      <c r="H1484" s="7">
        <f>IF(C1484="","",IFERROR(INDEX(Sites!$B$2:$B$501,MATCH(C1484,Sites!$A$2:$A$501,0)),"?"))</f>
        <v/>
      </c>
      <c r="I1484" s="8">
        <f>IF(A1484="","",A1484-WEEKDAY(A1484,3))</f>
        <v/>
      </c>
      <c r="K1484" s="7">
        <f>IF(A1484="","",IF(OR(B1484="",C1484="",D1484="",E1484=""),"Missing info",IF(ISNA(MATCH(B1484,Staff!$A$2:$A$101,0)),"Unknown employee",IF(H1484="?","Unknown site",IF(G1484&lt;=0,"Check times",IF(G1484&gt;12,"Over 12h",IF(COUNTIFS($L$2:$L$2001,L1484)&gt;1,"Duplicate?",IF(A1484&gt;TODAY(),"Future date","OK"))))))))</f>
        <v/>
      </c>
      <c r="L1484">
        <f>IF(A1484="","",TEXT(A1484,"yyyy-mm-dd")&amp;"|"&amp;B1484&amp;"|"&amp;C1484)</f>
        <v/>
      </c>
    </row>
    <row r="1485">
      <c r="A1485" s="4" t="n"/>
      <c r="D1485" s="5" t="n"/>
      <c r="E1485" s="5" t="n"/>
      <c r="G1485" s="6">
        <f>IF(OR(A1485="",D1485="",E1485=""),"",ROUND(MOD(E1485-D1485,1)*24-N(F1485)/60,2))</f>
        <v/>
      </c>
      <c r="H1485" s="7">
        <f>IF(C1485="","",IFERROR(INDEX(Sites!$B$2:$B$501,MATCH(C1485,Sites!$A$2:$A$501,0)),"?"))</f>
        <v/>
      </c>
      <c r="I1485" s="8">
        <f>IF(A1485="","",A1485-WEEKDAY(A1485,3))</f>
        <v/>
      </c>
      <c r="K1485" s="7">
        <f>IF(A1485="","",IF(OR(B1485="",C1485="",D1485="",E1485=""),"Missing info",IF(ISNA(MATCH(B1485,Staff!$A$2:$A$101,0)),"Unknown employee",IF(H1485="?","Unknown site",IF(G1485&lt;=0,"Check times",IF(G1485&gt;12,"Over 12h",IF(COUNTIFS($L$2:$L$2001,L1485)&gt;1,"Duplicate?",IF(A1485&gt;TODAY(),"Future date","OK"))))))))</f>
        <v/>
      </c>
      <c r="L1485">
        <f>IF(A1485="","",TEXT(A1485,"yyyy-mm-dd")&amp;"|"&amp;B1485&amp;"|"&amp;C1485)</f>
        <v/>
      </c>
    </row>
    <row r="1486">
      <c r="A1486" s="4" t="n"/>
      <c r="D1486" s="5" t="n"/>
      <c r="E1486" s="5" t="n"/>
      <c r="G1486" s="6">
        <f>IF(OR(A1486="",D1486="",E1486=""),"",ROUND(MOD(E1486-D1486,1)*24-N(F1486)/60,2))</f>
        <v/>
      </c>
      <c r="H1486" s="7">
        <f>IF(C1486="","",IFERROR(INDEX(Sites!$B$2:$B$501,MATCH(C1486,Sites!$A$2:$A$501,0)),"?"))</f>
        <v/>
      </c>
      <c r="I1486" s="8">
        <f>IF(A1486="","",A1486-WEEKDAY(A1486,3))</f>
        <v/>
      </c>
      <c r="K1486" s="7">
        <f>IF(A1486="","",IF(OR(B1486="",C1486="",D1486="",E1486=""),"Missing info",IF(ISNA(MATCH(B1486,Staff!$A$2:$A$101,0)),"Unknown employee",IF(H1486="?","Unknown site",IF(G1486&lt;=0,"Check times",IF(G1486&gt;12,"Over 12h",IF(COUNTIFS($L$2:$L$2001,L1486)&gt;1,"Duplicate?",IF(A1486&gt;TODAY(),"Future date","OK"))))))))</f>
        <v/>
      </c>
      <c r="L1486">
        <f>IF(A1486="","",TEXT(A1486,"yyyy-mm-dd")&amp;"|"&amp;B1486&amp;"|"&amp;C1486)</f>
        <v/>
      </c>
    </row>
    <row r="1487">
      <c r="A1487" s="4" t="n"/>
      <c r="D1487" s="5" t="n"/>
      <c r="E1487" s="5" t="n"/>
      <c r="G1487" s="6">
        <f>IF(OR(A1487="",D1487="",E1487=""),"",ROUND(MOD(E1487-D1487,1)*24-N(F1487)/60,2))</f>
        <v/>
      </c>
      <c r="H1487" s="7">
        <f>IF(C1487="","",IFERROR(INDEX(Sites!$B$2:$B$501,MATCH(C1487,Sites!$A$2:$A$501,0)),"?"))</f>
        <v/>
      </c>
      <c r="I1487" s="8">
        <f>IF(A1487="","",A1487-WEEKDAY(A1487,3))</f>
        <v/>
      </c>
      <c r="K1487" s="7">
        <f>IF(A1487="","",IF(OR(B1487="",C1487="",D1487="",E1487=""),"Missing info",IF(ISNA(MATCH(B1487,Staff!$A$2:$A$101,0)),"Unknown employee",IF(H1487="?","Unknown site",IF(G1487&lt;=0,"Check times",IF(G1487&gt;12,"Over 12h",IF(COUNTIFS($L$2:$L$2001,L1487)&gt;1,"Duplicate?",IF(A1487&gt;TODAY(),"Future date","OK"))))))))</f>
        <v/>
      </c>
      <c r="L1487">
        <f>IF(A1487="","",TEXT(A1487,"yyyy-mm-dd")&amp;"|"&amp;B1487&amp;"|"&amp;C1487)</f>
        <v/>
      </c>
    </row>
    <row r="1488">
      <c r="A1488" s="4" t="n"/>
      <c r="D1488" s="5" t="n"/>
      <c r="E1488" s="5" t="n"/>
      <c r="G1488" s="6">
        <f>IF(OR(A1488="",D1488="",E1488=""),"",ROUND(MOD(E1488-D1488,1)*24-N(F1488)/60,2))</f>
        <v/>
      </c>
      <c r="H1488" s="7">
        <f>IF(C1488="","",IFERROR(INDEX(Sites!$B$2:$B$501,MATCH(C1488,Sites!$A$2:$A$501,0)),"?"))</f>
        <v/>
      </c>
      <c r="I1488" s="8">
        <f>IF(A1488="","",A1488-WEEKDAY(A1488,3))</f>
        <v/>
      </c>
      <c r="K1488" s="7">
        <f>IF(A1488="","",IF(OR(B1488="",C1488="",D1488="",E1488=""),"Missing info",IF(ISNA(MATCH(B1488,Staff!$A$2:$A$101,0)),"Unknown employee",IF(H1488="?","Unknown site",IF(G1488&lt;=0,"Check times",IF(G1488&gt;12,"Over 12h",IF(COUNTIFS($L$2:$L$2001,L1488)&gt;1,"Duplicate?",IF(A1488&gt;TODAY(),"Future date","OK"))))))))</f>
        <v/>
      </c>
      <c r="L1488">
        <f>IF(A1488="","",TEXT(A1488,"yyyy-mm-dd")&amp;"|"&amp;B1488&amp;"|"&amp;C1488)</f>
        <v/>
      </c>
    </row>
    <row r="1489">
      <c r="A1489" s="4" t="n"/>
      <c r="D1489" s="5" t="n"/>
      <c r="E1489" s="5" t="n"/>
      <c r="G1489" s="6">
        <f>IF(OR(A1489="",D1489="",E1489=""),"",ROUND(MOD(E1489-D1489,1)*24-N(F1489)/60,2))</f>
        <v/>
      </c>
      <c r="H1489" s="7">
        <f>IF(C1489="","",IFERROR(INDEX(Sites!$B$2:$B$501,MATCH(C1489,Sites!$A$2:$A$501,0)),"?"))</f>
        <v/>
      </c>
      <c r="I1489" s="8">
        <f>IF(A1489="","",A1489-WEEKDAY(A1489,3))</f>
        <v/>
      </c>
      <c r="K1489" s="7">
        <f>IF(A1489="","",IF(OR(B1489="",C1489="",D1489="",E1489=""),"Missing info",IF(ISNA(MATCH(B1489,Staff!$A$2:$A$101,0)),"Unknown employee",IF(H1489="?","Unknown site",IF(G1489&lt;=0,"Check times",IF(G1489&gt;12,"Over 12h",IF(COUNTIFS($L$2:$L$2001,L1489)&gt;1,"Duplicate?",IF(A1489&gt;TODAY(),"Future date","OK"))))))))</f>
        <v/>
      </c>
      <c r="L1489">
        <f>IF(A1489="","",TEXT(A1489,"yyyy-mm-dd")&amp;"|"&amp;B1489&amp;"|"&amp;C1489)</f>
        <v/>
      </c>
    </row>
    <row r="1490">
      <c r="A1490" s="4" t="n"/>
      <c r="D1490" s="5" t="n"/>
      <c r="E1490" s="5" t="n"/>
      <c r="G1490" s="6">
        <f>IF(OR(A1490="",D1490="",E1490=""),"",ROUND(MOD(E1490-D1490,1)*24-N(F1490)/60,2))</f>
        <v/>
      </c>
      <c r="H1490" s="7">
        <f>IF(C1490="","",IFERROR(INDEX(Sites!$B$2:$B$501,MATCH(C1490,Sites!$A$2:$A$501,0)),"?"))</f>
        <v/>
      </c>
      <c r="I1490" s="8">
        <f>IF(A1490="","",A1490-WEEKDAY(A1490,3))</f>
        <v/>
      </c>
      <c r="K1490" s="7">
        <f>IF(A1490="","",IF(OR(B1490="",C1490="",D1490="",E1490=""),"Missing info",IF(ISNA(MATCH(B1490,Staff!$A$2:$A$101,0)),"Unknown employee",IF(H1490="?","Unknown site",IF(G1490&lt;=0,"Check times",IF(G1490&gt;12,"Over 12h",IF(COUNTIFS($L$2:$L$2001,L1490)&gt;1,"Duplicate?",IF(A1490&gt;TODAY(),"Future date","OK"))))))))</f>
        <v/>
      </c>
      <c r="L1490">
        <f>IF(A1490="","",TEXT(A1490,"yyyy-mm-dd")&amp;"|"&amp;B1490&amp;"|"&amp;C1490)</f>
        <v/>
      </c>
    </row>
    <row r="1491">
      <c r="A1491" s="4" t="n"/>
      <c r="D1491" s="5" t="n"/>
      <c r="E1491" s="5" t="n"/>
      <c r="G1491" s="6">
        <f>IF(OR(A1491="",D1491="",E1491=""),"",ROUND(MOD(E1491-D1491,1)*24-N(F1491)/60,2))</f>
        <v/>
      </c>
      <c r="H1491" s="7">
        <f>IF(C1491="","",IFERROR(INDEX(Sites!$B$2:$B$501,MATCH(C1491,Sites!$A$2:$A$501,0)),"?"))</f>
        <v/>
      </c>
      <c r="I1491" s="8">
        <f>IF(A1491="","",A1491-WEEKDAY(A1491,3))</f>
        <v/>
      </c>
      <c r="K1491" s="7">
        <f>IF(A1491="","",IF(OR(B1491="",C1491="",D1491="",E1491=""),"Missing info",IF(ISNA(MATCH(B1491,Staff!$A$2:$A$101,0)),"Unknown employee",IF(H1491="?","Unknown site",IF(G1491&lt;=0,"Check times",IF(G1491&gt;12,"Over 12h",IF(COUNTIFS($L$2:$L$2001,L1491)&gt;1,"Duplicate?",IF(A1491&gt;TODAY(),"Future date","OK"))))))))</f>
        <v/>
      </c>
      <c r="L1491">
        <f>IF(A1491="","",TEXT(A1491,"yyyy-mm-dd")&amp;"|"&amp;B1491&amp;"|"&amp;C1491)</f>
        <v/>
      </c>
    </row>
    <row r="1492">
      <c r="A1492" s="4" t="n"/>
      <c r="D1492" s="5" t="n"/>
      <c r="E1492" s="5" t="n"/>
      <c r="G1492" s="6">
        <f>IF(OR(A1492="",D1492="",E1492=""),"",ROUND(MOD(E1492-D1492,1)*24-N(F1492)/60,2))</f>
        <v/>
      </c>
      <c r="H1492" s="7">
        <f>IF(C1492="","",IFERROR(INDEX(Sites!$B$2:$B$501,MATCH(C1492,Sites!$A$2:$A$501,0)),"?"))</f>
        <v/>
      </c>
      <c r="I1492" s="8">
        <f>IF(A1492="","",A1492-WEEKDAY(A1492,3))</f>
        <v/>
      </c>
      <c r="K1492" s="7">
        <f>IF(A1492="","",IF(OR(B1492="",C1492="",D1492="",E1492=""),"Missing info",IF(ISNA(MATCH(B1492,Staff!$A$2:$A$101,0)),"Unknown employee",IF(H1492="?","Unknown site",IF(G1492&lt;=0,"Check times",IF(G1492&gt;12,"Over 12h",IF(COUNTIFS($L$2:$L$2001,L1492)&gt;1,"Duplicate?",IF(A1492&gt;TODAY(),"Future date","OK"))))))))</f>
        <v/>
      </c>
      <c r="L1492">
        <f>IF(A1492="","",TEXT(A1492,"yyyy-mm-dd")&amp;"|"&amp;B1492&amp;"|"&amp;C1492)</f>
        <v/>
      </c>
    </row>
    <row r="1493">
      <c r="A1493" s="4" t="n"/>
      <c r="D1493" s="5" t="n"/>
      <c r="E1493" s="5" t="n"/>
      <c r="G1493" s="6">
        <f>IF(OR(A1493="",D1493="",E1493=""),"",ROUND(MOD(E1493-D1493,1)*24-N(F1493)/60,2))</f>
        <v/>
      </c>
      <c r="H1493" s="7">
        <f>IF(C1493="","",IFERROR(INDEX(Sites!$B$2:$B$501,MATCH(C1493,Sites!$A$2:$A$501,0)),"?"))</f>
        <v/>
      </c>
      <c r="I1493" s="8">
        <f>IF(A1493="","",A1493-WEEKDAY(A1493,3))</f>
        <v/>
      </c>
      <c r="K1493" s="7">
        <f>IF(A1493="","",IF(OR(B1493="",C1493="",D1493="",E1493=""),"Missing info",IF(ISNA(MATCH(B1493,Staff!$A$2:$A$101,0)),"Unknown employee",IF(H1493="?","Unknown site",IF(G1493&lt;=0,"Check times",IF(G1493&gt;12,"Over 12h",IF(COUNTIFS($L$2:$L$2001,L1493)&gt;1,"Duplicate?",IF(A1493&gt;TODAY(),"Future date","OK"))))))))</f>
        <v/>
      </c>
      <c r="L1493">
        <f>IF(A1493="","",TEXT(A1493,"yyyy-mm-dd")&amp;"|"&amp;B1493&amp;"|"&amp;C1493)</f>
        <v/>
      </c>
    </row>
    <row r="1494">
      <c r="A1494" s="4" t="n"/>
      <c r="D1494" s="5" t="n"/>
      <c r="E1494" s="5" t="n"/>
      <c r="G1494" s="6">
        <f>IF(OR(A1494="",D1494="",E1494=""),"",ROUND(MOD(E1494-D1494,1)*24-N(F1494)/60,2))</f>
        <v/>
      </c>
      <c r="H1494" s="7">
        <f>IF(C1494="","",IFERROR(INDEX(Sites!$B$2:$B$501,MATCH(C1494,Sites!$A$2:$A$501,0)),"?"))</f>
        <v/>
      </c>
      <c r="I1494" s="8">
        <f>IF(A1494="","",A1494-WEEKDAY(A1494,3))</f>
        <v/>
      </c>
      <c r="K1494" s="7">
        <f>IF(A1494="","",IF(OR(B1494="",C1494="",D1494="",E1494=""),"Missing info",IF(ISNA(MATCH(B1494,Staff!$A$2:$A$101,0)),"Unknown employee",IF(H1494="?","Unknown site",IF(G1494&lt;=0,"Check times",IF(G1494&gt;12,"Over 12h",IF(COUNTIFS($L$2:$L$2001,L1494)&gt;1,"Duplicate?",IF(A1494&gt;TODAY(),"Future date","OK"))))))))</f>
        <v/>
      </c>
      <c r="L1494">
        <f>IF(A1494="","",TEXT(A1494,"yyyy-mm-dd")&amp;"|"&amp;B1494&amp;"|"&amp;C1494)</f>
        <v/>
      </c>
    </row>
    <row r="1495">
      <c r="A1495" s="4" t="n"/>
      <c r="D1495" s="5" t="n"/>
      <c r="E1495" s="5" t="n"/>
      <c r="G1495" s="6">
        <f>IF(OR(A1495="",D1495="",E1495=""),"",ROUND(MOD(E1495-D1495,1)*24-N(F1495)/60,2))</f>
        <v/>
      </c>
      <c r="H1495" s="7">
        <f>IF(C1495="","",IFERROR(INDEX(Sites!$B$2:$B$501,MATCH(C1495,Sites!$A$2:$A$501,0)),"?"))</f>
        <v/>
      </c>
      <c r="I1495" s="8">
        <f>IF(A1495="","",A1495-WEEKDAY(A1495,3))</f>
        <v/>
      </c>
      <c r="K1495" s="7">
        <f>IF(A1495="","",IF(OR(B1495="",C1495="",D1495="",E1495=""),"Missing info",IF(ISNA(MATCH(B1495,Staff!$A$2:$A$101,0)),"Unknown employee",IF(H1495="?","Unknown site",IF(G1495&lt;=0,"Check times",IF(G1495&gt;12,"Over 12h",IF(COUNTIFS($L$2:$L$2001,L1495)&gt;1,"Duplicate?",IF(A1495&gt;TODAY(),"Future date","OK"))))))))</f>
        <v/>
      </c>
      <c r="L1495">
        <f>IF(A1495="","",TEXT(A1495,"yyyy-mm-dd")&amp;"|"&amp;B1495&amp;"|"&amp;C1495)</f>
        <v/>
      </c>
    </row>
    <row r="1496">
      <c r="A1496" s="4" t="n"/>
      <c r="D1496" s="5" t="n"/>
      <c r="E1496" s="5" t="n"/>
      <c r="G1496" s="6">
        <f>IF(OR(A1496="",D1496="",E1496=""),"",ROUND(MOD(E1496-D1496,1)*24-N(F1496)/60,2))</f>
        <v/>
      </c>
      <c r="H1496" s="7">
        <f>IF(C1496="","",IFERROR(INDEX(Sites!$B$2:$B$501,MATCH(C1496,Sites!$A$2:$A$501,0)),"?"))</f>
        <v/>
      </c>
      <c r="I1496" s="8">
        <f>IF(A1496="","",A1496-WEEKDAY(A1496,3))</f>
        <v/>
      </c>
      <c r="K1496" s="7">
        <f>IF(A1496="","",IF(OR(B1496="",C1496="",D1496="",E1496=""),"Missing info",IF(ISNA(MATCH(B1496,Staff!$A$2:$A$101,0)),"Unknown employee",IF(H1496="?","Unknown site",IF(G1496&lt;=0,"Check times",IF(G1496&gt;12,"Over 12h",IF(COUNTIFS($L$2:$L$2001,L1496)&gt;1,"Duplicate?",IF(A1496&gt;TODAY(),"Future date","OK"))))))))</f>
        <v/>
      </c>
      <c r="L1496">
        <f>IF(A1496="","",TEXT(A1496,"yyyy-mm-dd")&amp;"|"&amp;B1496&amp;"|"&amp;C1496)</f>
        <v/>
      </c>
    </row>
    <row r="1497">
      <c r="A1497" s="4" t="n"/>
      <c r="D1497" s="5" t="n"/>
      <c r="E1497" s="5" t="n"/>
      <c r="G1497" s="6">
        <f>IF(OR(A1497="",D1497="",E1497=""),"",ROUND(MOD(E1497-D1497,1)*24-N(F1497)/60,2))</f>
        <v/>
      </c>
      <c r="H1497" s="7">
        <f>IF(C1497="","",IFERROR(INDEX(Sites!$B$2:$B$501,MATCH(C1497,Sites!$A$2:$A$501,0)),"?"))</f>
        <v/>
      </c>
      <c r="I1497" s="8">
        <f>IF(A1497="","",A1497-WEEKDAY(A1497,3))</f>
        <v/>
      </c>
      <c r="K1497" s="7">
        <f>IF(A1497="","",IF(OR(B1497="",C1497="",D1497="",E1497=""),"Missing info",IF(ISNA(MATCH(B1497,Staff!$A$2:$A$101,0)),"Unknown employee",IF(H1497="?","Unknown site",IF(G1497&lt;=0,"Check times",IF(G1497&gt;12,"Over 12h",IF(COUNTIFS($L$2:$L$2001,L1497)&gt;1,"Duplicate?",IF(A1497&gt;TODAY(),"Future date","OK"))))))))</f>
        <v/>
      </c>
      <c r="L1497">
        <f>IF(A1497="","",TEXT(A1497,"yyyy-mm-dd")&amp;"|"&amp;B1497&amp;"|"&amp;C1497)</f>
        <v/>
      </c>
    </row>
    <row r="1498">
      <c r="A1498" s="4" t="n"/>
      <c r="D1498" s="5" t="n"/>
      <c r="E1498" s="5" t="n"/>
      <c r="G1498" s="6">
        <f>IF(OR(A1498="",D1498="",E1498=""),"",ROUND(MOD(E1498-D1498,1)*24-N(F1498)/60,2))</f>
        <v/>
      </c>
      <c r="H1498" s="7">
        <f>IF(C1498="","",IFERROR(INDEX(Sites!$B$2:$B$501,MATCH(C1498,Sites!$A$2:$A$501,0)),"?"))</f>
        <v/>
      </c>
      <c r="I1498" s="8">
        <f>IF(A1498="","",A1498-WEEKDAY(A1498,3))</f>
        <v/>
      </c>
      <c r="K1498" s="7">
        <f>IF(A1498="","",IF(OR(B1498="",C1498="",D1498="",E1498=""),"Missing info",IF(ISNA(MATCH(B1498,Staff!$A$2:$A$101,0)),"Unknown employee",IF(H1498="?","Unknown site",IF(G1498&lt;=0,"Check times",IF(G1498&gt;12,"Over 12h",IF(COUNTIFS($L$2:$L$2001,L1498)&gt;1,"Duplicate?",IF(A1498&gt;TODAY(),"Future date","OK"))))))))</f>
        <v/>
      </c>
      <c r="L1498">
        <f>IF(A1498="","",TEXT(A1498,"yyyy-mm-dd")&amp;"|"&amp;B1498&amp;"|"&amp;C1498)</f>
        <v/>
      </c>
    </row>
    <row r="1499">
      <c r="A1499" s="4" t="n"/>
      <c r="D1499" s="5" t="n"/>
      <c r="E1499" s="5" t="n"/>
      <c r="G1499" s="6">
        <f>IF(OR(A1499="",D1499="",E1499=""),"",ROUND(MOD(E1499-D1499,1)*24-N(F1499)/60,2))</f>
        <v/>
      </c>
      <c r="H1499" s="7">
        <f>IF(C1499="","",IFERROR(INDEX(Sites!$B$2:$B$501,MATCH(C1499,Sites!$A$2:$A$501,0)),"?"))</f>
        <v/>
      </c>
      <c r="I1499" s="8">
        <f>IF(A1499="","",A1499-WEEKDAY(A1499,3))</f>
        <v/>
      </c>
      <c r="K1499" s="7">
        <f>IF(A1499="","",IF(OR(B1499="",C1499="",D1499="",E1499=""),"Missing info",IF(ISNA(MATCH(B1499,Staff!$A$2:$A$101,0)),"Unknown employee",IF(H1499="?","Unknown site",IF(G1499&lt;=0,"Check times",IF(G1499&gt;12,"Over 12h",IF(COUNTIFS($L$2:$L$2001,L1499)&gt;1,"Duplicate?",IF(A1499&gt;TODAY(),"Future date","OK"))))))))</f>
        <v/>
      </c>
      <c r="L1499">
        <f>IF(A1499="","",TEXT(A1499,"yyyy-mm-dd")&amp;"|"&amp;B1499&amp;"|"&amp;C1499)</f>
        <v/>
      </c>
    </row>
    <row r="1500">
      <c r="A1500" s="4" t="n"/>
      <c r="D1500" s="5" t="n"/>
      <c r="E1500" s="5" t="n"/>
      <c r="G1500" s="6">
        <f>IF(OR(A1500="",D1500="",E1500=""),"",ROUND(MOD(E1500-D1500,1)*24-N(F1500)/60,2))</f>
        <v/>
      </c>
      <c r="H1500" s="7">
        <f>IF(C1500="","",IFERROR(INDEX(Sites!$B$2:$B$501,MATCH(C1500,Sites!$A$2:$A$501,0)),"?"))</f>
        <v/>
      </c>
      <c r="I1500" s="8">
        <f>IF(A1500="","",A1500-WEEKDAY(A1500,3))</f>
        <v/>
      </c>
      <c r="K1500" s="7">
        <f>IF(A1500="","",IF(OR(B1500="",C1500="",D1500="",E1500=""),"Missing info",IF(ISNA(MATCH(B1500,Staff!$A$2:$A$101,0)),"Unknown employee",IF(H1500="?","Unknown site",IF(G1500&lt;=0,"Check times",IF(G1500&gt;12,"Over 12h",IF(COUNTIFS($L$2:$L$2001,L1500)&gt;1,"Duplicate?",IF(A1500&gt;TODAY(),"Future date","OK"))))))))</f>
        <v/>
      </c>
      <c r="L1500">
        <f>IF(A1500="","",TEXT(A1500,"yyyy-mm-dd")&amp;"|"&amp;B1500&amp;"|"&amp;C1500)</f>
        <v/>
      </c>
    </row>
    <row r="1501">
      <c r="A1501" s="4" t="n"/>
      <c r="D1501" s="5" t="n"/>
      <c r="E1501" s="5" t="n"/>
      <c r="G1501" s="6">
        <f>IF(OR(A1501="",D1501="",E1501=""),"",ROUND(MOD(E1501-D1501,1)*24-N(F1501)/60,2))</f>
        <v/>
      </c>
      <c r="H1501" s="7">
        <f>IF(C1501="","",IFERROR(INDEX(Sites!$B$2:$B$501,MATCH(C1501,Sites!$A$2:$A$501,0)),"?"))</f>
        <v/>
      </c>
      <c r="I1501" s="8">
        <f>IF(A1501="","",A1501-WEEKDAY(A1501,3))</f>
        <v/>
      </c>
      <c r="K1501" s="7">
        <f>IF(A1501="","",IF(OR(B1501="",C1501="",D1501="",E1501=""),"Missing info",IF(ISNA(MATCH(B1501,Staff!$A$2:$A$101,0)),"Unknown employee",IF(H1501="?","Unknown site",IF(G1501&lt;=0,"Check times",IF(G1501&gt;12,"Over 12h",IF(COUNTIFS($L$2:$L$2001,L1501)&gt;1,"Duplicate?",IF(A1501&gt;TODAY(),"Future date","OK"))))))))</f>
        <v/>
      </c>
      <c r="L1501">
        <f>IF(A1501="","",TEXT(A1501,"yyyy-mm-dd")&amp;"|"&amp;B1501&amp;"|"&amp;C1501)</f>
        <v/>
      </c>
    </row>
    <row r="1502">
      <c r="A1502" s="4" t="n"/>
      <c r="D1502" s="5" t="n"/>
      <c r="E1502" s="5" t="n"/>
      <c r="G1502" s="6">
        <f>IF(OR(A1502="",D1502="",E1502=""),"",ROUND(MOD(E1502-D1502,1)*24-N(F1502)/60,2))</f>
        <v/>
      </c>
      <c r="H1502" s="7">
        <f>IF(C1502="","",IFERROR(INDEX(Sites!$B$2:$B$501,MATCH(C1502,Sites!$A$2:$A$501,0)),"?"))</f>
        <v/>
      </c>
      <c r="I1502" s="8">
        <f>IF(A1502="","",A1502-WEEKDAY(A1502,3))</f>
        <v/>
      </c>
      <c r="K1502" s="7">
        <f>IF(A1502="","",IF(OR(B1502="",C1502="",D1502="",E1502=""),"Missing info",IF(ISNA(MATCH(B1502,Staff!$A$2:$A$101,0)),"Unknown employee",IF(H1502="?","Unknown site",IF(G1502&lt;=0,"Check times",IF(G1502&gt;12,"Over 12h",IF(COUNTIFS($L$2:$L$2001,L1502)&gt;1,"Duplicate?",IF(A1502&gt;TODAY(),"Future date","OK"))))))))</f>
        <v/>
      </c>
      <c r="L1502">
        <f>IF(A1502="","",TEXT(A1502,"yyyy-mm-dd")&amp;"|"&amp;B1502&amp;"|"&amp;C1502)</f>
        <v/>
      </c>
    </row>
    <row r="1503">
      <c r="A1503" s="4" t="n"/>
      <c r="D1503" s="5" t="n"/>
      <c r="E1503" s="5" t="n"/>
      <c r="G1503" s="6">
        <f>IF(OR(A1503="",D1503="",E1503=""),"",ROUND(MOD(E1503-D1503,1)*24-N(F1503)/60,2))</f>
        <v/>
      </c>
      <c r="H1503" s="7">
        <f>IF(C1503="","",IFERROR(INDEX(Sites!$B$2:$B$501,MATCH(C1503,Sites!$A$2:$A$501,0)),"?"))</f>
        <v/>
      </c>
      <c r="I1503" s="8">
        <f>IF(A1503="","",A1503-WEEKDAY(A1503,3))</f>
        <v/>
      </c>
      <c r="K1503" s="7">
        <f>IF(A1503="","",IF(OR(B1503="",C1503="",D1503="",E1503=""),"Missing info",IF(ISNA(MATCH(B1503,Staff!$A$2:$A$101,0)),"Unknown employee",IF(H1503="?","Unknown site",IF(G1503&lt;=0,"Check times",IF(G1503&gt;12,"Over 12h",IF(COUNTIFS($L$2:$L$2001,L1503)&gt;1,"Duplicate?",IF(A1503&gt;TODAY(),"Future date","OK"))))))))</f>
        <v/>
      </c>
      <c r="L1503">
        <f>IF(A1503="","",TEXT(A1503,"yyyy-mm-dd")&amp;"|"&amp;B1503&amp;"|"&amp;C1503)</f>
        <v/>
      </c>
    </row>
    <row r="1504">
      <c r="A1504" s="4" t="n"/>
      <c r="D1504" s="5" t="n"/>
      <c r="E1504" s="5" t="n"/>
      <c r="G1504" s="6">
        <f>IF(OR(A1504="",D1504="",E1504=""),"",ROUND(MOD(E1504-D1504,1)*24-N(F1504)/60,2))</f>
        <v/>
      </c>
      <c r="H1504" s="7">
        <f>IF(C1504="","",IFERROR(INDEX(Sites!$B$2:$B$501,MATCH(C1504,Sites!$A$2:$A$501,0)),"?"))</f>
        <v/>
      </c>
      <c r="I1504" s="8">
        <f>IF(A1504="","",A1504-WEEKDAY(A1504,3))</f>
        <v/>
      </c>
      <c r="K1504" s="7">
        <f>IF(A1504="","",IF(OR(B1504="",C1504="",D1504="",E1504=""),"Missing info",IF(ISNA(MATCH(B1504,Staff!$A$2:$A$101,0)),"Unknown employee",IF(H1504="?","Unknown site",IF(G1504&lt;=0,"Check times",IF(G1504&gt;12,"Over 12h",IF(COUNTIFS($L$2:$L$2001,L1504)&gt;1,"Duplicate?",IF(A1504&gt;TODAY(),"Future date","OK"))))))))</f>
        <v/>
      </c>
      <c r="L1504">
        <f>IF(A1504="","",TEXT(A1504,"yyyy-mm-dd")&amp;"|"&amp;B1504&amp;"|"&amp;C1504)</f>
        <v/>
      </c>
    </row>
    <row r="1505">
      <c r="A1505" s="4" t="n"/>
      <c r="D1505" s="5" t="n"/>
      <c r="E1505" s="5" t="n"/>
      <c r="G1505" s="6">
        <f>IF(OR(A1505="",D1505="",E1505=""),"",ROUND(MOD(E1505-D1505,1)*24-N(F1505)/60,2))</f>
        <v/>
      </c>
      <c r="H1505" s="7">
        <f>IF(C1505="","",IFERROR(INDEX(Sites!$B$2:$B$501,MATCH(C1505,Sites!$A$2:$A$501,0)),"?"))</f>
        <v/>
      </c>
      <c r="I1505" s="8">
        <f>IF(A1505="","",A1505-WEEKDAY(A1505,3))</f>
        <v/>
      </c>
      <c r="K1505" s="7">
        <f>IF(A1505="","",IF(OR(B1505="",C1505="",D1505="",E1505=""),"Missing info",IF(ISNA(MATCH(B1505,Staff!$A$2:$A$101,0)),"Unknown employee",IF(H1505="?","Unknown site",IF(G1505&lt;=0,"Check times",IF(G1505&gt;12,"Over 12h",IF(COUNTIFS($L$2:$L$2001,L1505)&gt;1,"Duplicate?",IF(A1505&gt;TODAY(),"Future date","OK"))))))))</f>
        <v/>
      </c>
      <c r="L1505">
        <f>IF(A1505="","",TEXT(A1505,"yyyy-mm-dd")&amp;"|"&amp;B1505&amp;"|"&amp;C1505)</f>
        <v/>
      </c>
    </row>
    <row r="1506">
      <c r="A1506" s="4" t="n"/>
      <c r="D1506" s="5" t="n"/>
      <c r="E1506" s="5" t="n"/>
      <c r="G1506" s="6">
        <f>IF(OR(A1506="",D1506="",E1506=""),"",ROUND(MOD(E1506-D1506,1)*24-N(F1506)/60,2))</f>
        <v/>
      </c>
      <c r="H1506" s="7">
        <f>IF(C1506="","",IFERROR(INDEX(Sites!$B$2:$B$501,MATCH(C1506,Sites!$A$2:$A$501,0)),"?"))</f>
        <v/>
      </c>
      <c r="I1506" s="8">
        <f>IF(A1506="","",A1506-WEEKDAY(A1506,3))</f>
        <v/>
      </c>
      <c r="K1506" s="7">
        <f>IF(A1506="","",IF(OR(B1506="",C1506="",D1506="",E1506=""),"Missing info",IF(ISNA(MATCH(B1506,Staff!$A$2:$A$101,0)),"Unknown employee",IF(H1506="?","Unknown site",IF(G1506&lt;=0,"Check times",IF(G1506&gt;12,"Over 12h",IF(COUNTIFS($L$2:$L$2001,L1506)&gt;1,"Duplicate?",IF(A1506&gt;TODAY(),"Future date","OK"))))))))</f>
        <v/>
      </c>
      <c r="L1506">
        <f>IF(A1506="","",TEXT(A1506,"yyyy-mm-dd")&amp;"|"&amp;B1506&amp;"|"&amp;C1506)</f>
        <v/>
      </c>
    </row>
    <row r="1507">
      <c r="A1507" s="4" t="n"/>
      <c r="D1507" s="5" t="n"/>
      <c r="E1507" s="5" t="n"/>
      <c r="G1507" s="6">
        <f>IF(OR(A1507="",D1507="",E1507=""),"",ROUND(MOD(E1507-D1507,1)*24-N(F1507)/60,2))</f>
        <v/>
      </c>
      <c r="H1507" s="7">
        <f>IF(C1507="","",IFERROR(INDEX(Sites!$B$2:$B$501,MATCH(C1507,Sites!$A$2:$A$501,0)),"?"))</f>
        <v/>
      </c>
      <c r="I1507" s="8">
        <f>IF(A1507="","",A1507-WEEKDAY(A1507,3))</f>
        <v/>
      </c>
      <c r="K1507" s="7">
        <f>IF(A1507="","",IF(OR(B1507="",C1507="",D1507="",E1507=""),"Missing info",IF(ISNA(MATCH(B1507,Staff!$A$2:$A$101,0)),"Unknown employee",IF(H1507="?","Unknown site",IF(G1507&lt;=0,"Check times",IF(G1507&gt;12,"Over 12h",IF(COUNTIFS($L$2:$L$2001,L1507)&gt;1,"Duplicate?",IF(A1507&gt;TODAY(),"Future date","OK"))))))))</f>
        <v/>
      </c>
      <c r="L1507">
        <f>IF(A1507="","",TEXT(A1507,"yyyy-mm-dd")&amp;"|"&amp;B1507&amp;"|"&amp;C1507)</f>
        <v/>
      </c>
    </row>
    <row r="1508">
      <c r="A1508" s="4" t="n"/>
      <c r="D1508" s="5" t="n"/>
      <c r="E1508" s="5" t="n"/>
      <c r="G1508" s="6">
        <f>IF(OR(A1508="",D1508="",E1508=""),"",ROUND(MOD(E1508-D1508,1)*24-N(F1508)/60,2))</f>
        <v/>
      </c>
      <c r="H1508" s="7">
        <f>IF(C1508="","",IFERROR(INDEX(Sites!$B$2:$B$501,MATCH(C1508,Sites!$A$2:$A$501,0)),"?"))</f>
        <v/>
      </c>
      <c r="I1508" s="8">
        <f>IF(A1508="","",A1508-WEEKDAY(A1508,3))</f>
        <v/>
      </c>
      <c r="K1508" s="7">
        <f>IF(A1508="","",IF(OR(B1508="",C1508="",D1508="",E1508=""),"Missing info",IF(ISNA(MATCH(B1508,Staff!$A$2:$A$101,0)),"Unknown employee",IF(H1508="?","Unknown site",IF(G1508&lt;=0,"Check times",IF(G1508&gt;12,"Over 12h",IF(COUNTIFS($L$2:$L$2001,L1508)&gt;1,"Duplicate?",IF(A1508&gt;TODAY(),"Future date","OK"))))))))</f>
        <v/>
      </c>
      <c r="L1508">
        <f>IF(A1508="","",TEXT(A1508,"yyyy-mm-dd")&amp;"|"&amp;B1508&amp;"|"&amp;C1508)</f>
        <v/>
      </c>
    </row>
    <row r="1509">
      <c r="A1509" s="4" t="n"/>
      <c r="D1509" s="5" t="n"/>
      <c r="E1509" s="5" t="n"/>
      <c r="G1509" s="6">
        <f>IF(OR(A1509="",D1509="",E1509=""),"",ROUND(MOD(E1509-D1509,1)*24-N(F1509)/60,2))</f>
        <v/>
      </c>
      <c r="H1509" s="7">
        <f>IF(C1509="","",IFERROR(INDEX(Sites!$B$2:$B$501,MATCH(C1509,Sites!$A$2:$A$501,0)),"?"))</f>
        <v/>
      </c>
      <c r="I1509" s="8">
        <f>IF(A1509="","",A1509-WEEKDAY(A1509,3))</f>
        <v/>
      </c>
      <c r="K1509" s="7">
        <f>IF(A1509="","",IF(OR(B1509="",C1509="",D1509="",E1509=""),"Missing info",IF(ISNA(MATCH(B1509,Staff!$A$2:$A$101,0)),"Unknown employee",IF(H1509="?","Unknown site",IF(G1509&lt;=0,"Check times",IF(G1509&gt;12,"Over 12h",IF(COUNTIFS($L$2:$L$2001,L1509)&gt;1,"Duplicate?",IF(A1509&gt;TODAY(),"Future date","OK"))))))))</f>
        <v/>
      </c>
      <c r="L1509">
        <f>IF(A1509="","",TEXT(A1509,"yyyy-mm-dd")&amp;"|"&amp;B1509&amp;"|"&amp;C1509)</f>
        <v/>
      </c>
    </row>
    <row r="1510">
      <c r="A1510" s="4" t="n"/>
      <c r="D1510" s="5" t="n"/>
      <c r="E1510" s="5" t="n"/>
      <c r="G1510" s="6">
        <f>IF(OR(A1510="",D1510="",E1510=""),"",ROUND(MOD(E1510-D1510,1)*24-N(F1510)/60,2))</f>
        <v/>
      </c>
      <c r="H1510" s="7">
        <f>IF(C1510="","",IFERROR(INDEX(Sites!$B$2:$B$501,MATCH(C1510,Sites!$A$2:$A$501,0)),"?"))</f>
        <v/>
      </c>
      <c r="I1510" s="8">
        <f>IF(A1510="","",A1510-WEEKDAY(A1510,3))</f>
        <v/>
      </c>
      <c r="K1510" s="7">
        <f>IF(A1510="","",IF(OR(B1510="",C1510="",D1510="",E1510=""),"Missing info",IF(ISNA(MATCH(B1510,Staff!$A$2:$A$101,0)),"Unknown employee",IF(H1510="?","Unknown site",IF(G1510&lt;=0,"Check times",IF(G1510&gt;12,"Over 12h",IF(COUNTIFS($L$2:$L$2001,L1510)&gt;1,"Duplicate?",IF(A1510&gt;TODAY(),"Future date","OK"))))))))</f>
        <v/>
      </c>
      <c r="L1510">
        <f>IF(A1510="","",TEXT(A1510,"yyyy-mm-dd")&amp;"|"&amp;B1510&amp;"|"&amp;C1510)</f>
        <v/>
      </c>
    </row>
    <row r="1511">
      <c r="A1511" s="4" t="n"/>
      <c r="D1511" s="5" t="n"/>
      <c r="E1511" s="5" t="n"/>
      <c r="G1511" s="6">
        <f>IF(OR(A1511="",D1511="",E1511=""),"",ROUND(MOD(E1511-D1511,1)*24-N(F1511)/60,2))</f>
        <v/>
      </c>
      <c r="H1511" s="7">
        <f>IF(C1511="","",IFERROR(INDEX(Sites!$B$2:$B$501,MATCH(C1511,Sites!$A$2:$A$501,0)),"?"))</f>
        <v/>
      </c>
      <c r="I1511" s="8">
        <f>IF(A1511="","",A1511-WEEKDAY(A1511,3))</f>
        <v/>
      </c>
      <c r="K1511" s="7">
        <f>IF(A1511="","",IF(OR(B1511="",C1511="",D1511="",E1511=""),"Missing info",IF(ISNA(MATCH(B1511,Staff!$A$2:$A$101,0)),"Unknown employee",IF(H1511="?","Unknown site",IF(G1511&lt;=0,"Check times",IF(G1511&gt;12,"Over 12h",IF(COUNTIFS($L$2:$L$2001,L1511)&gt;1,"Duplicate?",IF(A1511&gt;TODAY(),"Future date","OK"))))))))</f>
        <v/>
      </c>
      <c r="L1511">
        <f>IF(A1511="","",TEXT(A1511,"yyyy-mm-dd")&amp;"|"&amp;B1511&amp;"|"&amp;C1511)</f>
        <v/>
      </c>
    </row>
    <row r="1512">
      <c r="A1512" s="4" t="n"/>
      <c r="D1512" s="5" t="n"/>
      <c r="E1512" s="5" t="n"/>
      <c r="G1512" s="6">
        <f>IF(OR(A1512="",D1512="",E1512=""),"",ROUND(MOD(E1512-D1512,1)*24-N(F1512)/60,2))</f>
        <v/>
      </c>
      <c r="H1512" s="7">
        <f>IF(C1512="","",IFERROR(INDEX(Sites!$B$2:$B$501,MATCH(C1512,Sites!$A$2:$A$501,0)),"?"))</f>
        <v/>
      </c>
      <c r="I1512" s="8">
        <f>IF(A1512="","",A1512-WEEKDAY(A1512,3))</f>
        <v/>
      </c>
      <c r="K1512" s="7">
        <f>IF(A1512="","",IF(OR(B1512="",C1512="",D1512="",E1512=""),"Missing info",IF(ISNA(MATCH(B1512,Staff!$A$2:$A$101,0)),"Unknown employee",IF(H1512="?","Unknown site",IF(G1512&lt;=0,"Check times",IF(G1512&gt;12,"Over 12h",IF(COUNTIFS($L$2:$L$2001,L1512)&gt;1,"Duplicate?",IF(A1512&gt;TODAY(),"Future date","OK"))))))))</f>
        <v/>
      </c>
      <c r="L1512">
        <f>IF(A1512="","",TEXT(A1512,"yyyy-mm-dd")&amp;"|"&amp;B1512&amp;"|"&amp;C1512)</f>
        <v/>
      </c>
    </row>
    <row r="1513">
      <c r="A1513" s="4" t="n"/>
      <c r="D1513" s="5" t="n"/>
      <c r="E1513" s="5" t="n"/>
      <c r="G1513" s="6">
        <f>IF(OR(A1513="",D1513="",E1513=""),"",ROUND(MOD(E1513-D1513,1)*24-N(F1513)/60,2))</f>
        <v/>
      </c>
      <c r="H1513" s="7">
        <f>IF(C1513="","",IFERROR(INDEX(Sites!$B$2:$B$501,MATCH(C1513,Sites!$A$2:$A$501,0)),"?"))</f>
        <v/>
      </c>
      <c r="I1513" s="8">
        <f>IF(A1513="","",A1513-WEEKDAY(A1513,3))</f>
        <v/>
      </c>
      <c r="K1513" s="7">
        <f>IF(A1513="","",IF(OR(B1513="",C1513="",D1513="",E1513=""),"Missing info",IF(ISNA(MATCH(B1513,Staff!$A$2:$A$101,0)),"Unknown employee",IF(H1513="?","Unknown site",IF(G1513&lt;=0,"Check times",IF(G1513&gt;12,"Over 12h",IF(COUNTIFS($L$2:$L$2001,L1513)&gt;1,"Duplicate?",IF(A1513&gt;TODAY(),"Future date","OK"))))))))</f>
        <v/>
      </c>
      <c r="L1513">
        <f>IF(A1513="","",TEXT(A1513,"yyyy-mm-dd")&amp;"|"&amp;B1513&amp;"|"&amp;C1513)</f>
        <v/>
      </c>
    </row>
    <row r="1514">
      <c r="A1514" s="4" t="n"/>
      <c r="D1514" s="5" t="n"/>
      <c r="E1514" s="5" t="n"/>
      <c r="G1514" s="6">
        <f>IF(OR(A1514="",D1514="",E1514=""),"",ROUND(MOD(E1514-D1514,1)*24-N(F1514)/60,2))</f>
        <v/>
      </c>
      <c r="H1514" s="7">
        <f>IF(C1514="","",IFERROR(INDEX(Sites!$B$2:$B$501,MATCH(C1514,Sites!$A$2:$A$501,0)),"?"))</f>
        <v/>
      </c>
      <c r="I1514" s="8">
        <f>IF(A1514="","",A1514-WEEKDAY(A1514,3))</f>
        <v/>
      </c>
      <c r="K1514" s="7">
        <f>IF(A1514="","",IF(OR(B1514="",C1514="",D1514="",E1514=""),"Missing info",IF(ISNA(MATCH(B1514,Staff!$A$2:$A$101,0)),"Unknown employee",IF(H1514="?","Unknown site",IF(G1514&lt;=0,"Check times",IF(G1514&gt;12,"Over 12h",IF(COUNTIFS($L$2:$L$2001,L1514)&gt;1,"Duplicate?",IF(A1514&gt;TODAY(),"Future date","OK"))))))))</f>
        <v/>
      </c>
      <c r="L1514">
        <f>IF(A1514="","",TEXT(A1514,"yyyy-mm-dd")&amp;"|"&amp;B1514&amp;"|"&amp;C1514)</f>
        <v/>
      </c>
    </row>
    <row r="1515">
      <c r="A1515" s="4" t="n"/>
      <c r="D1515" s="5" t="n"/>
      <c r="E1515" s="5" t="n"/>
      <c r="G1515" s="6">
        <f>IF(OR(A1515="",D1515="",E1515=""),"",ROUND(MOD(E1515-D1515,1)*24-N(F1515)/60,2))</f>
        <v/>
      </c>
      <c r="H1515" s="7">
        <f>IF(C1515="","",IFERROR(INDEX(Sites!$B$2:$B$501,MATCH(C1515,Sites!$A$2:$A$501,0)),"?"))</f>
        <v/>
      </c>
      <c r="I1515" s="8">
        <f>IF(A1515="","",A1515-WEEKDAY(A1515,3))</f>
        <v/>
      </c>
      <c r="K1515" s="7">
        <f>IF(A1515="","",IF(OR(B1515="",C1515="",D1515="",E1515=""),"Missing info",IF(ISNA(MATCH(B1515,Staff!$A$2:$A$101,0)),"Unknown employee",IF(H1515="?","Unknown site",IF(G1515&lt;=0,"Check times",IF(G1515&gt;12,"Over 12h",IF(COUNTIFS($L$2:$L$2001,L1515)&gt;1,"Duplicate?",IF(A1515&gt;TODAY(),"Future date","OK"))))))))</f>
        <v/>
      </c>
      <c r="L1515">
        <f>IF(A1515="","",TEXT(A1515,"yyyy-mm-dd")&amp;"|"&amp;B1515&amp;"|"&amp;C1515)</f>
        <v/>
      </c>
    </row>
    <row r="1516">
      <c r="A1516" s="4" t="n"/>
      <c r="D1516" s="5" t="n"/>
      <c r="E1516" s="5" t="n"/>
      <c r="G1516" s="6">
        <f>IF(OR(A1516="",D1516="",E1516=""),"",ROUND(MOD(E1516-D1516,1)*24-N(F1516)/60,2))</f>
        <v/>
      </c>
      <c r="H1516" s="7">
        <f>IF(C1516="","",IFERROR(INDEX(Sites!$B$2:$B$501,MATCH(C1516,Sites!$A$2:$A$501,0)),"?"))</f>
        <v/>
      </c>
      <c r="I1516" s="8">
        <f>IF(A1516="","",A1516-WEEKDAY(A1516,3))</f>
        <v/>
      </c>
      <c r="K1516" s="7">
        <f>IF(A1516="","",IF(OR(B1516="",C1516="",D1516="",E1516=""),"Missing info",IF(ISNA(MATCH(B1516,Staff!$A$2:$A$101,0)),"Unknown employee",IF(H1516="?","Unknown site",IF(G1516&lt;=0,"Check times",IF(G1516&gt;12,"Over 12h",IF(COUNTIFS($L$2:$L$2001,L1516)&gt;1,"Duplicate?",IF(A1516&gt;TODAY(),"Future date","OK"))))))))</f>
        <v/>
      </c>
      <c r="L1516">
        <f>IF(A1516="","",TEXT(A1516,"yyyy-mm-dd")&amp;"|"&amp;B1516&amp;"|"&amp;C1516)</f>
        <v/>
      </c>
    </row>
    <row r="1517">
      <c r="A1517" s="4" t="n"/>
      <c r="D1517" s="5" t="n"/>
      <c r="E1517" s="5" t="n"/>
      <c r="G1517" s="6">
        <f>IF(OR(A1517="",D1517="",E1517=""),"",ROUND(MOD(E1517-D1517,1)*24-N(F1517)/60,2))</f>
        <v/>
      </c>
      <c r="H1517" s="7">
        <f>IF(C1517="","",IFERROR(INDEX(Sites!$B$2:$B$501,MATCH(C1517,Sites!$A$2:$A$501,0)),"?"))</f>
        <v/>
      </c>
      <c r="I1517" s="8">
        <f>IF(A1517="","",A1517-WEEKDAY(A1517,3))</f>
        <v/>
      </c>
      <c r="K1517" s="7">
        <f>IF(A1517="","",IF(OR(B1517="",C1517="",D1517="",E1517=""),"Missing info",IF(ISNA(MATCH(B1517,Staff!$A$2:$A$101,0)),"Unknown employee",IF(H1517="?","Unknown site",IF(G1517&lt;=0,"Check times",IF(G1517&gt;12,"Over 12h",IF(COUNTIFS($L$2:$L$2001,L1517)&gt;1,"Duplicate?",IF(A1517&gt;TODAY(),"Future date","OK"))))))))</f>
        <v/>
      </c>
      <c r="L1517">
        <f>IF(A1517="","",TEXT(A1517,"yyyy-mm-dd")&amp;"|"&amp;B1517&amp;"|"&amp;C1517)</f>
        <v/>
      </c>
    </row>
    <row r="1518">
      <c r="A1518" s="4" t="n"/>
      <c r="D1518" s="5" t="n"/>
      <c r="E1518" s="5" t="n"/>
      <c r="G1518" s="6">
        <f>IF(OR(A1518="",D1518="",E1518=""),"",ROUND(MOD(E1518-D1518,1)*24-N(F1518)/60,2))</f>
        <v/>
      </c>
      <c r="H1518" s="7">
        <f>IF(C1518="","",IFERROR(INDEX(Sites!$B$2:$B$501,MATCH(C1518,Sites!$A$2:$A$501,0)),"?"))</f>
        <v/>
      </c>
      <c r="I1518" s="8">
        <f>IF(A1518="","",A1518-WEEKDAY(A1518,3))</f>
        <v/>
      </c>
      <c r="K1518" s="7">
        <f>IF(A1518="","",IF(OR(B1518="",C1518="",D1518="",E1518=""),"Missing info",IF(ISNA(MATCH(B1518,Staff!$A$2:$A$101,0)),"Unknown employee",IF(H1518="?","Unknown site",IF(G1518&lt;=0,"Check times",IF(G1518&gt;12,"Over 12h",IF(COUNTIFS($L$2:$L$2001,L1518)&gt;1,"Duplicate?",IF(A1518&gt;TODAY(),"Future date","OK"))))))))</f>
        <v/>
      </c>
      <c r="L1518">
        <f>IF(A1518="","",TEXT(A1518,"yyyy-mm-dd")&amp;"|"&amp;B1518&amp;"|"&amp;C1518)</f>
        <v/>
      </c>
    </row>
    <row r="1519">
      <c r="A1519" s="4" t="n"/>
      <c r="D1519" s="5" t="n"/>
      <c r="E1519" s="5" t="n"/>
      <c r="G1519" s="6">
        <f>IF(OR(A1519="",D1519="",E1519=""),"",ROUND(MOD(E1519-D1519,1)*24-N(F1519)/60,2))</f>
        <v/>
      </c>
      <c r="H1519" s="7">
        <f>IF(C1519="","",IFERROR(INDEX(Sites!$B$2:$B$501,MATCH(C1519,Sites!$A$2:$A$501,0)),"?"))</f>
        <v/>
      </c>
      <c r="I1519" s="8">
        <f>IF(A1519="","",A1519-WEEKDAY(A1519,3))</f>
        <v/>
      </c>
      <c r="K1519" s="7">
        <f>IF(A1519="","",IF(OR(B1519="",C1519="",D1519="",E1519=""),"Missing info",IF(ISNA(MATCH(B1519,Staff!$A$2:$A$101,0)),"Unknown employee",IF(H1519="?","Unknown site",IF(G1519&lt;=0,"Check times",IF(G1519&gt;12,"Over 12h",IF(COUNTIFS($L$2:$L$2001,L1519)&gt;1,"Duplicate?",IF(A1519&gt;TODAY(),"Future date","OK"))))))))</f>
        <v/>
      </c>
      <c r="L1519">
        <f>IF(A1519="","",TEXT(A1519,"yyyy-mm-dd")&amp;"|"&amp;B1519&amp;"|"&amp;C1519)</f>
        <v/>
      </c>
    </row>
    <row r="1520">
      <c r="A1520" s="4" t="n"/>
      <c r="D1520" s="5" t="n"/>
      <c r="E1520" s="5" t="n"/>
      <c r="G1520" s="6">
        <f>IF(OR(A1520="",D1520="",E1520=""),"",ROUND(MOD(E1520-D1520,1)*24-N(F1520)/60,2))</f>
        <v/>
      </c>
      <c r="H1520" s="7">
        <f>IF(C1520="","",IFERROR(INDEX(Sites!$B$2:$B$501,MATCH(C1520,Sites!$A$2:$A$501,0)),"?"))</f>
        <v/>
      </c>
      <c r="I1520" s="8">
        <f>IF(A1520="","",A1520-WEEKDAY(A1520,3))</f>
        <v/>
      </c>
      <c r="K1520" s="7">
        <f>IF(A1520="","",IF(OR(B1520="",C1520="",D1520="",E1520=""),"Missing info",IF(ISNA(MATCH(B1520,Staff!$A$2:$A$101,0)),"Unknown employee",IF(H1520="?","Unknown site",IF(G1520&lt;=0,"Check times",IF(G1520&gt;12,"Over 12h",IF(COUNTIFS($L$2:$L$2001,L1520)&gt;1,"Duplicate?",IF(A1520&gt;TODAY(),"Future date","OK"))))))))</f>
        <v/>
      </c>
      <c r="L1520">
        <f>IF(A1520="","",TEXT(A1520,"yyyy-mm-dd")&amp;"|"&amp;B1520&amp;"|"&amp;C1520)</f>
        <v/>
      </c>
    </row>
    <row r="1521">
      <c r="A1521" s="4" t="n"/>
      <c r="D1521" s="5" t="n"/>
      <c r="E1521" s="5" t="n"/>
      <c r="G1521" s="6">
        <f>IF(OR(A1521="",D1521="",E1521=""),"",ROUND(MOD(E1521-D1521,1)*24-N(F1521)/60,2))</f>
        <v/>
      </c>
      <c r="H1521" s="7">
        <f>IF(C1521="","",IFERROR(INDEX(Sites!$B$2:$B$501,MATCH(C1521,Sites!$A$2:$A$501,0)),"?"))</f>
        <v/>
      </c>
      <c r="I1521" s="8">
        <f>IF(A1521="","",A1521-WEEKDAY(A1521,3))</f>
        <v/>
      </c>
      <c r="K1521" s="7">
        <f>IF(A1521="","",IF(OR(B1521="",C1521="",D1521="",E1521=""),"Missing info",IF(ISNA(MATCH(B1521,Staff!$A$2:$A$101,0)),"Unknown employee",IF(H1521="?","Unknown site",IF(G1521&lt;=0,"Check times",IF(G1521&gt;12,"Over 12h",IF(COUNTIFS($L$2:$L$2001,L1521)&gt;1,"Duplicate?",IF(A1521&gt;TODAY(),"Future date","OK"))))))))</f>
        <v/>
      </c>
      <c r="L1521">
        <f>IF(A1521="","",TEXT(A1521,"yyyy-mm-dd")&amp;"|"&amp;B1521&amp;"|"&amp;C1521)</f>
        <v/>
      </c>
    </row>
    <row r="1522">
      <c r="A1522" s="4" t="n"/>
      <c r="D1522" s="5" t="n"/>
      <c r="E1522" s="5" t="n"/>
      <c r="G1522" s="6">
        <f>IF(OR(A1522="",D1522="",E1522=""),"",ROUND(MOD(E1522-D1522,1)*24-N(F1522)/60,2))</f>
        <v/>
      </c>
      <c r="H1522" s="7">
        <f>IF(C1522="","",IFERROR(INDEX(Sites!$B$2:$B$501,MATCH(C1522,Sites!$A$2:$A$501,0)),"?"))</f>
        <v/>
      </c>
      <c r="I1522" s="8">
        <f>IF(A1522="","",A1522-WEEKDAY(A1522,3))</f>
        <v/>
      </c>
      <c r="K1522" s="7">
        <f>IF(A1522="","",IF(OR(B1522="",C1522="",D1522="",E1522=""),"Missing info",IF(ISNA(MATCH(B1522,Staff!$A$2:$A$101,0)),"Unknown employee",IF(H1522="?","Unknown site",IF(G1522&lt;=0,"Check times",IF(G1522&gt;12,"Over 12h",IF(COUNTIFS($L$2:$L$2001,L1522)&gt;1,"Duplicate?",IF(A1522&gt;TODAY(),"Future date","OK"))))))))</f>
        <v/>
      </c>
      <c r="L1522">
        <f>IF(A1522="","",TEXT(A1522,"yyyy-mm-dd")&amp;"|"&amp;B1522&amp;"|"&amp;C1522)</f>
        <v/>
      </c>
    </row>
    <row r="1523">
      <c r="A1523" s="4" t="n"/>
      <c r="D1523" s="5" t="n"/>
      <c r="E1523" s="5" t="n"/>
      <c r="G1523" s="6">
        <f>IF(OR(A1523="",D1523="",E1523=""),"",ROUND(MOD(E1523-D1523,1)*24-N(F1523)/60,2))</f>
        <v/>
      </c>
      <c r="H1523" s="7">
        <f>IF(C1523="","",IFERROR(INDEX(Sites!$B$2:$B$501,MATCH(C1523,Sites!$A$2:$A$501,0)),"?"))</f>
        <v/>
      </c>
      <c r="I1523" s="8">
        <f>IF(A1523="","",A1523-WEEKDAY(A1523,3))</f>
        <v/>
      </c>
      <c r="K1523" s="7">
        <f>IF(A1523="","",IF(OR(B1523="",C1523="",D1523="",E1523=""),"Missing info",IF(ISNA(MATCH(B1523,Staff!$A$2:$A$101,0)),"Unknown employee",IF(H1523="?","Unknown site",IF(G1523&lt;=0,"Check times",IF(G1523&gt;12,"Over 12h",IF(COUNTIFS($L$2:$L$2001,L1523)&gt;1,"Duplicate?",IF(A1523&gt;TODAY(),"Future date","OK"))))))))</f>
        <v/>
      </c>
      <c r="L1523">
        <f>IF(A1523="","",TEXT(A1523,"yyyy-mm-dd")&amp;"|"&amp;B1523&amp;"|"&amp;C1523)</f>
        <v/>
      </c>
    </row>
    <row r="1524">
      <c r="A1524" s="4" t="n"/>
      <c r="D1524" s="5" t="n"/>
      <c r="E1524" s="5" t="n"/>
      <c r="G1524" s="6">
        <f>IF(OR(A1524="",D1524="",E1524=""),"",ROUND(MOD(E1524-D1524,1)*24-N(F1524)/60,2))</f>
        <v/>
      </c>
      <c r="H1524" s="7">
        <f>IF(C1524="","",IFERROR(INDEX(Sites!$B$2:$B$501,MATCH(C1524,Sites!$A$2:$A$501,0)),"?"))</f>
        <v/>
      </c>
      <c r="I1524" s="8">
        <f>IF(A1524="","",A1524-WEEKDAY(A1524,3))</f>
        <v/>
      </c>
      <c r="K1524" s="7">
        <f>IF(A1524="","",IF(OR(B1524="",C1524="",D1524="",E1524=""),"Missing info",IF(ISNA(MATCH(B1524,Staff!$A$2:$A$101,0)),"Unknown employee",IF(H1524="?","Unknown site",IF(G1524&lt;=0,"Check times",IF(G1524&gt;12,"Over 12h",IF(COUNTIFS($L$2:$L$2001,L1524)&gt;1,"Duplicate?",IF(A1524&gt;TODAY(),"Future date","OK"))))))))</f>
        <v/>
      </c>
      <c r="L1524">
        <f>IF(A1524="","",TEXT(A1524,"yyyy-mm-dd")&amp;"|"&amp;B1524&amp;"|"&amp;C1524)</f>
        <v/>
      </c>
    </row>
    <row r="1525">
      <c r="A1525" s="4" t="n"/>
      <c r="D1525" s="5" t="n"/>
      <c r="E1525" s="5" t="n"/>
      <c r="G1525" s="6">
        <f>IF(OR(A1525="",D1525="",E1525=""),"",ROUND(MOD(E1525-D1525,1)*24-N(F1525)/60,2))</f>
        <v/>
      </c>
      <c r="H1525" s="7">
        <f>IF(C1525="","",IFERROR(INDEX(Sites!$B$2:$B$501,MATCH(C1525,Sites!$A$2:$A$501,0)),"?"))</f>
        <v/>
      </c>
      <c r="I1525" s="8">
        <f>IF(A1525="","",A1525-WEEKDAY(A1525,3))</f>
        <v/>
      </c>
      <c r="K1525" s="7">
        <f>IF(A1525="","",IF(OR(B1525="",C1525="",D1525="",E1525=""),"Missing info",IF(ISNA(MATCH(B1525,Staff!$A$2:$A$101,0)),"Unknown employee",IF(H1525="?","Unknown site",IF(G1525&lt;=0,"Check times",IF(G1525&gt;12,"Over 12h",IF(COUNTIFS($L$2:$L$2001,L1525)&gt;1,"Duplicate?",IF(A1525&gt;TODAY(),"Future date","OK"))))))))</f>
        <v/>
      </c>
      <c r="L1525">
        <f>IF(A1525="","",TEXT(A1525,"yyyy-mm-dd")&amp;"|"&amp;B1525&amp;"|"&amp;C1525)</f>
        <v/>
      </c>
    </row>
    <row r="1526">
      <c r="A1526" s="4" t="n"/>
      <c r="D1526" s="5" t="n"/>
      <c r="E1526" s="5" t="n"/>
      <c r="G1526" s="6">
        <f>IF(OR(A1526="",D1526="",E1526=""),"",ROUND(MOD(E1526-D1526,1)*24-N(F1526)/60,2))</f>
        <v/>
      </c>
      <c r="H1526" s="7">
        <f>IF(C1526="","",IFERROR(INDEX(Sites!$B$2:$B$501,MATCH(C1526,Sites!$A$2:$A$501,0)),"?"))</f>
        <v/>
      </c>
      <c r="I1526" s="8">
        <f>IF(A1526="","",A1526-WEEKDAY(A1526,3))</f>
        <v/>
      </c>
      <c r="K1526" s="7">
        <f>IF(A1526="","",IF(OR(B1526="",C1526="",D1526="",E1526=""),"Missing info",IF(ISNA(MATCH(B1526,Staff!$A$2:$A$101,0)),"Unknown employee",IF(H1526="?","Unknown site",IF(G1526&lt;=0,"Check times",IF(G1526&gt;12,"Over 12h",IF(COUNTIFS($L$2:$L$2001,L1526)&gt;1,"Duplicate?",IF(A1526&gt;TODAY(),"Future date","OK"))))))))</f>
        <v/>
      </c>
      <c r="L1526">
        <f>IF(A1526="","",TEXT(A1526,"yyyy-mm-dd")&amp;"|"&amp;B1526&amp;"|"&amp;C1526)</f>
        <v/>
      </c>
    </row>
    <row r="1527">
      <c r="A1527" s="4" t="n"/>
      <c r="D1527" s="5" t="n"/>
      <c r="E1527" s="5" t="n"/>
      <c r="G1527" s="6">
        <f>IF(OR(A1527="",D1527="",E1527=""),"",ROUND(MOD(E1527-D1527,1)*24-N(F1527)/60,2))</f>
        <v/>
      </c>
      <c r="H1527" s="7">
        <f>IF(C1527="","",IFERROR(INDEX(Sites!$B$2:$B$501,MATCH(C1527,Sites!$A$2:$A$501,0)),"?"))</f>
        <v/>
      </c>
      <c r="I1527" s="8">
        <f>IF(A1527="","",A1527-WEEKDAY(A1527,3))</f>
        <v/>
      </c>
      <c r="K1527" s="7">
        <f>IF(A1527="","",IF(OR(B1527="",C1527="",D1527="",E1527=""),"Missing info",IF(ISNA(MATCH(B1527,Staff!$A$2:$A$101,0)),"Unknown employee",IF(H1527="?","Unknown site",IF(G1527&lt;=0,"Check times",IF(G1527&gt;12,"Over 12h",IF(COUNTIFS($L$2:$L$2001,L1527)&gt;1,"Duplicate?",IF(A1527&gt;TODAY(),"Future date","OK"))))))))</f>
        <v/>
      </c>
      <c r="L1527">
        <f>IF(A1527="","",TEXT(A1527,"yyyy-mm-dd")&amp;"|"&amp;B1527&amp;"|"&amp;C1527)</f>
        <v/>
      </c>
    </row>
    <row r="1528">
      <c r="A1528" s="4" t="n"/>
      <c r="D1528" s="5" t="n"/>
      <c r="E1528" s="5" t="n"/>
      <c r="G1528" s="6">
        <f>IF(OR(A1528="",D1528="",E1528=""),"",ROUND(MOD(E1528-D1528,1)*24-N(F1528)/60,2))</f>
        <v/>
      </c>
      <c r="H1528" s="7">
        <f>IF(C1528="","",IFERROR(INDEX(Sites!$B$2:$B$501,MATCH(C1528,Sites!$A$2:$A$501,0)),"?"))</f>
        <v/>
      </c>
      <c r="I1528" s="8">
        <f>IF(A1528="","",A1528-WEEKDAY(A1528,3))</f>
        <v/>
      </c>
      <c r="K1528" s="7">
        <f>IF(A1528="","",IF(OR(B1528="",C1528="",D1528="",E1528=""),"Missing info",IF(ISNA(MATCH(B1528,Staff!$A$2:$A$101,0)),"Unknown employee",IF(H1528="?","Unknown site",IF(G1528&lt;=0,"Check times",IF(G1528&gt;12,"Over 12h",IF(COUNTIFS($L$2:$L$2001,L1528)&gt;1,"Duplicate?",IF(A1528&gt;TODAY(),"Future date","OK"))))))))</f>
        <v/>
      </c>
      <c r="L1528">
        <f>IF(A1528="","",TEXT(A1528,"yyyy-mm-dd")&amp;"|"&amp;B1528&amp;"|"&amp;C1528)</f>
        <v/>
      </c>
    </row>
    <row r="1529">
      <c r="A1529" s="4" t="n"/>
      <c r="D1529" s="5" t="n"/>
      <c r="E1529" s="5" t="n"/>
      <c r="G1529" s="6">
        <f>IF(OR(A1529="",D1529="",E1529=""),"",ROUND(MOD(E1529-D1529,1)*24-N(F1529)/60,2))</f>
        <v/>
      </c>
      <c r="H1529" s="7">
        <f>IF(C1529="","",IFERROR(INDEX(Sites!$B$2:$B$501,MATCH(C1529,Sites!$A$2:$A$501,0)),"?"))</f>
        <v/>
      </c>
      <c r="I1529" s="8">
        <f>IF(A1529="","",A1529-WEEKDAY(A1529,3))</f>
        <v/>
      </c>
      <c r="K1529" s="7">
        <f>IF(A1529="","",IF(OR(B1529="",C1529="",D1529="",E1529=""),"Missing info",IF(ISNA(MATCH(B1529,Staff!$A$2:$A$101,0)),"Unknown employee",IF(H1529="?","Unknown site",IF(G1529&lt;=0,"Check times",IF(G1529&gt;12,"Over 12h",IF(COUNTIFS($L$2:$L$2001,L1529)&gt;1,"Duplicate?",IF(A1529&gt;TODAY(),"Future date","OK"))))))))</f>
        <v/>
      </c>
      <c r="L1529">
        <f>IF(A1529="","",TEXT(A1529,"yyyy-mm-dd")&amp;"|"&amp;B1529&amp;"|"&amp;C1529)</f>
        <v/>
      </c>
    </row>
    <row r="1530">
      <c r="A1530" s="4" t="n"/>
      <c r="D1530" s="5" t="n"/>
      <c r="E1530" s="5" t="n"/>
      <c r="G1530" s="6">
        <f>IF(OR(A1530="",D1530="",E1530=""),"",ROUND(MOD(E1530-D1530,1)*24-N(F1530)/60,2))</f>
        <v/>
      </c>
      <c r="H1530" s="7">
        <f>IF(C1530="","",IFERROR(INDEX(Sites!$B$2:$B$501,MATCH(C1530,Sites!$A$2:$A$501,0)),"?"))</f>
        <v/>
      </c>
      <c r="I1530" s="8">
        <f>IF(A1530="","",A1530-WEEKDAY(A1530,3))</f>
        <v/>
      </c>
      <c r="K1530" s="7">
        <f>IF(A1530="","",IF(OR(B1530="",C1530="",D1530="",E1530=""),"Missing info",IF(ISNA(MATCH(B1530,Staff!$A$2:$A$101,0)),"Unknown employee",IF(H1530="?","Unknown site",IF(G1530&lt;=0,"Check times",IF(G1530&gt;12,"Over 12h",IF(COUNTIFS($L$2:$L$2001,L1530)&gt;1,"Duplicate?",IF(A1530&gt;TODAY(),"Future date","OK"))))))))</f>
        <v/>
      </c>
      <c r="L1530">
        <f>IF(A1530="","",TEXT(A1530,"yyyy-mm-dd")&amp;"|"&amp;B1530&amp;"|"&amp;C1530)</f>
        <v/>
      </c>
    </row>
    <row r="1531">
      <c r="A1531" s="4" t="n"/>
      <c r="D1531" s="5" t="n"/>
      <c r="E1531" s="5" t="n"/>
      <c r="G1531" s="6">
        <f>IF(OR(A1531="",D1531="",E1531=""),"",ROUND(MOD(E1531-D1531,1)*24-N(F1531)/60,2))</f>
        <v/>
      </c>
      <c r="H1531" s="7">
        <f>IF(C1531="","",IFERROR(INDEX(Sites!$B$2:$B$501,MATCH(C1531,Sites!$A$2:$A$501,0)),"?"))</f>
        <v/>
      </c>
      <c r="I1531" s="8">
        <f>IF(A1531="","",A1531-WEEKDAY(A1531,3))</f>
        <v/>
      </c>
      <c r="K1531" s="7">
        <f>IF(A1531="","",IF(OR(B1531="",C1531="",D1531="",E1531=""),"Missing info",IF(ISNA(MATCH(B1531,Staff!$A$2:$A$101,0)),"Unknown employee",IF(H1531="?","Unknown site",IF(G1531&lt;=0,"Check times",IF(G1531&gt;12,"Over 12h",IF(COUNTIFS($L$2:$L$2001,L1531)&gt;1,"Duplicate?",IF(A1531&gt;TODAY(),"Future date","OK"))))))))</f>
        <v/>
      </c>
      <c r="L1531">
        <f>IF(A1531="","",TEXT(A1531,"yyyy-mm-dd")&amp;"|"&amp;B1531&amp;"|"&amp;C1531)</f>
        <v/>
      </c>
    </row>
    <row r="1532">
      <c r="A1532" s="4" t="n"/>
      <c r="D1532" s="5" t="n"/>
      <c r="E1532" s="5" t="n"/>
      <c r="G1532" s="6">
        <f>IF(OR(A1532="",D1532="",E1532=""),"",ROUND(MOD(E1532-D1532,1)*24-N(F1532)/60,2))</f>
        <v/>
      </c>
      <c r="H1532" s="7">
        <f>IF(C1532="","",IFERROR(INDEX(Sites!$B$2:$B$501,MATCH(C1532,Sites!$A$2:$A$501,0)),"?"))</f>
        <v/>
      </c>
      <c r="I1532" s="8">
        <f>IF(A1532="","",A1532-WEEKDAY(A1532,3))</f>
        <v/>
      </c>
      <c r="K1532" s="7">
        <f>IF(A1532="","",IF(OR(B1532="",C1532="",D1532="",E1532=""),"Missing info",IF(ISNA(MATCH(B1532,Staff!$A$2:$A$101,0)),"Unknown employee",IF(H1532="?","Unknown site",IF(G1532&lt;=0,"Check times",IF(G1532&gt;12,"Over 12h",IF(COUNTIFS($L$2:$L$2001,L1532)&gt;1,"Duplicate?",IF(A1532&gt;TODAY(),"Future date","OK"))))))))</f>
        <v/>
      </c>
      <c r="L1532">
        <f>IF(A1532="","",TEXT(A1532,"yyyy-mm-dd")&amp;"|"&amp;B1532&amp;"|"&amp;C1532)</f>
        <v/>
      </c>
    </row>
    <row r="1533">
      <c r="A1533" s="4" t="n"/>
      <c r="D1533" s="5" t="n"/>
      <c r="E1533" s="5" t="n"/>
      <c r="G1533" s="6">
        <f>IF(OR(A1533="",D1533="",E1533=""),"",ROUND(MOD(E1533-D1533,1)*24-N(F1533)/60,2))</f>
        <v/>
      </c>
      <c r="H1533" s="7">
        <f>IF(C1533="","",IFERROR(INDEX(Sites!$B$2:$B$501,MATCH(C1533,Sites!$A$2:$A$501,0)),"?"))</f>
        <v/>
      </c>
      <c r="I1533" s="8">
        <f>IF(A1533="","",A1533-WEEKDAY(A1533,3))</f>
        <v/>
      </c>
      <c r="K1533" s="7">
        <f>IF(A1533="","",IF(OR(B1533="",C1533="",D1533="",E1533=""),"Missing info",IF(ISNA(MATCH(B1533,Staff!$A$2:$A$101,0)),"Unknown employee",IF(H1533="?","Unknown site",IF(G1533&lt;=0,"Check times",IF(G1533&gt;12,"Over 12h",IF(COUNTIFS($L$2:$L$2001,L1533)&gt;1,"Duplicate?",IF(A1533&gt;TODAY(),"Future date","OK"))))))))</f>
        <v/>
      </c>
      <c r="L1533">
        <f>IF(A1533="","",TEXT(A1533,"yyyy-mm-dd")&amp;"|"&amp;B1533&amp;"|"&amp;C1533)</f>
        <v/>
      </c>
    </row>
    <row r="1534">
      <c r="A1534" s="4" t="n"/>
      <c r="D1534" s="5" t="n"/>
      <c r="E1534" s="5" t="n"/>
      <c r="G1534" s="6">
        <f>IF(OR(A1534="",D1534="",E1534=""),"",ROUND(MOD(E1534-D1534,1)*24-N(F1534)/60,2))</f>
        <v/>
      </c>
      <c r="H1534" s="7">
        <f>IF(C1534="","",IFERROR(INDEX(Sites!$B$2:$B$501,MATCH(C1534,Sites!$A$2:$A$501,0)),"?"))</f>
        <v/>
      </c>
      <c r="I1534" s="8">
        <f>IF(A1534="","",A1534-WEEKDAY(A1534,3))</f>
        <v/>
      </c>
      <c r="K1534" s="7">
        <f>IF(A1534="","",IF(OR(B1534="",C1534="",D1534="",E1534=""),"Missing info",IF(ISNA(MATCH(B1534,Staff!$A$2:$A$101,0)),"Unknown employee",IF(H1534="?","Unknown site",IF(G1534&lt;=0,"Check times",IF(G1534&gt;12,"Over 12h",IF(COUNTIFS($L$2:$L$2001,L1534)&gt;1,"Duplicate?",IF(A1534&gt;TODAY(),"Future date","OK"))))))))</f>
        <v/>
      </c>
      <c r="L1534">
        <f>IF(A1534="","",TEXT(A1534,"yyyy-mm-dd")&amp;"|"&amp;B1534&amp;"|"&amp;C1534)</f>
        <v/>
      </c>
    </row>
    <row r="1535">
      <c r="A1535" s="4" t="n"/>
      <c r="D1535" s="5" t="n"/>
      <c r="E1535" s="5" t="n"/>
      <c r="G1535" s="6">
        <f>IF(OR(A1535="",D1535="",E1535=""),"",ROUND(MOD(E1535-D1535,1)*24-N(F1535)/60,2))</f>
        <v/>
      </c>
      <c r="H1535" s="7">
        <f>IF(C1535="","",IFERROR(INDEX(Sites!$B$2:$B$501,MATCH(C1535,Sites!$A$2:$A$501,0)),"?"))</f>
        <v/>
      </c>
      <c r="I1535" s="8">
        <f>IF(A1535="","",A1535-WEEKDAY(A1535,3))</f>
        <v/>
      </c>
      <c r="K1535" s="7">
        <f>IF(A1535="","",IF(OR(B1535="",C1535="",D1535="",E1535=""),"Missing info",IF(ISNA(MATCH(B1535,Staff!$A$2:$A$101,0)),"Unknown employee",IF(H1535="?","Unknown site",IF(G1535&lt;=0,"Check times",IF(G1535&gt;12,"Over 12h",IF(COUNTIFS($L$2:$L$2001,L1535)&gt;1,"Duplicate?",IF(A1535&gt;TODAY(),"Future date","OK"))))))))</f>
        <v/>
      </c>
      <c r="L1535">
        <f>IF(A1535="","",TEXT(A1535,"yyyy-mm-dd")&amp;"|"&amp;B1535&amp;"|"&amp;C1535)</f>
        <v/>
      </c>
    </row>
    <row r="1536">
      <c r="A1536" s="4" t="n"/>
      <c r="D1536" s="5" t="n"/>
      <c r="E1536" s="5" t="n"/>
      <c r="G1536" s="6">
        <f>IF(OR(A1536="",D1536="",E1536=""),"",ROUND(MOD(E1536-D1536,1)*24-N(F1536)/60,2))</f>
        <v/>
      </c>
      <c r="H1536" s="7">
        <f>IF(C1536="","",IFERROR(INDEX(Sites!$B$2:$B$501,MATCH(C1536,Sites!$A$2:$A$501,0)),"?"))</f>
        <v/>
      </c>
      <c r="I1536" s="8">
        <f>IF(A1536="","",A1536-WEEKDAY(A1536,3))</f>
        <v/>
      </c>
      <c r="K1536" s="7">
        <f>IF(A1536="","",IF(OR(B1536="",C1536="",D1536="",E1536=""),"Missing info",IF(ISNA(MATCH(B1536,Staff!$A$2:$A$101,0)),"Unknown employee",IF(H1536="?","Unknown site",IF(G1536&lt;=0,"Check times",IF(G1536&gt;12,"Over 12h",IF(COUNTIFS($L$2:$L$2001,L1536)&gt;1,"Duplicate?",IF(A1536&gt;TODAY(),"Future date","OK"))))))))</f>
        <v/>
      </c>
      <c r="L1536">
        <f>IF(A1536="","",TEXT(A1536,"yyyy-mm-dd")&amp;"|"&amp;B1536&amp;"|"&amp;C1536)</f>
        <v/>
      </c>
    </row>
    <row r="1537">
      <c r="A1537" s="4" t="n"/>
      <c r="D1537" s="5" t="n"/>
      <c r="E1537" s="5" t="n"/>
      <c r="G1537" s="6">
        <f>IF(OR(A1537="",D1537="",E1537=""),"",ROUND(MOD(E1537-D1537,1)*24-N(F1537)/60,2))</f>
        <v/>
      </c>
      <c r="H1537" s="7">
        <f>IF(C1537="","",IFERROR(INDEX(Sites!$B$2:$B$501,MATCH(C1537,Sites!$A$2:$A$501,0)),"?"))</f>
        <v/>
      </c>
      <c r="I1537" s="8">
        <f>IF(A1537="","",A1537-WEEKDAY(A1537,3))</f>
        <v/>
      </c>
      <c r="K1537" s="7">
        <f>IF(A1537="","",IF(OR(B1537="",C1537="",D1537="",E1537=""),"Missing info",IF(ISNA(MATCH(B1537,Staff!$A$2:$A$101,0)),"Unknown employee",IF(H1537="?","Unknown site",IF(G1537&lt;=0,"Check times",IF(G1537&gt;12,"Over 12h",IF(COUNTIFS($L$2:$L$2001,L1537)&gt;1,"Duplicate?",IF(A1537&gt;TODAY(),"Future date","OK"))))))))</f>
        <v/>
      </c>
      <c r="L1537">
        <f>IF(A1537="","",TEXT(A1537,"yyyy-mm-dd")&amp;"|"&amp;B1537&amp;"|"&amp;C1537)</f>
        <v/>
      </c>
    </row>
    <row r="1538">
      <c r="A1538" s="4" t="n"/>
      <c r="D1538" s="5" t="n"/>
      <c r="E1538" s="5" t="n"/>
      <c r="G1538" s="6">
        <f>IF(OR(A1538="",D1538="",E1538=""),"",ROUND(MOD(E1538-D1538,1)*24-N(F1538)/60,2))</f>
        <v/>
      </c>
      <c r="H1538" s="7">
        <f>IF(C1538="","",IFERROR(INDEX(Sites!$B$2:$B$501,MATCH(C1538,Sites!$A$2:$A$501,0)),"?"))</f>
        <v/>
      </c>
      <c r="I1538" s="8">
        <f>IF(A1538="","",A1538-WEEKDAY(A1538,3))</f>
        <v/>
      </c>
      <c r="K1538" s="7">
        <f>IF(A1538="","",IF(OR(B1538="",C1538="",D1538="",E1538=""),"Missing info",IF(ISNA(MATCH(B1538,Staff!$A$2:$A$101,0)),"Unknown employee",IF(H1538="?","Unknown site",IF(G1538&lt;=0,"Check times",IF(G1538&gt;12,"Over 12h",IF(COUNTIFS($L$2:$L$2001,L1538)&gt;1,"Duplicate?",IF(A1538&gt;TODAY(),"Future date","OK"))))))))</f>
        <v/>
      </c>
      <c r="L1538">
        <f>IF(A1538="","",TEXT(A1538,"yyyy-mm-dd")&amp;"|"&amp;B1538&amp;"|"&amp;C1538)</f>
        <v/>
      </c>
    </row>
    <row r="1539">
      <c r="A1539" s="4" t="n"/>
      <c r="D1539" s="5" t="n"/>
      <c r="E1539" s="5" t="n"/>
      <c r="G1539" s="6">
        <f>IF(OR(A1539="",D1539="",E1539=""),"",ROUND(MOD(E1539-D1539,1)*24-N(F1539)/60,2))</f>
        <v/>
      </c>
      <c r="H1539" s="7">
        <f>IF(C1539="","",IFERROR(INDEX(Sites!$B$2:$B$501,MATCH(C1539,Sites!$A$2:$A$501,0)),"?"))</f>
        <v/>
      </c>
      <c r="I1539" s="8">
        <f>IF(A1539="","",A1539-WEEKDAY(A1539,3))</f>
        <v/>
      </c>
      <c r="K1539" s="7">
        <f>IF(A1539="","",IF(OR(B1539="",C1539="",D1539="",E1539=""),"Missing info",IF(ISNA(MATCH(B1539,Staff!$A$2:$A$101,0)),"Unknown employee",IF(H1539="?","Unknown site",IF(G1539&lt;=0,"Check times",IF(G1539&gt;12,"Over 12h",IF(COUNTIFS($L$2:$L$2001,L1539)&gt;1,"Duplicate?",IF(A1539&gt;TODAY(),"Future date","OK"))))))))</f>
        <v/>
      </c>
      <c r="L1539">
        <f>IF(A1539="","",TEXT(A1539,"yyyy-mm-dd")&amp;"|"&amp;B1539&amp;"|"&amp;C1539)</f>
        <v/>
      </c>
    </row>
    <row r="1540">
      <c r="A1540" s="4" t="n"/>
      <c r="D1540" s="5" t="n"/>
      <c r="E1540" s="5" t="n"/>
      <c r="G1540" s="6">
        <f>IF(OR(A1540="",D1540="",E1540=""),"",ROUND(MOD(E1540-D1540,1)*24-N(F1540)/60,2))</f>
        <v/>
      </c>
      <c r="H1540" s="7">
        <f>IF(C1540="","",IFERROR(INDEX(Sites!$B$2:$B$501,MATCH(C1540,Sites!$A$2:$A$501,0)),"?"))</f>
        <v/>
      </c>
      <c r="I1540" s="8">
        <f>IF(A1540="","",A1540-WEEKDAY(A1540,3))</f>
        <v/>
      </c>
      <c r="K1540" s="7">
        <f>IF(A1540="","",IF(OR(B1540="",C1540="",D1540="",E1540=""),"Missing info",IF(ISNA(MATCH(B1540,Staff!$A$2:$A$101,0)),"Unknown employee",IF(H1540="?","Unknown site",IF(G1540&lt;=0,"Check times",IF(G1540&gt;12,"Over 12h",IF(COUNTIFS($L$2:$L$2001,L1540)&gt;1,"Duplicate?",IF(A1540&gt;TODAY(),"Future date","OK"))))))))</f>
        <v/>
      </c>
      <c r="L1540">
        <f>IF(A1540="","",TEXT(A1540,"yyyy-mm-dd")&amp;"|"&amp;B1540&amp;"|"&amp;C1540)</f>
        <v/>
      </c>
    </row>
    <row r="1541">
      <c r="A1541" s="4" t="n"/>
      <c r="D1541" s="5" t="n"/>
      <c r="E1541" s="5" t="n"/>
      <c r="G1541" s="6">
        <f>IF(OR(A1541="",D1541="",E1541=""),"",ROUND(MOD(E1541-D1541,1)*24-N(F1541)/60,2))</f>
        <v/>
      </c>
      <c r="H1541" s="7">
        <f>IF(C1541="","",IFERROR(INDEX(Sites!$B$2:$B$501,MATCH(C1541,Sites!$A$2:$A$501,0)),"?"))</f>
        <v/>
      </c>
      <c r="I1541" s="8">
        <f>IF(A1541="","",A1541-WEEKDAY(A1541,3))</f>
        <v/>
      </c>
      <c r="K1541" s="7">
        <f>IF(A1541="","",IF(OR(B1541="",C1541="",D1541="",E1541=""),"Missing info",IF(ISNA(MATCH(B1541,Staff!$A$2:$A$101,0)),"Unknown employee",IF(H1541="?","Unknown site",IF(G1541&lt;=0,"Check times",IF(G1541&gt;12,"Over 12h",IF(COUNTIFS($L$2:$L$2001,L1541)&gt;1,"Duplicate?",IF(A1541&gt;TODAY(),"Future date","OK"))))))))</f>
        <v/>
      </c>
      <c r="L1541">
        <f>IF(A1541="","",TEXT(A1541,"yyyy-mm-dd")&amp;"|"&amp;B1541&amp;"|"&amp;C1541)</f>
        <v/>
      </c>
    </row>
    <row r="1542">
      <c r="A1542" s="4" t="n"/>
      <c r="D1542" s="5" t="n"/>
      <c r="E1542" s="5" t="n"/>
      <c r="G1542" s="6">
        <f>IF(OR(A1542="",D1542="",E1542=""),"",ROUND(MOD(E1542-D1542,1)*24-N(F1542)/60,2))</f>
        <v/>
      </c>
      <c r="H1542" s="7">
        <f>IF(C1542="","",IFERROR(INDEX(Sites!$B$2:$B$501,MATCH(C1542,Sites!$A$2:$A$501,0)),"?"))</f>
        <v/>
      </c>
      <c r="I1542" s="8">
        <f>IF(A1542="","",A1542-WEEKDAY(A1542,3))</f>
        <v/>
      </c>
      <c r="K1542" s="7">
        <f>IF(A1542="","",IF(OR(B1542="",C1542="",D1542="",E1542=""),"Missing info",IF(ISNA(MATCH(B1542,Staff!$A$2:$A$101,0)),"Unknown employee",IF(H1542="?","Unknown site",IF(G1542&lt;=0,"Check times",IF(G1542&gt;12,"Over 12h",IF(COUNTIFS($L$2:$L$2001,L1542)&gt;1,"Duplicate?",IF(A1542&gt;TODAY(),"Future date","OK"))))))))</f>
        <v/>
      </c>
      <c r="L1542">
        <f>IF(A1542="","",TEXT(A1542,"yyyy-mm-dd")&amp;"|"&amp;B1542&amp;"|"&amp;C1542)</f>
        <v/>
      </c>
    </row>
    <row r="1543">
      <c r="A1543" s="4" t="n"/>
      <c r="D1543" s="5" t="n"/>
      <c r="E1543" s="5" t="n"/>
      <c r="G1543" s="6">
        <f>IF(OR(A1543="",D1543="",E1543=""),"",ROUND(MOD(E1543-D1543,1)*24-N(F1543)/60,2))</f>
        <v/>
      </c>
      <c r="H1543" s="7">
        <f>IF(C1543="","",IFERROR(INDEX(Sites!$B$2:$B$501,MATCH(C1543,Sites!$A$2:$A$501,0)),"?"))</f>
        <v/>
      </c>
      <c r="I1543" s="8">
        <f>IF(A1543="","",A1543-WEEKDAY(A1543,3))</f>
        <v/>
      </c>
      <c r="K1543" s="7">
        <f>IF(A1543="","",IF(OR(B1543="",C1543="",D1543="",E1543=""),"Missing info",IF(ISNA(MATCH(B1543,Staff!$A$2:$A$101,0)),"Unknown employee",IF(H1543="?","Unknown site",IF(G1543&lt;=0,"Check times",IF(G1543&gt;12,"Over 12h",IF(COUNTIFS($L$2:$L$2001,L1543)&gt;1,"Duplicate?",IF(A1543&gt;TODAY(),"Future date","OK"))))))))</f>
        <v/>
      </c>
      <c r="L1543">
        <f>IF(A1543="","",TEXT(A1543,"yyyy-mm-dd")&amp;"|"&amp;B1543&amp;"|"&amp;C1543)</f>
        <v/>
      </c>
    </row>
    <row r="1544">
      <c r="A1544" s="4" t="n"/>
      <c r="D1544" s="5" t="n"/>
      <c r="E1544" s="5" t="n"/>
      <c r="G1544" s="6">
        <f>IF(OR(A1544="",D1544="",E1544=""),"",ROUND(MOD(E1544-D1544,1)*24-N(F1544)/60,2))</f>
        <v/>
      </c>
      <c r="H1544" s="7">
        <f>IF(C1544="","",IFERROR(INDEX(Sites!$B$2:$B$501,MATCH(C1544,Sites!$A$2:$A$501,0)),"?"))</f>
        <v/>
      </c>
      <c r="I1544" s="8">
        <f>IF(A1544="","",A1544-WEEKDAY(A1544,3))</f>
        <v/>
      </c>
      <c r="K1544" s="7">
        <f>IF(A1544="","",IF(OR(B1544="",C1544="",D1544="",E1544=""),"Missing info",IF(ISNA(MATCH(B1544,Staff!$A$2:$A$101,0)),"Unknown employee",IF(H1544="?","Unknown site",IF(G1544&lt;=0,"Check times",IF(G1544&gt;12,"Over 12h",IF(COUNTIFS($L$2:$L$2001,L1544)&gt;1,"Duplicate?",IF(A1544&gt;TODAY(),"Future date","OK"))))))))</f>
        <v/>
      </c>
      <c r="L1544">
        <f>IF(A1544="","",TEXT(A1544,"yyyy-mm-dd")&amp;"|"&amp;B1544&amp;"|"&amp;C1544)</f>
        <v/>
      </c>
    </row>
    <row r="1545">
      <c r="A1545" s="4" t="n"/>
      <c r="D1545" s="5" t="n"/>
      <c r="E1545" s="5" t="n"/>
      <c r="G1545" s="6">
        <f>IF(OR(A1545="",D1545="",E1545=""),"",ROUND(MOD(E1545-D1545,1)*24-N(F1545)/60,2))</f>
        <v/>
      </c>
      <c r="H1545" s="7">
        <f>IF(C1545="","",IFERROR(INDEX(Sites!$B$2:$B$501,MATCH(C1545,Sites!$A$2:$A$501,0)),"?"))</f>
        <v/>
      </c>
      <c r="I1545" s="8">
        <f>IF(A1545="","",A1545-WEEKDAY(A1545,3))</f>
        <v/>
      </c>
      <c r="K1545" s="7">
        <f>IF(A1545="","",IF(OR(B1545="",C1545="",D1545="",E1545=""),"Missing info",IF(ISNA(MATCH(B1545,Staff!$A$2:$A$101,0)),"Unknown employee",IF(H1545="?","Unknown site",IF(G1545&lt;=0,"Check times",IF(G1545&gt;12,"Over 12h",IF(COUNTIFS($L$2:$L$2001,L1545)&gt;1,"Duplicate?",IF(A1545&gt;TODAY(),"Future date","OK"))))))))</f>
        <v/>
      </c>
      <c r="L1545">
        <f>IF(A1545="","",TEXT(A1545,"yyyy-mm-dd")&amp;"|"&amp;B1545&amp;"|"&amp;C1545)</f>
        <v/>
      </c>
    </row>
    <row r="1546">
      <c r="A1546" s="4" t="n"/>
      <c r="D1546" s="5" t="n"/>
      <c r="E1546" s="5" t="n"/>
      <c r="G1546" s="6">
        <f>IF(OR(A1546="",D1546="",E1546=""),"",ROUND(MOD(E1546-D1546,1)*24-N(F1546)/60,2))</f>
        <v/>
      </c>
      <c r="H1546" s="7">
        <f>IF(C1546="","",IFERROR(INDEX(Sites!$B$2:$B$501,MATCH(C1546,Sites!$A$2:$A$501,0)),"?"))</f>
        <v/>
      </c>
      <c r="I1546" s="8">
        <f>IF(A1546="","",A1546-WEEKDAY(A1546,3))</f>
        <v/>
      </c>
      <c r="K1546" s="7">
        <f>IF(A1546="","",IF(OR(B1546="",C1546="",D1546="",E1546=""),"Missing info",IF(ISNA(MATCH(B1546,Staff!$A$2:$A$101,0)),"Unknown employee",IF(H1546="?","Unknown site",IF(G1546&lt;=0,"Check times",IF(G1546&gt;12,"Over 12h",IF(COUNTIFS($L$2:$L$2001,L1546)&gt;1,"Duplicate?",IF(A1546&gt;TODAY(),"Future date","OK"))))))))</f>
        <v/>
      </c>
      <c r="L1546">
        <f>IF(A1546="","",TEXT(A1546,"yyyy-mm-dd")&amp;"|"&amp;B1546&amp;"|"&amp;C1546)</f>
        <v/>
      </c>
    </row>
    <row r="1547">
      <c r="A1547" s="4" t="n"/>
      <c r="D1547" s="5" t="n"/>
      <c r="E1547" s="5" t="n"/>
      <c r="G1547" s="6">
        <f>IF(OR(A1547="",D1547="",E1547=""),"",ROUND(MOD(E1547-D1547,1)*24-N(F1547)/60,2))</f>
        <v/>
      </c>
      <c r="H1547" s="7">
        <f>IF(C1547="","",IFERROR(INDEX(Sites!$B$2:$B$501,MATCH(C1547,Sites!$A$2:$A$501,0)),"?"))</f>
        <v/>
      </c>
      <c r="I1547" s="8">
        <f>IF(A1547="","",A1547-WEEKDAY(A1547,3))</f>
        <v/>
      </c>
      <c r="K1547" s="7">
        <f>IF(A1547="","",IF(OR(B1547="",C1547="",D1547="",E1547=""),"Missing info",IF(ISNA(MATCH(B1547,Staff!$A$2:$A$101,0)),"Unknown employee",IF(H1547="?","Unknown site",IF(G1547&lt;=0,"Check times",IF(G1547&gt;12,"Over 12h",IF(COUNTIFS($L$2:$L$2001,L1547)&gt;1,"Duplicate?",IF(A1547&gt;TODAY(),"Future date","OK"))))))))</f>
        <v/>
      </c>
      <c r="L1547">
        <f>IF(A1547="","",TEXT(A1547,"yyyy-mm-dd")&amp;"|"&amp;B1547&amp;"|"&amp;C1547)</f>
        <v/>
      </c>
    </row>
    <row r="1548">
      <c r="A1548" s="4" t="n"/>
      <c r="D1548" s="5" t="n"/>
      <c r="E1548" s="5" t="n"/>
      <c r="G1548" s="6">
        <f>IF(OR(A1548="",D1548="",E1548=""),"",ROUND(MOD(E1548-D1548,1)*24-N(F1548)/60,2))</f>
        <v/>
      </c>
      <c r="H1548" s="7">
        <f>IF(C1548="","",IFERROR(INDEX(Sites!$B$2:$B$501,MATCH(C1548,Sites!$A$2:$A$501,0)),"?"))</f>
        <v/>
      </c>
      <c r="I1548" s="8">
        <f>IF(A1548="","",A1548-WEEKDAY(A1548,3))</f>
        <v/>
      </c>
      <c r="K1548" s="7">
        <f>IF(A1548="","",IF(OR(B1548="",C1548="",D1548="",E1548=""),"Missing info",IF(ISNA(MATCH(B1548,Staff!$A$2:$A$101,0)),"Unknown employee",IF(H1548="?","Unknown site",IF(G1548&lt;=0,"Check times",IF(G1548&gt;12,"Over 12h",IF(COUNTIFS($L$2:$L$2001,L1548)&gt;1,"Duplicate?",IF(A1548&gt;TODAY(),"Future date","OK"))))))))</f>
        <v/>
      </c>
      <c r="L1548">
        <f>IF(A1548="","",TEXT(A1548,"yyyy-mm-dd")&amp;"|"&amp;B1548&amp;"|"&amp;C1548)</f>
        <v/>
      </c>
    </row>
    <row r="1549">
      <c r="A1549" s="4" t="n"/>
      <c r="D1549" s="5" t="n"/>
      <c r="E1549" s="5" t="n"/>
      <c r="G1549" s="6">
        <f>IF(OR(A1549="",D1549="",E1549=""),"",ROUND(MOD(E1549-D1549,1)*24-N(F1549)/60,2))</f>
        <v/>
      </c>
      <c r="H1549" s="7">
        <f>IF(C1549="","",IFERROR(INDEX(Sites!$B$2:$B$501,MATCH(C1549,Sites!$A$2:$A$501,0)),"?"))</f>
        <v/>
      </c>
      <c r="I1549" s="8">
        <f>IF(A1549="","",A1549-WEEKDAY(A1549,3))</f>
        <v/>
      </c>
      <c r="K1549" s="7">
        <f>IF(A1549="","",IF(OR(B1549="",C1549="",D1549="",E1549=""),"Missing info",IF(ISNA(MATCH(B1549,Staff!$A$2:$A$101,0)),"Unknown employee",IF(H1549="?","Unknown site",IF(G1549&lt;=0,"Check times",IF(G1549&gt;12,"Over 12h",IF(COUNTIFS($L$2:$L$2001,L1549)&gt;1,"Duplicate?",IF(A1549&gt;TODAY(),"Future date","OK"))))))))</f>
        <v/>
      </c>
      <c r="L1549">
        <f>IF(A1549="","",TEXT(A1549,"yyyy-mm-dd")&amp;"|"&amp;B1549&amp;"|"&amp;C1549)</f>
        <v/>
      </c>
    </row>
    <row r="1550">
      <c r="A1550" s="4" t="n"/>
      <c r="D1550" s="5" t="n"/>
      <c r="E1550" s="5" t="n"/>
      <c r="G1550" s="6">
        <f>IF(OR(A1550="",D1550="",E1550=""),"",ROUND(MOD(E1550-D1550,1)*24-N(F1550)/60,2))</f>
        <v/>
      </c>
      <c r="H1550" s="7">
        <f>IF(C1550="","",IFERROR(INDEX(Sites!$B$2:$B$501,MATCH(C1550,Sites!$A$2:$A$501,0)),"?"))</f>
        <v/>
      </c>
      <c r="I1550" s="8">
        <f>IF(A1550="","",A1550-WEEKDAY(A1550,3))</f>
        <v/>
      </c>
      <c r="K1550" s="7">
        <f>IF(A1550="","",IF(OR(B1550="",C1550="",D1550="",E1550=""),"Missing info",IF(ISNA(MATCH(B1550,Staff!$A$2:$A$101,0)),"Unknown employee",IF(H1550="?","Unknown site",IF(G1550&lt;=0,"Check times",IF(G1550&gt;12,"Over 12h",IF(COUNTIFS($L$2:$L$2001,L1550)&gt;1,"Duplicate?",IF(A1550&gt;TODAY(),"Future date","OK"))))))))</f>
        <v/>
      </c>
      <c r="L1550">
        <f>IF(A1550="","",TEXT(A1550,"yyyy-mm-dd")&amp;"|"&amp;B1550&amp;"|"&amp;C1550)</f>
        <v/>
      </c>
    </row>
    <row r="1551">
      <c r="A1551" s="4" t="n"/>
      <c r="D1551" s="5" t="n"/>
      <c r="E1551" s="5" t="n"/>
      <c r="G1551" s="6">
        <f>IF(OR(A1551="",D1551="",E1551=""),"",ROUND(MOD(E1551-D1551,1)*24-N(F1551)/60,2))</f>
        <v/>
      </c>
      <c r="H1551" s="7">
        <f>IF(C1551="","",IFERROR(INDEX(Sites!$B$2:$B$501,MATCH(C1551,Sites!$A$2:$A$501,0)),"?"))</f>
        <v/>
      </c>
      <c r="I1551" s="8">
        <f>IF(A1551="","",A1551-WEEKDAY(A1551,3))</f>
        <v/>
      </c>
      <c r="K1551" s="7">
        <f>IF(A1551="","",IF(OR(B1551="",C1551="",D1551="",E1551=""),"Missing info",IF(ISNA(MATCH(B1551,Staff!$A$2:$A$101,0)),"Unknown employee",IF(H1551="?","Unknown site",IF(G1551&lt;=0,"Check times",IF(G1551&gt;12,"Over 12h",IF(COUNTIFS($L$2:$L$2001,L1551)&gt;1,"Duplicate?",IF(A1551&gt;TODAY(),"Future date","OK"))))))))</f>
        <v/>
      </c>
      <c r="L1551">
        <f>IF(A1551="","",TEXT(A1551,"yyyy-mm-dd")&amp;"|"&amp;B1551&amp;"|"&amp;C1551)</f>
        <v/>
      </c>
    </row>
    <row r="1552">
      <c r="A1552" s="4" t="n"/>
      <c r="D1552" s="5" t="n"/>
      <c r="E1552" s="5" t="n"/>
      <c r="G1552" s="6">
        <f>IF(OR(A1552="",D1552="",E1552=""),"",ROUND(MOD(E1552-D1552,1)*24-N(F1552)/60,2))</f>
        <v/>
      </c>
      <c r="H1552" s="7">
        <f>IF(C1552="","",IFERROR(INDEX(Sites!$B$2:$B$501,MATCH(C1552,Sites!$A$2:$A$501,0)),"?"))</f>
        <v/>
      </c>
      <c r="I1552" s="8">
        <f>IF(A1552="","",A1552-WEEKDAY(A1552,3))</f>
        <v/>
      </c>
      <c r="K1552" s="7">
        <f>IF(A1552="","",IF(OR(B1552="",C1552="",D1552="",E1552=""),"Missing info",IF(ISNA(MATCH(B1552,Staff!$A$2:$A$101,0)),"Unknown employee",IF(H1552="?","Unknown site",IF(G1552&lt;=0,"Check times",IF(G1552&gt;12,"Over 12h",IF(COUNTIFS($L$2:$L$2001,L1552)&gt;1,"Duplicate?",IF(A1552&gt;TODAY(),"Future date","OK"))))))))</f>
        <v/>
      </c>
      <c r="L1552">
        <f>IF(A1552="","",TEXT(A1552,"yyyy-mm-dd")&amp;"|"&amp;B1552&amp;"|"&amp;C1552)</f>
        <v/>
      </c>
    </row>
    <row r="1553">
      <c r="A1553" s="4" t="n"/>
      <c r="D1553" s="5" t="n"/>
      <c r="E1553" s="5" t="n"/>
      <c r="G1553" s="6">
        <f>IF(OR(A1553="",D1553="",E1553=""),"",ROUND(MOD(E1553-D1553,1)*24-N(F1553)/60,2))</f>
        <v/>
      </c>
      <c r="H1553" s="7">
        <f>IF(C1553="","",IFERROR(INDEX(Sites!$B$2:$B$501,MATCH(C1553,Sites!$A$2:$A$501,0)),"?"))</f>
        <v/>
      </c>
      <c r="I1553" s="8">
        <f>IF(A1553="","",A1553-WEEKDAY(A1553,3))</f>
        <v/>
      </c>
      <c r="K1553" s="7">
        <f>IF(A1553="","",IF(OR(B1553="",C1553="",D1553="",E1553=""),"Missing info",IF(ISNA(MATCH(B1553,Staff!$A$2:$A$101,0)),"Unknown employee",IF(H1553="?","Unknown site",IF(G1553&lt;=0,"Check times",IF(G1553&gt;12,"Over 12h",IF(COUNTIFS($L$2:$L$2001,L1553)&gt;1,"Duplicate?",IF(A1553&gt;TODAY(),"Future date","OK"))))))))</f>
        <v/>
      </c>
      <c r="L1553">
        <f>IF(A1553="","",TEXT(A1553,"yyyy-mm-dd")&amp;"|"&amp;B1553&amp;"|"&amp;C1553)</f>
        <v/>
      </c>
    </row>
    <row r="1554">
      <c r="A1554" s="4" t="n"/>
      <c r="D1554" s="5" t="n"/>
      <c r="E1554" s="5" t="n"/>
      <c r="G1554" s="6">
        <f>IF(OR(A1554="",D1554="",E1554=""),"",ROUND(MOD(E1554-D1554,1)*24-N(F1554)/60,2))</f>
        <v/>
      </c>
      <c r="H1554" s="7">
        <f>IF(C1554="","",IFERROR(INDEX(Sites!$B$2:$B$501,MATCH(C1554,Sites!$A$2:$A$501,0)),"?"))</f>
        <v/>
      </c>
      <c r="I1554" s="8">
        <f>IF(A1554="","",A1554-WEEKDAY(A1554,3))</f>
        <v/>
      </c>
      <c r="K1554" s="7">
        <f>IF(A1554="","",IF(OR(B1554="",C1554="",D1554="",E1554=""),"Missing info",IF(ISNA(MATCH(B1554,Staff!$A$2:$A$101,0)),"Unknown employee",IF(H1554="?","Unknown site",IF(G1554&lt;=0,"Check times",IF(G1554&gt;12,"Over 12h",IF(COUNTIFS($L$2:$L$2001,L1554)&gt;1,"Duplicate?",IF(A1554&gt;TODAY(),"Future date","OK"))))))))</f>
        <v/>
      </c>
      <c r="L1554">
        <f>IF(A1554="","",TEXT(A1554,"yyyy-mm-dd")&amp;"|"&amp;B1554&amp;"|"&amp;C1554)</f>
        <v/>
      </c>
    </row>
    <row r="1555">
      <c r="A1555" s="4" t="n"/>
      <c r="D1555" s="5" t="n"/>
      <c r="E1555" s="5" t="n"/>
      <c r="G1555" s="6">
        <f>IF(OR(A1555="",D1555="",E1555=""),"",ROUND(MOD(E1555-D1555,1)*24-N(F1555)/60,2))</f>
        <v/>
      </c>
      <c r="H1555" s="7">
        <f>IF(C1555="","",IFERROR(INDEX(Sites!$B$2:$B$501,MATCH(C1555,Sites!$A$2:$A$501,0)),"?"))</f>
        <v/>
      </c>
      <c r="I1555" s="8">
        <f>IF(A1555="","",A1555-WEEKDAY(A1555,3))</f>
        <v/>
      </c>
      <c r="K1555" s="7">
        <f>IF(A1555="","",IF(OR(B1555="",C1555="",D1555="",E1555=""),"Missing info",IF(ISNA(MATCH(B1555,Staff!$A$2:$A$101,0)),"Unknown employee",IF(H1555="?","Unknown site",IF(G1555&lt;=0,"Check times",IF(G1555&gt;12,"Over 12h",IF(COUNTIFS($L$2:$L$2001,L1555)&gt;1,"Duplicate?",IF(A1555&gt;TODAY(),"Future date","OK"))))))))</f>
        <v/>
      </c>
      <c r="L1555">
        <f>IF(A1555="","",TEXT(A1555,"yyyy-mm-dd")&amp;"|"&amp;B1555&amp;"|"&amp;C1555)</f>
        <v/>
      </c>
    </row>
    <row r="1556">
      <c r="A1556" s="4" t="n"/>
      <c r="D1556" s="5" t="n"/>
      <c r="E1556" s="5" t="n"/>
      <c r="G1556" s="6">
        <f>IF(OR(A1556="",D1556="",E1556=""),"",ROUND(MOD(E1556-D1556,1)*24-N(F1556)/60,2))</f>
        <v/>
      </c>
      <c r="H1556" s="7">
        <f>IF(C1556="","",IFERROR(INDEX(Sites!$B$2:$B$501,MATCH(C1556,Sites!$A$2:$A$501,0)),"?"))</f>
        <v/>
      </c>
      <c r="I1556" s="8">
        <f>IF(A1556="","",A1556-WEEKDAY(A1556,3))</f>
        <v/>
      </c>
      <c r="K1556" s="7">
        <f>IF(A1556="","",IF(OR(B1556="",C1556="",D1556="",E1556=""),"Missing info",IF(ISNA(MATCH(B1556,Staff!$A$2:$A$101,0)),"Unknown employee",IF(H1556="?","Unknown site",IF(G1556&lt;=0,"Check times",IF(G1556&gt;12,"Over 12h",IF(COUNTIFS($L$2:$L$2001,L1556)&gt;1,"Duplicate?",IF(A1556&gt;TODAY(),"Future date","OK"))))))))</f>
        <v/>
      </c>
      <c r="L1556">
        <f>IF(A1556="","",TEXT(A1556,"yyyy-mm-dd")&amp;"|"&amp;B1556&amp;"|"&amp;C1556)</f>
        <v/>
      </c>
    </row>
    <row r="1557">
      <c r="A1557" s="4" t="n"/>
      <c r="D1557" s="5" t="n"/>
      <c r="E1557" s="5" t="n"/>
      <c r="G1557" s="6">
        <f>IF(OR(A1557="",D1557="",E1557=""),"",ROUND(MOD(E1557-D1557,1)*24-N(F1557)/60,2))</f>
        <v/>
      </c>
      <c r="H1557" s="7">
        <f>IF(C1557="","",IFERROR(INDEX(Sites!$B$2:$B$501,MATCH(C1557,Sites!$A$2:$A$501,0)),"?"))</f>
        <v/>
      </c>
      <c r="I1557" s="8">
        <f>IF(A1557="","",A1557-WEEKDAY(A1557,3))</f>
        <v/>
      </c>
      <c r="K1557" s="7">
        <f>IF(A1557="","",IF(OR(B1557="",C1557="",D1557="",E1557=""),"Missing info",IF(ISNA(MATCH(B1557,Staff!$A$2:$A$101,0)),"Unknown employee",IF(H1557="?","Unknown site",IF(G1557&lt;=0,"Check times",IF(G1557&gt;12,"Over 12h",IF(COUNTIFS($L$2:$L$2001,L1557)&gt;1,"Duplicate?",IF(A1557&gt;TODAY(),"Future date","OK"))))))))</f>
        <v/>
      </c>
      <c r="L1557">
        <f>IF(A1557="","",TEXT(A1557,"yyyy-mm-dd")&amp;"|"&amp;B1557&amp;"|"&amp;C1557)</f>
        <v/>
      </c>
    </row>
    <row r="1558">
      <c r="A1558" s="4" t="n"/>
      <c r="D1558" s="5" t="n"/>
      <c r="E1558" s="5" t="n"/>
      <c r="G1558" s="6">
        <f>IF(OR(A1558="",D1558="",E1558=""),"",ROUND(MOD(E1558-D1558,1)*24-N(F1558)/60,2))</f>
        <v/>
      </c>
      <c r="H1558" s="7">
        <f>IF(C1558="","",IFERROR(INDEX(Sites!$B$2:$B$501,MATCH(C1558,Sites!$A$2:$A$501,0)),"?"))</f>
        <v/>
      </c>
      <c r="I1558" s="8">
        <f>IF(A1558="","",A1558-WEEKDAY(A1558,3))</f>
        <v/>
      </c>
      <c r="K1558" s="7">
        <f>IF(A1558="","",IF(OR(B1558="",C1558="",D1558="",E1558=""),"Missing info",IF(ISNA(MATCH(B1558,Staff!$A$2:$A$101,0)),"Unknown employee",IF(H1558="?","Unknown site",IF(G1558&lt;=0,"Check times",IF(G1558&gt;12,"Over 12h",IF(COUNTIFS($L$2:$L$2001,L1558)&gt;1,"Duplicate?",IF(A1558&gt;TODAY(),"Future date","OK"))))))))</f>
        <v/>
      </c>
      <c r="L1558">
        <f>IF(A1558="","",TEXT(A1558,"yyyy-mm-dd")&amp;"|"&amp;B1558&amp;"|"&amp;C1558)</f>
        <v/>
      </c>
    </row>
    <row r="1559">
      <c r="A1559" s="4" t="n"/>
      <c r="D1559" s="5" t="n"/>
      <c r="E1559" s="5" t="n"/>
      <c r="G1559" s="6">
        <f>IF(OR(A1559="",D1559="",E1559=""),"",ROUND(MOD(E1559-D1559,1)*24-N(F1559)/60,2))</f>
        <v/>
      </c>
      <c r="H1559" s="7">
        <f>IF(C1559="","",IFERROR(INDEX(Sites!$B$2:$B$501,MATCH(C1559,Sites!$A$2:$A$501,0)),"?"))</f>
        <v/>
      </c>
      <c r="I1559" s="8">
        <f>IF(A1559="","",A1559-WEEKDAY(A1559,3))</f>
        <v/>
      </c>
      <c r="K1559" s="7">
        <f>IF(A1559="","",IF(OR(B1559="",C1559="",D1559="",E1559=""),"Missing info",IF(ISNA(MATCH(B1559,Staff!$A$2:$A$101,0)),"Unknown employee",IF(H1559="?","Unknown site",IF(G1559&lt;=0,"Check times",IF(G1559&gt;12,"Over 12h",IF(COUNTIFS($L$2:$L$2001,L1559)&gt;1,"Duplicate?",IF(A1559&gt;TODAY(),"Future date","OK"))))))))</f>
        <v/>
      </c>
      <c r="L1559">
        <f>IF(A1559="","",TEXT(A1559,"yyyy-mm-dd")&amp;"|"&amp;B1559&amp;"|"&amp;C1559)</f>
        <v/>
      </c>
    </row>
    <row r="1560">
      <c r="A1560" s="4" t="n"/>
      <c r="D1560" s="5" t="n"/>
      <c r="E1560" s="5" t="n"/>
      <c r="G1560" s="6">
        <f>IF(OR(A1560="",D1560="",E1560=""),"",ROUND(MOD(E1560-D1560,1)*24-N(F1560)/60,2))</f>
        <v/>
      </c>
      <c r="H1560" s="7">
        <f>IF(C1560="","",IFERROR(INDEX(Sites!$B$2:$B$501,MATCH(C1560,Sites!$A$2:$A$501,0)),"?"))</f>
        <v/>
      </c>
      <c r="I1560" s="8">
        <f>IF(A1560="","",A1560-WEEKDAY(A1560,3))</f>
        <v/>
      </c>
      <c r="K1560" s="7">
        <f>IF(A1560="","",IF(OR(B1560="",C1560="",D1560="",E1560=""),"Missing info",IF(ISNA(MATCH(B1560,Staff!$A$2:$A$101,0)),"Unknown employee",IF(H1560="?","Unknown site",IF(G1560&lt;=0,"Check times",IF(G1560&gt;12,"Over 12h",IF(COUNTIFS($L$2:$L$2001,L1560)&gt;1,"Duplicate?",IF(A1560&gt;TODAY(),"Future date","OK"))))))))</f>
        <v/>
      </c>
      <c r="L1560">
        <f>IF(A1560="","",TEXT(A1560,"yyyy-mm-dd")&amp;"|"&amp;B1560&amp;"|"&amp;C1560)</f>
        <v/>
      </c>
    </row>
    <row r="1561">
      <c r="A1561" s="4" t="n"/>
      <c r="D1561" s="5" t="n"/>
      <c r="E1561" s="5" t="n"/>
      <c r="G1561" s="6">
        <f>IF(OR(A1561="",D1561="",E1561=""),"",ROUND(MOD(E1561-D1561,1)*24-N(F1561)/60,2))</f>
        <v/>
      </c>
      <c r="H1561" s="7">
        <f>IF(C1561="","",IFERROR(INDEX(Sites!$B$2:$B$501,MATCH(C1561,Sites!$A$2:$A$501,0)),"?"))</f>
        <v/>
      </c>
      <c r="I1561" s="8">
        <f>IF(A1561="","",A1561-WEEKDAY(A1561,3))</f>
        <v/>
      </c>
      <c r="K1561" s="7">
        <f>IF(A1561="","",IF(OR(B1561="",C1561="",D1561="",E1561=""),"Missing info",IF(ISNA(MATCH(B1561,Staff!$A$2:$A$101,0)),"Unknown employee",IF(H1561="?","Unknown site",IF(G1561&lt;=0,"Check times",IF(G1561&gt;12,"Over 12h",IF(COUNTIFS($L$2:$L$2001,L1561)&gt;1,"Duplicate?",IF(A1561&gt;TODAY(),"Future date","OK"))))))))</f>
        <v/>
      </c>
      <c r="L1561">
        <f>IF(A1561="","",TEXT(A1561,"yyyy-mm-dd")&amp;"|"&amp;B1561&amp;"|"&amp;C1561)</f>
        <v/>
      </c>
    </row>
    <row r="1562">
      <c r="A1562" s="4" t="n"/>
      <c r="D1562" s="5" t="n"/>
      <c r="E1562" s="5" t="n"/>
      <c r="G1562" s="6">
        <f>IF(OR(A1562="",D1562="",E1562=""),"",ROUND(MOD(E1562-D1562,1)*24-N(F1562)/60,2))</f>
        <v/>
      </c>
      <c r="H1562" s="7">
        <f>IF(C1562="","",IFERROR(INDEX(Sites!$B$2:$B$501,MATCH(C1562,Sites!$A$2:$A$501,0)),"?"))</f>
        <v/>
      </c>
      <c r="I1562" s="8">
        <f>IF(A1562="","",A1562-WEEKDAY(A1562,3))</f>
        <v/>
      </c>
      <c r="K1562" s="7">
        <f>IF(A1562="","",IF(OR(B1562="",C1562="",D1562="",E1562=""),"Missing info",IF(ISNA(MATCH(B1562,Staff!$A$2:$A$101,0)),"Unknown employee",IF(H1562="?","Unknown site",IF(G1562&lt;=0,"Check times",IF(G1562&gt;12,"Over 12h",IF(COUNTIFS($L$2:$L$2001,L1562)&gt;1,"Duplicate?",IF(A1562&gt;TODAY(),"Future date","OK"))))))))</f>
        <v/>
      </c>
      <c r="L1562">
        <f>IF(A1562="","",TEXT(A1562,"yyyy-mm-dd")&amp;"|"&amp;B1562&amp;"|"&amp;C1562)</f>
        <v/>
      </c>
    </row>
    <row r="1563">
      <c r="A1563" s="4" t="n"/>
      <c r="D1563" s="5" t="n"/>
      <c r="E1563" s="5" t="n"/>
      <c r="G1563" s="6">
        <f>IF(OR(A1563="",D1563="",E1563=""),"",ROUND(MOD(E1563-D1563,1)*24-N(F1563)/60,2))</f>
        <v/>
      </c>
      <c r="H1563" s="7">
        <f>IF(C1563="","",IFERROR(INDEX(Sites!$B$2:$B$501,MATCH(C1563,Sites!$A$2:$A$501,0)),"?"))</f>
        <v/>
      </c>
      <c r="I1563" s="8">
        <f>IF(A1563="","",A1563-WEEKDAY(A1563,3))</f>
        <v/>
      </c>
      <c r="K1563" s="7">
        <f>IF(A1563="","",IF(OR(B1563="",C1563="",D1563="",E1563=""),"Missing info",IF(ISNA(MATCH(B1563,Staff!$A$2:$A$101,0)),"Unknown employee",IF(H1563="?","Unknown site",IF(G1563&lt;=0,"Check times",IF(G1563&gt;12,"Over 12h",IF(COUNTIFS($L$2:$L$2001,L1563)&gt;1,"Duplicate?",IF(A1563&gt;TODAY(),"Future date","OK"))))))))</f>
        <v/>
      </c>
      <c r="L1563">
        <f>IF(A1563="","",TEXT(A1563,"yyyy-mm-dd")&amp;"|"&amp;B1563&amp;"|"&amp;C1563)</f>
        <v/>
      </c>
    </row>
    <row r="1564">
      <c r="A1564" s="4" t="n"/>
      <c r="D1564" s="5" t="n"/>
      <c r="E1564" s="5" t="n"/>
      <c r="G1564" s="6">
        <f>IF(OR(A1564="",D1564="",E1564=""),"",ROUND(MOD(E1564-D1564,1)*24-N(F1564)/60,2))</f>
        <v/>
      </c>
      <c r="H1564" s="7">
        <f>IF(C1564="","",IFERROR(INDEX(Sites!$B$2:$B$501,MATCH(C1564,Sites!$A$2:$A$501,0)),"?"))</f>
        <v/>
      </c>
      <c r="I1564" s="8">
        <f>IF(A1564="","",A1564-WEEKDAY(A1564,3))</f>
        <v/>
      </c>
      <c r="K1564" s="7">
        <f>IF(A1564="","",IF(OR(B1564="",C1564="",D1564="",E1564=""),"Missing info",IF(ISNA(MATCH(B1564,Staff!$A$2:$A$101,0)),"Unknown employee",IF(H1564="?","Unknown site",IF(G1564&lt;=0,"Check times",IF(G1564&gt;12,"Over 12h",IF(COUNTIFS($L$2:$L$2001,L1564)&gt;1,"Duplicate?",IF(A1564&gt;TODAY(),"Future date","OK"))))))))</f>
        <v/>
      </c>
      <c r="L1564">
        <f>IF(A1564="","",TEXT(A1564,"yyyy-mm-dd")&amp;"|"&amp;B1564&amp;"|"&amp;C1564)</f>
        <v/>
      </c>
    </row>
    <row r="1565">
      <c r="A1565" s="4" t="n"/>
      <c r="D1565" s="5" t="n"/>
      <c r="E1565" s="5" t="n"/>
      <c r="G1565" s="6">
        <f>IF(OR(A1565="",D1565="",E1565=""),"",ROUND(MOD(E1565-D1565,1)*24-N(F1565)/60,2))</f>
        <v/>
      </c>
      <c r="H1565" s="7">
        <f>IF(C1565="","",IFERROR(INDEX(Sites!$B$2:$B$501,MATCH(C1565,Sites!$A$2:$A$501,0)),"?"))</f>
        <v/>
      </c>
      <c r="I1565" s="8">
        <f>IF(A1565="","",A1565-WEEKDAY(A1565,3))</f>
        <v/>
      </c>
      <c r="K1565" s="7">
        <f>IF(A1565="","",IF(OR(B1565="",C1565="",D1565="",E1565=""),"Missing info",IF(ISNA(MATCH(B1565,Staff!$A$2:$A$101,0)),"Unknown employee",IF(H1565="?","Unknown site",IF(G1565&lt;=0,"Check times",IF(G1565&gt;12,"Over 12h",IF(COUNTIFS($L$2:$L$2001,L1565)&gt;1,"Duplicate?",IF(A1565&gt;TODAY(),"Future date","OK"))))))))</f>
        <v/>
      </c>
      <c r="L1565">
        <f>IF(A1565="","",TEXT(A1565,"yyyy-mm-dd")&amp;"|"&amp;B1565&amp;"|"&amp;C1565)</f>
        <v/>
      </c>
    </row>
    <row r="1566">
      <c r="A1566" s="4" t="n"/>
      <c r="D1566" s="5" t="n"/>
      <c r="E1566" s="5" t="n"/>
      <c r="G1566" s="6">
        <f>IF(OR(A1566="",D1566="",E1566=""),"",ROUND(MOD(E1566-D1566,1)*24-N(F1566)/60,2))</f>
        <v/>
      </c>
      <c r="H1566" s="7">
        <f>IF(C1566="","",IFERROR(INDEX(Sites!$B$2:$B$501,MATCH(C1566,Sites!$A$2:$A$501,0)),"?"))</f>
        <v/>
      </c>
      <c r="I1566" s="8">
        <f>IF(A1566="","",A1566-WEEKDAY(A1566,3))</f>
        <v/>
      </c>
      <c r="K1566" s="7">
        <f>IF(A1566="","",IF(OR(B1566="",C1566="",D1566="",E1566=""),"Missing info",IF(ISNA(MATCH(B1566,Staff!$A$2:$A$101,0)),"Unknown employee",IF(H1566="?","Unknown site",IF(G1566&lt;=0,"Check times",IF(G1566&gt;12,"Over 12h",IF(COUNTIFS($L$2:$L$2001,L1566)&gt;1,"Duplicate?",IF(A1566&gt;TODAY(),"Future date","OK"))))))))</f>
        <v/>
      </c>
      <c r="L1566">
        <f>IF(A1566="","",TEXT(A1566,"yyyy-mm-dd")&amp;"|"&amp;B1566&amp;"|"&amp;C1566)</f>
        <v/>
      </c>
    </row>
    <row r="1567">
      <c r="A1567" s="4" t="n"/>
      <c r="D1567" s="5" t="n"/>
      <c r="E1567" s="5" t="n"/>
      <c r="G1567" s="6">
        <f>IF(OR(A1567="",D1567="",E1567=""),"",ROUND(MOD(E1567-D1567,1)*24-N(F1567)/60,2))</f>
        <v/>
      </c>
      <c r="H1567" s="7">
        <f>IF(C1567="","",IFERROR(INDEX(Sites!$B$2:$B$501,MATCH(C1567,Sites!$A$2:$A$501,0)),"?"))</f>
        <v/>
      </c>
      <c r="I1567" s="8">
        <f>IF(A1567="","",A1567-WEEKDAY(A1567,3))</f>
        <v/>
      </c>
      <c r="K1567" s="7">
        <f>IF(A1567="","",IF(OR(B1567="",C1567="",D1567="",E1567=""),"Missing info",IF(ISNA(MATCH(B1567,Staff!$A$2:$A$101,0)),"Unknown employee",IF(H1567="?","Unknown site",IF(G1567&lt;=0,"Check times",IF(G1567&gt;12,"Over 12h",IF(COUNTIFS($L$2:$L$2001,L1567)&gt;1,"Duplicate?",IF(A1567&gt;TODAY(),"Future date","OK"))))))))</f>
        <v/>
      </c>
      <c r="L1567">
        <f>IF(A1567="","",TEXT(A1567,"yyyy-mm-dd")&amp;"|"&amp;B1567&amp;"|"&amp;C1567)</f>
        <v/>
      </c>
    </row>
    <row r="1568">
      <c r="A1568" s="4" t="n"/>
      <c r="D1568" s="5" t="n"/>
      <c r="E1568" s="5" t="n"/>
      <c r="G1568" s="6">
        <f>IF(OR(A1568="",D1568="",E1568=""),"",ROUND(MOD(E1568-D1568,1)*24-N(F1568)/60,2))</f>
        <v/>
      </c>
      <c r="H1568" s="7">
        <f>IF(C1568="","",IFERROR(INDEX(Sites!$B$2:$B$501,MATCH(C1568,Sites!$A$2:$A$501,0)),"?"))</f>
        <v/>
      </c>
      <c r="I1568" s="8">
        <f>IF(A1568="","",A1568-WEEKDAY(A1568,3))</f>
        <v/>
      </c>
      <c r="K1568" s="7">
        <f>IF(A1568="","",IF(OR(B1568="",C1568="",D1568="",E1568=""),"Missing info",IF(ISNA(MATCH(B1568,Staff!$A$2:$A$101,0)),"Unknown employee",IF(H1568="?","Unknown site",IF(G1568&lt;=0,"Check times",IF(G1568&gt;12,"Over 12h",IF(COUNTIFS($L$2:$L$2001,L1568)&gt;1,"Duplicate?",IF(A1568&gt;TODAY(),"Future date","OK"))))))))</f>
        <v/>
      </c>
      <c r="L1568">
        <f>IF(A1568="","",TEXT(A1568,"yyyy-mm-dd")&amp;"|"&amp;B1568&amp;"|"&amp;C1568)</f>
        <v/>
      </c>
    </row>
    <row r="1569">
      <c r="A1569" s="4" t="n"/>
      <c r="D1569" s="5" t="n"/>
      <c r="E1569" s="5" t="n"/>
      <c r="G1569" s="6">
        <f>IF(OR(A1569="",D1569="",E1569=""),"",ROUND(MOD(E1569-D1569,1)*24-N(F1569)/60,2))</f>
        <v/>
      </c>
      <c r="H1569" s="7">
        <f>IF(C1569="","",IFERROR(INDEX(Sites!$B$2:$B$501,MATCH(C1569,Sites!$A$2:$A$501,0)),"?"))</f>
        <v/>
      </c>
      <c r="I1569" s="8">
        <f>IF(A1569="","",A1569-WEEKDAY(A1569,3))</f>
        <v/>
      </c>
      <c r="K1569" s="7">
        <f>IF(A1569="","",IF(OR(B1569="",C1569="",D1569="",E1569=""),"Missing info",IF(ISNA(MATCH(B1569,Staff!$A$2:$A$101,0)),"Unknown employee",IF(H1569="?","Unknown site",IF(G1569&lt;=0,"Check times",IF(G1569&gt;12,"Over 12h",IF(COUNTIFS($L$2:$L$2001,L1569)&gt;1,"Duplicate?",IF(A1569&gt;TODAY(),"Future date","OK"))))))))</f>
        <v/>
      </c>
      <c r="L1569">
        <f>IF(A1569="","",TEXT(A1569,"yyyy-mm-dd")&amp;"|"&amp;B1569&amp;"|"&amp;C1569)</f>
        <v/>
      </c>
    </row>
    <row r="1570">
      <c r="A1570" s="4" t="n"/>
      <c r="D1570" s="5" t="n"/>
      <c r="E1570" s="5" t="n"/>
      <c r="G1570" s="6">
        <f>IF(OR(A1570="",D1570="",E1570=""),"",ROUND(MOD(E1570-D1570,1)*24-N(F1570)/60,2))</f>
        <v/>
      </c>
      <c r="H1570" s="7">
        <f>IF(C1570="","",IFERROR(INDEX(Sites!$B$2:$B$501,MATCH(C1570,Sites!$A$2:$A$501,0)),"?"))</f>
        <v/>
      </c>
      <c r="I1570" s="8">
        <f>IF(A1570="","",A1570-WEEKDAY(A1570,3))</f>
        <v/>
      </c>
      <c r="K1570" s="7">
        <f>IF(A1570="","",IF(OR(B1570="",C1570="",D1570="",E1570=""),"Missing info",IF(ISNA(MATCH(B1570,Staff!$A$2:$A$101,0)),"Unknown employee",IF(H1570="?","Unknown site",IF(G1570&lt;=0,"Check times",IF(G1570&gt;12,"Over 12h",IF(COUNTIFS($L$2:$L$2001,L1570)&gt;1,"Duplicate?",IF(A1570&gt;TODAY(),"Future date","OK"))))))))</f>
        <v/>
      </c>
      <c r="L1570">
        <f>IF(A1570="","",TEXT(A1570,"yyyy-mm-dd")&amp;"|"&amp;B1570&amp;"|"&amp;C1570)</f>
        <v/>
      </c>
    </row>
    <row r="1571">
      <c r="A1571" s="4" t="n"/>
      <c r="D1571" s="5" t="n"/>
      <c r="E1571" s="5" t="n"/>
      <c r="G1571" s="6">
        <f>IF(OR(A1571="",D1571="",E1571=""),"",ROUND(MOD(E1571-D1571,1)*24-N(F1571)/60,2))</f>
        <v/>
      </c>
      <c r="H1571" s="7">
        <f>IF(C1571="","",IFERROR(INDEX(Sites!$B$2:$B$501,MATCH(C1571,Sites!$A$2:$A$501,0)),"?"))</f>
        <v/>
      </c>
      <c r="I1571" s="8">
        <f>IF(A1571="","",A1571-WEEKDAY(A1571,3))</f>
        <v/>
      </c>
      <c r="K1571" s="7">
        <f>IF(A1571="","",IF(OR(B1571="",C1571="",D1571="",E1571=""),"Missing info",IF(ISNA(MATCH(B1571,Staff!$A$2:$A$101,0)),"Unknown employee",IF(H1571="?","Unknown site",IF(G1571&lt;=0,"Check times",IF(G1571&gt;12,"Over 12h",IF(COUNTIFS($L$2:$L$2001,L1571)&gt;1,"Duplicate?",IF(A1571&gt;TODAY(),"Future date","OK"))))))))</f>
        <v/>
      </c>
      <c r="L1571">
        <f>IF(A1571="","",TEXT(A1571,"yyyy-mm-dd")&amp;"|"&amp;B1571&amp;"|"&amp;C1571)</f>
        <v/>
      </c>
    </row>
    <row r="1572">
      <c r="A1572" s="4" t="n"/>
      <c r="D1572" s="5" t="n"/>
      <c r="E1572" s="5" t="n"/>
      <c r="G1572" s="6">
        <f>IF(OR(A1572="",D1572="",E1572=""),"",ROUND(MOD(E1572-D1572,1)*24-N(F1572)/60,2))</f>
        <v/>
      </c>
      <c r="H1572" s="7">
        <f>IF(C1572="","",IFERROR(INDEX(Sites!$B$2:$B$501,MATCH(C1572,Sites!$A$2:$A$501,0)),"?"))</f>
        <v/>
      </c>
      <c r="I1572" s="8">
        <f>IF(A1572="","",A1572-WEEKDAY(A1572,3))</f>
        <v/>
      </c>
      <c r="K1572" s="7">
        <f>IF(A1572="","",IF(OR(B1572="",C1572="",D1572="",E1572=""),"Missing info",IF(ISNA(MATCH(B1572,Staff!$A$2:$A$101,0)),"Unknown employee",IF(H1572="?","Unknown site",IF(G1572&lt;=0,"Check times",IF(G1572&gt;12,"Over 12h",IF(COUNTIFS($L$2:$L$2001,L1572)&gt;1,"Duplicate?",IF(A1572&gt;TODAY(),"Future date","OK"))))))))</f>
        <v/>
      </c>
      <c r="L1572">
        <f>IF(A1572="","",TEXT(A1572,"yyyy-mm-dd")&amp;"|"&amp;B1572&amp;"|"&amp;C1572)</f>
        <v/>
      </c>
    </row>
    <row r="1573">
      <c r="A1573" s="4" t="n"/>
      <c r="D1573" s="5" t="n"/>
      <c r="E1573" s="5" t="n"/>
      <c r="G1573" s="6">
        <f>IF(OR(A1573="",D1573="",E1573=""),"",ROUND(MOD(E1573-D1573,1)*24-N(F1573)/60,2))</f>
        <v/>
      </c>
      <c r="H1573" s="7">
        <f>IF(C1573="","",IFERROR(INDEX(Sites!$B$2:$B$501,MATCH(C1573,Sites!$A$2:$A$501,0)),"?"))</f>
        <v/>
      </c>
      <c r="I1573" s="8">
        <f>IF(A1573="","",A1573-WEEKDAY(A1573,3))</f>
        <v/>
      </c>
      <c r="K1573" s="7">
        <f>IF(A1573="","",IF(OR(B1573="",C1573="",D1573="",E1573=""),"Missing info",IF(ISNA(MATCH(B1573,Staff!$A$2:$A$101,0)),"Unknown employee",IF(H1573="?","Unknown site",IF(G1573&lt;=0,"Check times",IF(G1573&gt;12,"Over 12h",IF(COUNTIFS($L$2:$L$2001,L1573)&gt;1,"Duplicate?",IF(A1573&gt;TODAY(),"Future date","OK"))))))))</f>
        <v/>
      </c>
      <c r="L1573">
        <f>IF(A1573="","",TEXT(A1573,"yyyy-mm-dd")&amp;"|"&amp;B1573&amp;"|"&amp;C1573)</f>
        <v/>
      </c>
    </row>
    <row r="1574">
      <c r="A1574" s="4" t="n"/>
      <c r="D1574" s="5" t="n"/>
      <c r="E1574" s="5" t="n"/>
      <c r="G1574" s="6">
        <f>IF(OR(A1574="",D1574="",E1574=""),"",ROUND(MOD(E1574-D1574,1)*24-N(F1574)/60,2))</f>
        <v/>
      </c>
      <c r="H1574" s="7">
        <f>IF(C1574="","",IFERROR(INDEX(Sites!$B$2:$B$501,MATCH(C1574,Sites!$A$2:$A$501,0)),"?"))</f>
        <v/>
      </c>
      <c r="I1574" s="8">
        <f>IF(A1574="","",A1574-WEEKDAY(A1574,3))</f>
        <v/>
      </c>
      <c r="K1574" s="7">
        <f>IF(A1574="","",IF(OR(B1574="",C1574="",D1574="",E1574=""),"Missing info",IF(ISNA(MATCH(B1574,Staff!$A$2:$A$101,0)),"Unknown employee",IF(H1574="?","Unknown site",IF(G1574&lt;=0,"Check times",IF(G1574&gt;12,"Over 12h",IF(COUNTIFS($L$2:$L$2001,L1574)&gt;1,"Duplicate?",IF(A1574&gt;TODAY(),"Future date","OK"))))))))</f>
        <v/>
      </c>
      <c r="L1574">
        <f>IF(A1574="","",TEXT(A1574,"yyyy-mm-dd")&amp;"|"&amp;B1574&amp;"|"&amp;C1574)</f>
        <v/>
      </c>
    </row>
    <row r="1575">
      <c r="A1575" s="4" t="n"/>
      <c r="D1575" s="5" t="n"/>
      <c r="E1575" s="5" t="n"/>
      <c r="G1575" s="6">
        <f>IF(OR(A1575="",D1575="",E1575=""),"",ROUND(MOD(E1575-D1575,1)*24-N(F1575)/60,2))</f>
        <v/>
      </c>
      <c r="H1575" s="7">
        <f>IF(C1575="","",IFERROR(INDEX(Sites!$B$2:$B$501,MATCH(C1575,Sites!$A$2:$A$501,0)),"?"))</f>
        <v/>
      </c>
      <c r="I1575" s="8">
        <f>IF(A1575="","",A1575-WEEKDAY(A1575,3))</f>
        <v/>
      </c>
      <c r="K1575" s="7">
        <f>IF(A1575="","",IF(OR(B1575="",C1575="",D1575="",E1575=""),"Missing info",IF(ISNA(MATCH(B1575,Staff!$A$2:$A$101,0)),"Unknown employee",IF(H1575="?","Unknown site",IF(G1575&lt;=0,"Check times",IF(G1575&gt;12,"Over 12h",IF(COUNTIFS($L$2:$L$2001,L1575)&gt;1,"Duplicate?",IF(A1575&gt;TODAY(),"Future date","OK"))))))))</f>
        <v/>
      </c>
      <c r="L1575">
        <f>IF(A1575="","",TEXT(A1575,"yyyy-mm-dd")&amp;"|"&amp;B1575&amp;"|"&amp;C1575)</f>
        <v/>
      </c>
    </row>
    <row r="1576">
      <c r="A1576" s="4" t="n"/>
      <c r="D1576" s="5" t="n"/>
      <c r="E1576" s="5" t="n"/>
      <c r="G1576" s="6">
        <f>IF(OR(A1576="",D1576="",E1576=""),"",ROUND(MOD(E1576-D1576,1)*24-N(F1576)/60,2))</f>
        <v/>
      </c>
      <c r="H1576" s="7">
        <f>IF(C1576="","",IFERROR(INDEX(Sites!$B$2:$B$501,MATCH(C1576,Sites!$A$2:$A$501,0)),"?"))</f>
        <v/>
      </c>
      <c r="I1576" s="8">
        <f>IF(A1576="","",A1576-WEEKDAY(A1576,3))</f>
        <v/>
      </c>
      <c r="K1576" s="7">
        <f>IF(A1576="","",IF(OR(B1576="",C1576="",D1576="",E1576=""),"Missing info",IF(ISNA(MATCH(B1576,Staff!$A$2:$A$101,0)),"Unknown employee",IF(H1576="?","Unknown site",IF(G1576&lt;=0,"Check times",IF(G1576&gt;12,"Over 12h",IF(COUNTIFS($L$2:$L$2001,L1576)&gt;1,"Duplicate?",IF(A1576&gt;TODAY(),"Future date","OK"))))))))</f>
        <v/>
      </c>
      <c r="L1576">
        <f>IF(A1576="","",TEXT(A1576,"yyyy-mm-dd")&amp;"|"&amp;B1576&amp;"|"&amp;C1576)</f>
        <v/>
      </c>
    </row>
    <row r="1577">
      <c r="A1577" s="4" t="n"/>
      <c r="D1577" s="5" t="n"/>
      <c r="E1577" s="5" t="n"/>
      <c r="G1577" s="6">
        <f>IF(OR(A1577="",D1577="",E1577=""),"",ROUND(MOD(E1577-D1577,1)*24-N(F1577)/60,2))</f>
        <v/>
      </c>
      <c r="H1577" s="7">
        <f>IF(C1577="","",IFERROR(INDEX(Sites!$B$2:$B$501,MATCH(C1577,Sites!$A$2:$A$501,0)),"?"))</f>
        <v/>
      </c>
      <c r="I1577" s="8">
        <f>IF(A1577="","",A1577-WEEKDAY(A1577,3))</f>
        <v/>
      </c>
      <c r="K1577" s="7">
        <f>IF(A1577="","",IF(OR(B1577="",C1577="",D1577="",E1577=""),"Missing info",IF(ISNA(MATCH(B1577,Staff!$A$2:$A$101,0)),"Unknown employee",IF(H1577="?","Unknown site",IF(G1577&lt;=0,"Check times",IF(G1577&gt;12,"Over 12h",IF(COUNTIFS($L$2:$L$2001,L1577)&gt;1,"Duplicate?",IF(A1577&gt;TODAY(),"Future date","OK"))))))))</f>
        <v/>
      </c>
      <c r="L1577">
        <f>IF(A1577="","",TEXT(A1577,"yyyy-mm-dd")&amp;"|"&amp;B1577&amp;"|"&amp;C1577)</f>
        <v/>
      </c>
    </row>
    <row r="1578">
      <c r="A1578" s="4" t="n"/>
      <c r="D1578" s="5" t="n"/>
      <c r="E1578" s="5" t="n"/>
      <c r="G1578" s="6">
        <f>IF(OR(A1578="",D1578="",E1578=""),"",ROUND(MOD(E1578-D1578,1)*24-N(F1578)/60,2))</f>
        <v/>
      </c>
      <c r="H1578" s="7">
        <f>IF(C1578="","",IFERROR(INDEX(Sites!$B$2:$B$501,MATCH(C1578,Sites!$A$2:$A$501,0)),"?"))</f>
        <v/>
      </c>
      <c r="I1578" s="8">
        <f>IF(A1578="","",A1578-WEEKDAY(A1578,3))</f>
        <v/>
      </c>
      <c r="K1578" s="7">
        <f>IF(A1578="","",IF(OR(B1578="",C1578="",D1578="",E1578=""),"Missing info",IF(ISNA(MATCH(B1578,Staff!$A$2:$A$101,0)),"Unknown employee",IF(H1578="?","Unknown site",IF(G1578&lt;=0,"Check times",IF(G1578&gt;12,"Over 12h",IF(COUNTIFS($L$2:$L$2001,L1578)&gt;1,"Duplicate?",IF(A1578&gt;TODAY(),"Future date","OK"))))))))</f>
        <v/>
      </c>
      <c r="L1578">
        <f>IF(A1578="","",TEXT(A1578,"yyyy-mm-dd")&amp;"|"&amp;B1578&amp;"|"&amp;C1578)</f>
        <v/>
      </c>
    </row>
    <row r="1579">
      <c r="A1579" s="4" t="n"/>
      <c r="D1579" s="5" t="n"/>
      <c r="E1579" s="5" t="n"/>
      <c r="G1579" s="6">
        <f>IF(OR(A1579="",D1579="",E1579=""),"",ROUND(MOD(E1579-D1579,1)*24-N(F1579)/60,2))</f>
        <v/>
      </c>
      <c r="H1579" s="7">
        <f>IF(C1579="","",IFERROR(INDEX(Sites!$B$2:$B$501,MATCH(C1579,Sites!$A$2:$A$501,0)),"?"))</f>
        <v/>
      </c>
      <c r="I1579" s="8">
        <f>IF(A1579="","",A1579-WEEKDAY(A1579,3))</f>
        <v/>
      </c>
      <c r="K1579" s="7">
        <f>IF(A1579="","",IF(OR(B1579="",C1579="",D1579="",E1579=""),"Missing info",IF(ISNA(MATCH(B1579,Staff!$A$2:$A$101,0)),"Unknown employee",IF(H1579="?","Unknown site",IF(G1579&lt;=0,"Check times",IF(G1579&gt;12,"Over 12h",IF(COUNTIFS($L$2:$L$2001,L1579)&gt;1,"Duplicate?",IF(A1579&gt;TODAY(),"Future date","OK"))))))))</f>
        <v/>
      </c>
      <c r="L1579">
        <f>IF(A1579="","",TEXT(A1579,"yyyy-mm-dd")&amp;"|"&amp;B1579&amp;"|"&amp;C1579)</f>
        <v/>
      </c>
    </row>
    <row r="1580">
      <c r="A1580" s="4" t="n"/>
      <c r="D1580" s="5" t="n"/>
      <c r="E1580" s="5" t="n"/>
      <c r="G1580" s="6">
        <f>IF(OR(A1580="",D1580="",E1580=""),"",ROUND(MOD(E1580-D1580,1)*24-N(F1580)/60,2))</f>
        <v/>
      </c>
      <c r="H1580" s="7">
        <f>IF(C1580="","",IFERROR(INDEX(Sites!$B$2:$B$501,MATCH(C1580,Sites!$A$2:$A$501,0)),"?"))</f>
        <v/>
      </c>
      <c r="I1580" s="8">
        <f>IF(A1580="","",A1580-WEEKDAY(A1580,3))</f>
        <v/>
      </c>
      <c r="K1580" s="7">
        <f>IF(A1580="","",IF(OR(B1580="",C1580="",D1580="",E1580=""),"Missing info",IF(ISNA(MATCH(B1580,Staff!$A$2:$A$101,0)),"Unknown employee",IF(H1580="?","Unknown site",IF(G1580&lt;=0,"Check times",IF(G1580&gt;12,"Over 12h",IF(COUNTIFS($L$2:$L$2001,L1580)&gt;1,"Duplicate?",IF(A1580&gt;TODAY(),"Future date","OK"))))))))</f>
        <v/>
      </c>
      <c r="L1580">
        <f>IF(A1580="","",TEXT(A1580,"yyyy-mm-dd")&amp;"|"&amp;B1580&amp;"|"&amp;C1580)</f>
        <v/>
      </c>
    </row>
    <row r="1581">
      <c r="A1581" s="4" t="n"/>
      <c r="D1581" s="5" t="n"/>
      <c r="E1581" s="5" t="n"/>
      <c r="G1581" s="6">
        <f>IF(OR(A1581="",D1581="",E1581=""),"",ROUND(MOD(E1581-D1581,1)*24-N(F1581)/60,2))</f>
        <v/>
      </c>
      <c r="H1581" s="7">
        <f>IF(C1581="","",IFERROR(INDEX(Sites!$B$2:$B$501,MATCH(C1581,Sites!$A$2:$A$501,0)),"?"))</f>
        <v/>
      </c>
      <c r="I1581" s="8">
        <f>IF(A1581="","",A1581-WEEKDAY(A1581,3))</f>
        <v/>
      </c>
      <c r="K1581" s="7">
        <f>IF(A1581="","",IF(OR(B1581="",C1581="",D1581="",E1581=""),"Missing info",IF(ISNA(MATCH(B1581,Staff!$A$2:$A$101,0)),"Unknown employee",IF(H1581="?","Unknown site",IF(G1581&lt;=0,"Check times",IF(G1581&gt;12,"Over 12h",IF(COUNTIFS($L$2:$L$2001,L1581)&gt;1,"Duplicate?",IF(A1581&gt;TODAY(),"Future date","OK"))))))))</f>
        <v/>
      </c>
      <c r="L1581">
        <f>IF(A1581="","",TEXT(A1581,"yyyy-mm-dd")&amp;"|"&amp;B1581&amp;"|"&amp;C1581)</f>
        <v/>
      </c>
    </row>
    <row r="1582">
      <c r="A1582" s="4" t="n"/>
      <c r="D1582" s="5" t="n"/>
      <c r="E1582" s="5" t="n"/>
      <c r="G1582" s="6">
        <f>IF(OR(A1582="",D1582="",E1582=""),"",ROUND(MOD(E1582-D1582,1)*24-N(F1582)/60,2))</f>
        <v/>
      </c>
      <c r="H1582" s="7">
        <f>IF(C1582="","",IFERROR(INDEX(Sites!$B$2:$B$501,MATCH(C1582,Sites!$A$2:$A$501,0)),"?"))</f>
        <v/>
      </c>
      <c r="I1582" s="8">
        <f>IF(A1582="","",A1582-WEEKDAY(A1582,3))</f>
        <v/>
      </c>
      <c r="K1582" s="7">
        <f>IF(A1582="","",IF(OR(B1582="",C1582="",D1582="",E1582=""),"Missing info",IF(ISNA(MATCH(B1582,Staff!$A$2:$A$101,0)),"Unknown employee",IF(H1582="?","Unknown site",IF(G1582&lt;=0,"Check times",IF(G1582&gt;12,"Over 12h",IF(COUNTIFS($L$2:$L$2001,L1582)&gt;1,"Duplicate?",IF(A1582&gt;TODAY(),"Future date","OK"))))))))</f>
        <v/>
      </c>
      <c r="L1582">
        <f>IF(A1582="","",TEXT(A1582,"yyyy-mm-dd")&amp;"|"&amp;B1582&amp;"|"&amp;C1582)</f>
        <v/>
      </c>
    </row>
    <row r="1583">
      <c r="A1583" s="4" t="n"/>
      <c r="D1583" s="5" t="n"/>
      <c r="E1583" s="5" t="n"/>
      <c r="G1583" s="6">
        <f>IF(OR(A1583="",D1583="",E1583=""),"",ROUND(MOD(E1583-D1583,1)*24-N(F1583)/60,2))</f>
        <v/>
      </c>
      <c r="H1583" s="7">
        <f>IF(C1583="","",IFERROR(INDEX(Sites!$B$2:$B$501,MATCH(C1583,Sites!$A$2:$A$501,0)),"?"))</f>
        <v/>
      </c>
      <c r="I1583" s="8">
        <f>IF(A1583="","",A1583-WEEKDAY(A1583,3))</f>
        <v/>
      </c>
      <c r="K1583" s="7">
        <f>IF(A1583="","",IF(OR(B1583="",C1583="",D1583="",E1583=""),"Missing info",IF(ISNA(MATCH(B1583,Staff!$A$2:$A$101,0)),"Unknown employee",IF(H1583="?","Unknown site",IF(G1583&lt;=0,"Check times",IF(G1583&gt;12,"Over 12h",IF(COUNTIFS($L$2:$L$2001,L1583)&gt;1,"Duplicate?",IF(A1583&gt;TODAY(),"Future date","OK"))))))))</f>
        <v/>
      </c>
      <c r="L1583">
        <f>IF(A1583="","",TEXT(A1583,"yyyy-mm-dd")&amp;"|"&amp;B1583&amp;"|"&amp;C1583)</f>
        <v/>
      </c>
    </row>
    <row r="1584">
      <c r="A1584" s="4" t="n"/>
      <c r="D1584" s="5" t="n"/>
      <c r="E1584" s="5" t="n"/>
      <c r="G1584" s="6">
        <f>IF(OR(A1584="",D1584="",E1584=""),"",ROUND(MOD(E1584-D1584,1)*24-N(F1584)/60,2))</f>
        <v/>
      </c>
      <c r="H1584" s="7">
        <f>IF(C1584="","",IFERROR(INDEX(Sites!$B$2:$B$501,MATCH(C1584,Sites!$A$2:$A$501,0)),"?"))</f>
        <v/>
      </c>
      <c r="I1584" s="8">
        <f>IF(A1584="","",A1584-WEEKDAY(A1584,3))</f>
        <v/>
      </c>
      <c r="K1584" s="7">
        <f>IF(A1584="","",IF(OR(B1584="",C1584="",D1584="",E1584=""),"Missing info",IF(ISNA(MATCH(B1584,Staff!$A$2:$A$101,0)),"Unknown employee",IF(H1584="?","Unknown site",IF(G1584&lt;=0,"Check times",IF(G1584&gt;12,"Over 12h",IF(COUNTIFS($L$2:$L$2001,L1584)&gt;1,"Duplicate?",IF(A1584&gt;TODAY(),"Future date","OK"))))))))</f>
        <v/>
      </c>
      <c r="L1584">
        <f>IF(A1584="","",TEXT(A1584,"yyyy-mm-dd")&amp;"|"&amp;B1584&amp;"|"&amp;C1584)</f>
        <v/>
      </c>
    </row>
    <row r="1585">
      <c r="A1585" s="4" t="n"/>
      <c r="D1585" s="5" t="n"/>
      <c r="E1585" s="5" t="n"/>
      <c r="G1585" s="6">
        <f>IF(OR(A1585="",D1585="",E1585=""),"",ROUND(MOD(E1585-D1585,1)*24-N(F1585)/60,2))</f>
        <v/>
      </c>
      <c r="H1585" s="7">
        <f>IF(C1585="","",IFERROR(INDEX(Sites!$B$2:$B$501,MATCH(C1585,Sites!$A$2:$A$501,0)),"?"))</f>
        <v/>
      </c>
      <c r="I1585" s="8">
        <f>IF(A1585="","",A1585-WEEKDAY(A1585,3))</f>
        <v/>
      </c>
      <c r="K1585" s="7">
        <f>IF(A1585="","",IF(OR(B1585="",C1585="",D1585="",E1585=""),"Missing info",IF(ISNA(MATCH(B1585,Staff!$A$2:$A$101,0)),"Unknown employee",IF(H1585="?","Unknown site",IF(G1585&lt;=0,"Check times",IF(G1585&gt;12,"Over 12h",IF(COUNTIFS($L$2:$L$2001,L1585)&gt;1,"Duplicate?",IF(A1585&gt;TODAY(),"Future date","OK"))))))))</f>
        <v/>
      </c>
      <c r="L1585">
        <f>IF(A1585="","",TEXT(A1585,"yyyy-mm-dd")&amp;"|"&amp;B1585&amp;"|"&amp;C1585)</f>
        <v/>
      </c>
    </row>
    <row r="1586">
      <c r="A1586" s="4" t="n"/>
      <c r="D1586" s="5" t="n"/>
      <c r="E1586" s="5" t="n"/>
      <c r="G1586" s="6">
        <f>IF(OR(A1586="",D1586="",E1586=""),"",ROUND(MOD(E1586-D1586,1)*24-N(F1586)/60,2))</f>
        <v/>
      </c>
      <c r="H1586" s="7">
        <f>IF(C1586="","",IFERROR(INDEX(Sites!$B$2:$B$501,MATCH(C1586,Sites!$A$2:$A$501,0)),"?"))</f>
        <v/>
      </c>
      <c r="I1586" s="8">
        <f>IF(A1586="","",A1586-WEEKDAY(A1586,3))</f>
        <v/>
      </c>
      <c r="K1586" s="7">
        <f>IF(A1586="","",IF(OR(B1586="",C1586="",D1586="",E1586=""),"Missing info",IF(ISNA(MATCH(B1586,Staff!$A$2:$A$101,0)),"Unknown employee",IF(H1586="?","Unknown site",IF(G1586&lt;=0,"Check times",IF(G1586&gt;12,"Over 12h",IF(COUNTIFS($L$2:$L$2001,L1586)&gt;1,"Duplicate?",IF(A1586&gt;TODAY(),"Future date","OK"))))))))</f>
        <v/>
      </c>
      <c r="L1586">
        <f>IF(A1586="","",TEXT(A1586,"yyyy-mm-dd")&amp;"|"&amp;B1586&amp;"|"&amp;C1586)</f>
        <v/>
      </c>
    </row>
    <row r="1587">
      <c r="A1587" s="4" t="n"/>
      <c r="D1587" s="5" t="n"/>
      <c r="E1587" s="5" t="n"/>
      <c r="G1587" s="6">
        <f>IF(OR(A1587="",D1587="",E1587=""),"",ROUND(MOD(E1587-D1587,1)*24-N(F1587)/60,2))</f>
        <v/>
      </c>
      <c r="H1587" s="7">
        <f>IF(C1587="","",IFERROR(INDEX(Sites!$B$2:$B$501,MATCH(C1587,Sites!$A$2:$A$501,0)),"?"))</f>
        <v/>
      </c>
      <c r="I1587" s="8">
        <f>IF(A1587="","",A1587-WEEKDAY(A1587,3))</f>
        <v/>
      </c>
      <c r="K1587" s="7">
        <f>IF(A1587="","",IF(OR(B1587="",C1587="",D1587="",E1587=""),"Missing info",IF(ISNA(MATCH(B1587,Staff!$A$2:$A$101,0)),"Unknown employee",IF(H1587="?","Unknown site",IF(G1587&lt;=0,"Check times",IF(G1587&gt;12,"Over 12h",IF(COUNTIFS($L$2:$L$2001,L1587)&gt;1,"Duplicate?",IF(A1587&gt;TODAY(),"Future date","OK"))))))))</f>
        <v/>
      </c>
      <c r="L1587">
        <f>IF(A1587="","",TEXT(A1587,"yyyy-mm-dd")&amp;"|"&amp;B1587&amp;"|"&amp;C1587)</f>
        <v/>
      </c>
    </row>
    <row r="1588">
      <c r="A1588" s="4" t="n"/>
      <c r="D1588" s="5" t="n"/>
      <c r="E1588" s="5" t="n"/>
      <c r="G1588" s="6">
        <f>IF(OR(A1588="",D1588="",E1588=""),"",ROUND(MOD(E1588-D1588,1)*24-N(F1588)/60,2))</f>
        <v/>
      </c>
      <c r="H1588" s="7">
        <f>IF(C1588="","",IFERROR(INDEX(Sites!$B$2:$B$501,MATCH(C1588,Sites!$A$2:$A$501,0)),"?"))</f>
        <v/>
      </c>
      <c r="I1588" s="8">
        <f>IF(A1588="","",A1588-WEEKDAY(A1588,3))</f>
        <v/>
      </c>
      <c r="K1588" s="7">
        <f>IF(A1588="","",IF(OR(B1588="",C1588="",D1588="",E1588=""),"Missing info",IF(ISNA(MATCH(B1588,Staff!$A$2:$A$101,0)),"Unknown employee",IF(H1588="?","Unknown site",IF(G1588&lt;=0,"Check times",IF(G1588&gt;12,"Over 12h",IF(COUNTIFS($L$2:$L$2001,L1588)&gt;1,"Duplicate?",IF(A1588&gt;TODAY(),"Future date","OK"))))))))</f>
        <v/>
      </c>
      <c r="L1588">
        <f>IF(A1588="","",TEXT(A1588,"yyyy-mm-dd")&amp;"|"&amp;B1588&amp;"|"&amp;C1588)</f>
        <v/>
      </c>
    </row>
    <row r="1589">
      <c r="A1589" s="4" t="n"/>
      <c r="D1589" s="5" t="n"/>
      <c r="E1589" s="5" t="n"/>
      <c r="G1589" s="6">
        <f>IF(OR(A1589="",D1589="",E1589=""),"",ROUND(MOD(E1589-D1589,1)*24-N(F1589)/60,2))</f>
        <v/>
      </c>
      <c r="H1589" s="7">
        <f>IF(C1589="","",IFERROR(INDEX(Sites!$B$2:$B$501,MATCH(C1589,Sites!$A$2:$A$501,0)),"?"))</f>
        <v/>
      </c>
      <c r="I1589" s="8">
        <f>IF(A1589="","",A1589-WEEKDAY(A1589,3))</f>
        <v/>
      </c>
      <c r="K1589" s="7">
        <f>IF(A1589="","",IF(OR(B1589="",C1589="",D1589="",E1589=""),"Missing info",IF(ISNA(MATCH(B1589,Staff!$A$2:$A$101,0)),"Unknown employee",IF(H1589="?","Unknown site",IF(G1589&lt;=0,"Check times",IF(G1589&gt;12,"Over 12h",IF(COUNTIFS($L$2:$L$2001,L1589)&gt;1,"Duplicate?",IF(A1589&gt;TODAY(),"Future date","OK"))))))))</f>
        <v/>
      </c>
      <c r="L1589">
        <f>IF(A1589="","",TEXT(A1589,"yyyy-mm-dd")&amp;"|"&amp;B1589&amp;"|"&amp;C1589)</f>
        <v/>
      </c>
    </row>
    <row r="1590">
      <c r="A1590" s="4" t="n"/>
      <c r="D1590" s="5" t="n"/>
      <c r="E1590" s="5" t="n"/>
      <c r="G1590" s="6">
        <f>IF(OR(A1590="",D1590="",E1590=""),"",ROUND(MOD(E1590-D1590,1)*24-N(F1590)/60,2))</f>
        <v/>
      </c>
      <c r="H1590" s="7">
        <f>IF(C1590="","",IFERROR(INDEX(Sites!$B$2:$B$501,MATCH(C1590,Sites!$A$2:$A$501,0)),"?"))</f>
        <v/>
      </c>
      <c r="I1590" s="8">
        <f>IF(A1590="","",A1590-WEEKDAY(A1590,3))</f>
        <v/>
      </c>
      <c r="K1590" s="7">
        <f>IF(A1590="","",IF(OR(B1590="",C1590="",D1590="",E1590=""),"Missing info",IF(ISNA(MATCH(B1590,Staff!$A$2:$A$101,0)),"Unknown employee",IF(H1590="?","Unknown site",IF(G1590&lt;=0,"Check times",IF(G1590&gt;12,"Over 12h",IF(COUNTIFS($L$2:$L$2001,L1590)&gt;1,"Duplicate?",IF(A1590&gt;TODAY(),"Future date","OK"))))))))</f>
        <v/>
      </c>
      <c r="L1590">
        <f>IF(A1590="","",TEXT(A1590,"yyyy-mm-dd")&amp;"|"&amp;B1590&amp;"|"&amp;C1590)</f>
        <v/>
      </c>
    </row>
    <row r="1591">
      <c r="A1591" s="4" t="n"/>
      <c r="D1591" s="5" t="n"/>
      <c r="E1591" s="5" t="n"/>
      <c r="G1591" s="6">
        <f>IF(OR(A1591="",D1591="",E1591=""),"",ROUND(MOD(E1591-D1591,1)*24-N(F1591)/60,2))</f>
        <v/>
      </c>
      <c r="H1591" s="7">
        <f>IF(C1591="","",IFERROR(INDEX(Sites!$B$2:$B$501,MATCH(C1591,Sites!$A$2:$A$501,0)),"?"))</f>
        <v/>
      </c>
      <c r="I1591" s="8">
        <f>IF(A1591="","",A1591-WEEKDAY(A1591,3))</f>
        <v/>
      </c>
      <c r="K1591" s="7">
        <f>IF(A1591="","",IF(OR(B1591="",C1591="",D1591="",E1591=""),"Missing info",IF(ISNA(MATCH(B1591,Staff!$A$2:$A$101,0)),"Unknown employee",IF(H1591="?","Unknown site",IF(G1591&lt;=0,"Check times",IF(G1591&gt;12,"Over 12h",IF(COUNTIFS($L$2:$L$2001,L1591)&gt;1,"Duplicate?",IF(A1591&gt;TODAY(),"Future date","OK"))))))))</f>
        <v/>
      </c>
      <c r="L1591">
        <f>IF(A1591="","",TEXT(A1591,"yyyy-mm-dd")&amp;"|"&amp;B1591&amp;"|"&amp;C1591)</f>
        <v/>
      </c>
    </row>
    <row r="1592">
      <c r="A1592" s="4" t="n"/>
      <c r="D1592" s="5" t="n"/>
      <c r="E1592" s="5" t="n"/>
      <c r="G1592" s="6">
        <f>IF(OR(A1592="",D1592="",E1592=""),"",ROUND(MOD(E1592-D1592,1)*24-N(F1592)/60,2))</f>
        <v/>
      </c>
      <c r="H1592" s="7">
        <f>IF(C1592="","",IFERROR(INDEX(Sites!$B$2:$B$501,MATCH(C1592,Sites!$A$2:$A$501,0)),"?"))</f>
        <v/>
      </c>
      <c r="I1592" s="8">
        <f>IF(A1592="","",A1592-WEEKDAY(A1592,3))</f>
        <v/>
      </c>
      <c r="K1592" s="7">
        <f>IF(A1592="","",IF(OR(B1592="",C1592="",D1592="",E1592=""),"Missing info",IF(ISNA(MATCH(B1592,Staff!$A$2:$A$101,0)),"Unknown employee",IF(H1592="?","Unknown site",IF(G1592&lt;=0,"Check times",IF(G1592&gt;12,"Over 12h",IF(COUNTIFS($L$2:$L$2001,L1592)&gt;1,"Duplicate?",IF(A1592&gt;TODAY(),"Future date","OK"))))))))</f>
        <v/>
      </c>
      <c r="L1592">
        <f>IF(A1592="","",TEXT(A1592,"yyyy-mm-dd")&amp;"|"&amp;B1592&amp;"|"&amp;C1592)</f>
        <v/>
      </c>
    </row>
    <row r="1593">
      <c r="A1593" s="4" t="n"/>
      <c r="D1593" s="5" t="n"/>
      <c r="E1593" s="5" t="n"/>
      <c r="G1593" s="6">
        <f>IF(OR(A1593="",D1593="",E1593=""),"",ROUND(MOD(E1593-D1593,1)*24-N(F1593)/60,2))</f>
        <v/>
      </c>
      <c r="H1593" s="7">
        <f>IF(C1593="","",IFERROR(INDEX(Sites!$B$2:$B$501,MATCH(C1593,Sites!$A$2:$A$501,0)),"?"))</f>
        <v/>
      </c>
      <c r="I1593" s="8">
        <f>IF(A1593="","",A1593-WEEKDAY(A1593,3))</f>
        <v/>
      </c>
      <c r="K1593" s="7">
        <f>IF(A1593="","",IF(OR(B1593="",C1593="",D1593="",E1593=""),"Missing info",IF(ISNA(MATCH(B1593,Staff!$A$2:$A$101,0)),"Unknown employee",IF(H1593="?","Unknown site",IF(G1593&lt;=0,"Check times",IF(G1593&gt;12,"Over 12h",IF(COUNTIFS($L$2:$L$2001,L1593)&gt;1,"Duplicate?",IF(A1593&gt;TODAY(),"Future date","OK"))))))))</f>
        <v/>
      </c>
      <c r="L1593">
        <f>IF(A1593="","",TEXT(A1593,"yyyy-mm-dd")&amp;"|"&amp;B1593&amp;"|"&amp;C1593)</f>
        <v/>
      </c>
    </row>
    <row r="1594">
      <c r="A1594" s="4" t="n"/>
      <c r="D1594" s="5" t="n"/>
      <c r="E1594" s="5" t="n"/>
      <c r="G1594" s="6">
        <f>IF(OR(A1594="",D1594="",E1594=""),"",ROUND(MOD(E1594-D1594,1)*24-N(F1594)/60,2))</f>
        <v/>
      </c>
      <c r="H1594" s="7">
        <f>IF(C1594="","",IFERROR(INDEX(Sites!$B$2:$B$501,MATCH(C1594,Sites!$A$2:$A$501,0)),"?"))</f>
        <v/>
      </c>
      <c r="I1594" s="8">
        <f>IF(A1594="","",A1594-WEEKDAY(A1594,3))</f>
        <v/>
      </c>
      <c r="K1594" s="7">
        <f>IF(A1594="","",IF(OR(B1594="",C1594="",D1594="",E1594=""),"Missing info",IF(ISNA(MATCH(B1594,Staff!$A$2:$A$101,0)),"Unknown employee",IF(H1594="?","Unknown site",IF(G1594&lt;=0,"Check times",IF(G1594&gt;12,"Over 12h",IF(COUNTIFS($L$2:$L$2001,L1594)&gt;1,"Duplicate?",IF(A1594&gt;TODAY(),"Future date","OK"))))))))</f>
        <v/>
      </c>
      <c r="L1594">
        <f>IF(A1594="","",TEXT(A1594,"yyyy-mm-dd")&amp;"|"&amp;B1594&amp;"|"&amp;C1594)</f>
        <v/>
      </c>
    </row>
    <row r="1595">
      <c r="A1595" s="4" t="n"/>
      <c r="D1595" s="5" t="n"/>
      <c r="E1595" s="5" t="n"/>
      <c r="G1595" s="6">
        <f>IF(OR(A1595="",D1595="",E1595=""),"",ROUND(MOD(E1595-D1595,1)*24-N(F1595)/60,2))</f>
        <v/>
      </c>
      <c r="H1595" s="7">
        <f>IF(C1595="","",IFERROR(INDEX(Sites!$B$2:$B$501,MATCH(C1595,Sites!$A$2:$A$501,0)),"?"))</f>
        <v/>
      </c>
      <c r="I1595" s="8">
        <f>IF(A1595="","",A1595-WEEKDAY(A1595,3))</f>
        <v/>
      </c>
      <c r="K1595" s="7">
        <f>IF(A1595="","",IF(OR(B1595="",C1595="",D1595="",E1595=""),"Missing info",IF(ISNA(MATCH(B1595,Staff!$A$2:$A$101,0)),"Unknown employee",IF(H1595="?","Unknown site",IF(G1595&lt;=0,"Check times",IF(G1595&gt;12,"Over 12h",IF(COUNTIFS($L$2:$L$2001,L1595)&gt;1,"Duplicate?",IF(A1595&gt;TODAY(),"Future date","OK"))))))))</f>
        <v/>
      </c>
      <c r="L1595">
        <f>IF(A1595="","",TEXT(A1595,"yyyy-mm-dd")&amp;"|"&amp;B1595&amp;"|"&amp;C1595)</f>
        <v/>
      </c>
    </row>
    <row r="1596">
      <c r="A1596" s="4" t="n"/>
      <c r="D1596" s="5" t="n"/>
      <c r="E1596" s="5" t="n"/>
      <c r="G1596" s="6">
        <f>IF(OR(A1596="",D1596="",E1596=""),"",ROUND(MOD(E1596-D1596,1)*24-N(F1596)/60,2))</f>
        <v/>
      </c>
      <c r="H1596" s="7">
        <f>IF(C1596="","",IFERROR(INDEX(Sites!$B$2:$B$501,MATCH(C1596,Sites!$A$2:$A$501,0)),"?"))</f>
        <v/>
      </c>
      <c r="I1596" s="8">
        <f>IF(A1596="","",A1596-WEEKDAY(A1596,3))</f>
        <v/>
      </c>
      <c r="K1596" s="7">
        <f>IF(A1596="","",IF(OR(B1596="",C1596="",D1596="",E1596=""),"Missing info",IF(ISNA(MATCH(B1596,Staff!$A$2:$A$101,0)),"Unknown employee",IF(H1596="?","Unknown site",IF(G1596&lt;=0,"Check times",IF(G1596&gt;12,"Over 12h",IF(COUNTIFS($L$2:$L$2001,L1596)&gt;1,"Duplicate?",IF(A1596&gt;TODAY(),"Future date","OK"))))))))</f>
        <v/>
      </c>
      <c r="L1596">
        <f>IF(A1596="","",TEXT(A1596,"yyyy-mm-dd")&amp;"|"&amp;B1596&amp;"|"&amp;C1596)</f>
        <v/>
      </c>
    </row>
    <row r="1597">
      <c r="A1597" s="4" t="n"/>
      <c r="D1597" s="5" t="n"/>
      <c r="E1597" s="5" t="n"/>
      <c r="G1597" s="6">
        <f>IF(OR(A1597="",D1597="",E1597=""),"",ROUND(MOD(E1597-D1597,1)*24-N(F1597)/60,2))</f>
        <v/>
      </c>
      <c r="H1597" s="7">
        <f>IF(C1597="","",IFERROR(INDEX(Sites!$B$2:$B$501,MATCH(C1597,Sites!$A$2:$A$501,0)),"?"))</f>
        <v/>
      </c>
      <c r="I1597" s="8">
        <f>IF(A1597="","",A1597-WEEKDAY(A1597,3))</f>
        <v/>
      </c>
      <c r="K1597" s="7">
        <f>IF(A1597="","",IF(OR(B1597="",C1597="",D1597="",E1597=""),"Missing info",IF(ISNA(MATCH(B1597,Staff!$A$2:$A$101,0)),"Unknown employee",IF(H1597="?","Unknown site",IF(G1597&lt;=0,"Check times",IF(G1597&gt;12,"Over 12h",IF(COUNTIFS($L$2:$L$2001,L1597)&gt;1,"Duplicate?",IF(A1597&gt;TODAY(),"Future date","OK"))))))))</f>
        <v/>
      </c>
      <c r="L1597">
        <f>IF(A1597="","",TEXT(A1597,"yyyy-mm-dd")&amp;"|"&amp;B1597&amp;"|"&amp;C1597)</f>
        <v/>
      </c>
    </row>
    <row r="1598">
      <c r="A1598" s="4" t="n"/>
      <c r="D1598" s="5" t="n"/>
      <c r="E1598" s="5" t="n"/>
      <c r="G1598" s="6">
        <f>IF(OR(A1598="",D1598="",E1598=""),"",ROUND(MOD(E1598-D1598,1)*24-N(F1598)/60,2))</f>
        <v/>
      </c>
      <c r="H1598" s="7">
        <f>IF(C1598="","",IFERROR(INDEX(Sites!$B$2:$B$501,MATCH(C1598,Sites!$A$2:$A$501,0)),"?"))</f>
        <v/>
      </c>
      <c r="I1598" s="8">
        <f>IF(A1598="","",A1598-WEEKDAY(A1598,3))</f>
        <v/>
      </c>
      <c r="K1598" s="7">
        <f>IF(A1598="","",IF(OR(B1598="",C1598="",D1598="",E1598=""),"Missing info",IF(ISNA(MATCH(B1598,Staff!$A$2:$A$101,0)),"Unknown employee",IF(H1598="?","Unknown site",IF(G1598&lt;=0,"Check times",IF(G1598&gt;12,"Over 12h",IF(COUNTIFS($L$2:$L$2001,L1598)&gt;1,"Duplicate?",IF(A1598&gt;TODAY(),"Future date","OK"))))))))</f>
        <v/>
      </c>
      <c r="L1598">
        <f>IF(A1598="","",TEXT(A1598,"yyyy-mm-dd")&amp;"|"&amp;B1598&amp;"|"&amp;C1598)</f>
        <v/>
      </c>
    </row>
    <row r="1599">
      <c r="A1599" s="4" t="n"/>
      <c r="D1599" s="5" t="n"/>
      <c r="E1599" s="5" t="n"/>
      <c r="G1599" s="6">
        <f>IF(OR(A1599="",D1599="",E1599=""),"",ROUND(MOD(E1599-D1599,1)*24-N(F1599)/60,2))</f>
        <v/>
      </c>
      <c r="H1599" s="7">
        <f>IF(C1599="","",IFERROR(INDEX(Sites!$B$2:$B$501,MATCH(C1599,Sites!$A$2:$A$501,0)),"?"))</f>
        <v/>
      </c>
      <c r="I1599" s="8">
        <f>IF(A1599="","",A1599-WEEKDAY(A1599,3))</f>
        <v/>
      </c>
      <c r="K1599" s="7">
        <f>IF(A1599="","",IF(OR(B1599="",C1599="",D1599="",E1599=""),"Missing info",IF(ISNA(MATCH(B1599,Staff!$A$2:$A$101,0)),"Unknown employee",IF(H1599="?","Unknown site",IF(G1599&lt;=0,"Check times",IF(G1599&gt;12,"Over 12h",IF(COUNTIFS($L$2:$L$2001,L1599)&gt;1,"Duplicate?",IF(A1599&gt;TODAY(),"Future date","OK"))))))))</f>
        <v/>
      </c>
      <c r="L1599">
        <f>IF(A1599="","",TEXT(A1599,"yyyy-mm-dd")&amp;"|"&amp;B1599&amp;"|"&amp;C1599)</f>
        <v/>
      </c>
    </row>
    <row r="1600">
      <c r="A1600" s="4" t="n"/>
      <c r="D1600" s="5" t="n"/>
      <c r="E1600" s="5" t="n"/>
      <c r="G1600" s="6">
        <f>IF(OR(A1600="",D1600="",E1600=""),"",ROUND(MOD(E1600-D1600,1)*24-N(F1600)/60,2))</f>
        <v/>
      </c>
      <c r="H1600" s="7">
        <f>IF(C1600="","",IFERROR(INDEX(Sites!$B$2:$B$501,MATCH(C1600,Sites!$A$2:$A$501,0)),"?"))</f>
        <v/>
      </c>
      <c r="I1600" s="8">
        <f>IF(A1600="","",A1600-WEEKDAY(A1600,3))</f>
        <v/>
      </c>
      <c r="K1600" s="7">
        <f>IF(A1600="","",IF(OR(B1600="",C1600="",D1600="",E1600=""),"Missing info",IF(ISNA(MATCH(B1600,Staff!$A$2:$A$101,0)),"Unknown employee",IF(H1600="?","Unknown site",IF(G1600&lt;=0,"Check times",IF(G1600&gt;12,"Over 12h",IF(COUNTIFS($L$2:$L$2001,L1600)&gt;1,"Duplicate?",IF(A1600&gt;TODAY(),"Future date","OK"))))))))</f>
        <v/>
      </c>
      <c r="L1600">
        <f>IF(A1600="","",TEXT(A1600,"yyyy-mm-dd")&amp;"|"&amp;B1600&amp;"|"&amp;C1600)</f>
        <v/>
      </c>
    </row>
    <row r="1601">
      <c r="A1601" s="4" t="n"/>
      <c r="D1601" s="5" t="n"/>
      <c r="E1601" s="5" t="n"/>
      <c r="G1601" s="6">
        <f>IF(OR(A1601="",D1601="",E1601=""),"",ROUND(MOD(E1601-D1601,1)*24-N(F1601)/60,2))</f>
        <v/>
      </c>
      <c r="H1601" s="7">
        <f>IF(C1601="","",IFERROR(INDEX(Sites!$B$2:$B$501,MATCH(C1601,Sites!$A$2:$A$501,0)),"?"))</f>
        <v/>
      </c>
      <c r="I1601" s="8">
        <f>IF(A1601="","",A1601-WEEKDAY(A1601,3))</f>
        <v/>
      </c>
      <c r="K1601" s="7">
        <f>IF(A1601="","",IF(OR(B1601="",C1601="",D1601="",E1601=""),"Missing info",IF(ISNA(MATCH(B1601,Staff!$A$2:$A$101,0)),"Unknown employee",IF(H1601="?","Unknown site",IF(G1601&lt;=0,"Check times",IF(G1601&gt;12,"Over 12h",IF(COUNTIFS($L$2:$L$2001,L1601)&gt;1,"Duplicate?",IF(A1601&gt;TODAY(),"Future date","OK"))))))))</f>
        <v/>
      </c>
      <c r="L1601">
        <f>IF(A1601="","",TEXT(A1601,"yyyy-mm-dd")&amp;"|"&amp;B1601&amp;"|"&amp;C1601)</f>
        <v/>
      </c>
    </row>
    <row r="1602">
      <c r="A1602" s="4" t="n"/>
      <c r="D1602" s="5" t="n"/>
      <c r="E1602" s="5" t="n"/>
      <c r="G1602" s="6">
        <f>IF(OR(A1602="",D1602="",E1602=""),"",ROUND(MOD(E1602-D1602,1)*24-N(F1602)/60,2))</f>
        <v/>
      </c>
      <c r="H1602" s="7">
        <f>IF(C1602="","",IFERROR(INDEX(Sites!$B$2:$B$501,MATCH(C1602,Sites!$A$2:$A$501,0)),"?"))</f>
        <v/>
      </c>
      <c r="I1602" s="8">
        <f>IF(A1602="","",A1602-WEEKDAY(A1602,3))</f>
        <v/>
      </c>
      <c r="K1602" s="7">
        <f>IF(A1602="","",IF(OR(B1602="",C1602="",D1602="",E1602=""),"Missing info",IF(ISNA(MATCH(B1602,Staff!$A$2:$A$101,0)),"Unknown employee",IF(H1602="?","Unknown site",IF(G1602&lt;=0,"Check times",IF(G1602&gt;12,"Over 12h",IF(COUNTIFS($L$2:$L$2001,L1602)&gt;1,"Duplicate?",IF(A1602&gt;TODAY(),"Future date","OK"))))))))</f>
        <v/>
      </c>
      <c r="L1602">
        <f>IF(A1602="","",TEXT(A1602,"yyyy-mm-dd")&amp;"|"&amp;B1602&amp;"|"&amp;C1602)</f>
        <v/>
      </c>
    </row>
    <row r="1603">
      <c r="A1603" s="4" t="n"/>
      <c r="D1603" s="5" t="n"/>
      <c r="E1603" s="5" t="n"/>
      <c r="G1603" s="6">
        <f>IF(OR(A1603="",D1603="",E1603=""),"",ROUND(MOD(E1603-D1603,1)*24-N(F1603)/60,2))</f>
        <v/>
      </c>
      <c r="H1603" s="7">
        <f>IF(C1603="","",IFERROR(INDEX(Sites!$B$2:$B$501,MATCH(C1603,Sites!$A$2:$A$501,0)),"?"))</f>
        <v/>
      </c>
      <c r="I1603" s="8">
        <f>IF(A1603="","",A1603-WEEKDAY(A1603,3))</f>
        <v/>
      </c>
      <c r="K1603" s="7">
        <f>IF(A1603="","",IF(OR(B1603="",C1603="",D1603="",E1603=""),"Missing info",IF(ISNA(MATCH(B1603,Staff!$A$2:$A$101,0)),"Unknown employee",IF(H1603="?","Unknown site",IF(G1603&lt;=0,"Check times",IF(G1603&gt;12,"Over 12h",IF(COUNTIFS($L$2:$L$2001,L1603)&gt;1,"Duplicate?",IF(A1603&gt;TODAY(),"Future date","OK"))))))))</f>
        <v/>
      </c>
      <c r="L1603">
        <f>IF(A1603="","",TEXT(A1603,"yyyy-mm-dd")&amp;"|"&amp;B1603&amp;"|"&amp;C1603)</f>
        <v/>
      </c>
    </row>
    <row r="1604">
      <c r="A1604" s="4" t="n"/>
      <c r="D1604" s="5" t="n"/>
      <c r="E1604" s="5" t="n"/>
      <c r="G1604" s="6">
        <f>IF(OR(A1604="",D1604="",E1604=""),"",ROUND(MOD(E1604-D1604,1)*24-N(F1604)/60,2))</f>
        <v/>
      </c>
      <c r="H1604" s="7">
        <f>IF(C1604="","",IFERROR(INDEX(Sites!$B$2:$B$501,MATCH(C1604,Sites!$A$2:$A$501,0)),"?"))</f>
        <v/>
      </c>
      <c r="I1604" s="8">
        <f>IF(A1604="","",A1604-WEEKDAY(A1604,3))</f>
        <v/>
      </c>
      <c r="K1604" s="7">
        <f>IF(A1604="","",IF(OR(B1604="",C1604="",D1604="",E1604=""),"Missing info",IF(ISNA(MATCH(B1604,Staff!$A$2:$A$101,0)),"Unknown employee",IF(H1604="?","Unknown site",IF(G1604&lt;=0,"Check times",IF(G1604&gt;12,"Over 12h",IF(COUNTIFS($L$2:$L$2001,L1604)&gt;1,"Duplicate?",IF(A1604&gt;TODAY(),"Future date","OK"))))))))</f>
        <v/>
      </c>
      <c r="L1604">
        <f>IF(A1604="","",TEXT(A1604,"yyyy-mm-dd")&amp;"|"&amp;B1604&amp;"|"&amp;C1604)</f>
        <v/>
      </c>
    </row>
    <row r="1605">
      <c r="A1605" s="4" t="n"/>
      <c r="D1605" s="5" t="n"/>
      <c r="E1605" s="5" t="n"/>
      <c r="G1605" s="6">
        <f>IF(OR(A1605="",D1605="",E1605=""),"",ROUND(MOD(E1605-D1605,1)*24-N(F1605)/60,2))</f>
        <v/>
      </c>
      <c r="H1605" s="7">
        <f>IF(C1605="","",IFERROR(INDEX(Sites!$B$2:$B$501,MATCH(C1605,Sites!$A$2:$A$501,0)),"?"))</f>
        <v/>
      </c>
      <c r="I1605" s="8">
        <f>IF(A1605="","",A1605-WEEKDAY(A1605,3))</f>
        <v/>
      </c>
      <c r="K1605" s="7">
        <f>IF(A1605="","",IF(OR(B1605="",C1605="",D1605="",E1605=""),"Missing info",IF(ISNA(MATCH(B1605,Staff!$A$2:$A$101,0)),"Unknown employee",IF(H1605="?","Unknown site",IF(G1605&lt;=0,"Check times",IF(G1605&gt;12,"Over 12h",IF(COUNTIFS($L$2:$L$2001,L1605)&gt;1,"Duplicate?",IF(A1605&gt;TODAY(),"Future date","OK"))))))))</f>
        <v/>
      </c>
      <c r="L1605">
        <f>IF(A1605="","",TEXT(A1605,"yyyy-mm-dd")&amp;"|"&amp;B1605&amp;"|"&amp;C1605)</f>
        <v/>
      </c>
    </row>
    <row r="1606">
      <c r="A1606" s="4" t="n"/>
      <c r="D1606" s="5" t="n"/>
      <c r="E1606" s="5" t="n"/>
      <c r="G1606" s="6">
        <f>IF(OR(A1606="",D1606="",E1606=""),"",ROUND(MOD(E1606-D1606,1)*24-N(F1606)/60,2))</f>
        <v/>
      </c>
      <c r="H1606" s="7">
        <f>IF(C1606="","",IFERROR(INDEX(Sites!$B$2:$B$501,MATCH(C1606,Sites!$A$2:$A$501,0)),"?"))</f>
        <v/>
      </c>
      <c r="I1606" s="8">
        <f>IF(A1606="","",A1606-WEEKDAY(A1606,3))</f>
        <v/>
      </c>
      <c r="K1606" s="7">
        <f>IF(A1606="","",IF(OR(B1606="",C1606="",D1606="",E1606=""),"Missing info",IF(ISNA(MATCH(B1606,Staff!$A$2:$A$101,0)),"Unknown employee",IF(H1606="?","Unknown site",IF(G1606&lt;=0,"Check times",IF(G1606&gt;12,"Over 12h",IF(COUNTIFS($L$2:$L$2001,L1606)&gt;1,"Duplicate?",IF(A1606&gt;TODAY(),"Future date","OK"))))))))</f>
        <v/>
      </c>
      <c r="L1606">
        <f>IF(A1606="","",TEXT(A1606,"yyyy-mm-dd")&amp;"|"&amp;B1606&amp;"|"&amp;C1606)</f>
        <v/>
      </c>
    </row>
    <row r="1607">
      <c r="A1607" s="4" t="n"/>
      <c r="D1607" s="5" t="n"/>
      <c r="E1607" s="5" t="n"/>
      <c r="G1607" s="6">
        <f>IF(OR(A1607="",D1607="",E1607=""),"",ROUND(MOD(E1607-D1607,1)*24-N(F1607)/60,2))</f>
        <v/>
      </c>
      <c r="H1607" s="7">
        <f>IF(C1607="","",IFERROR(INDEX(Sites!$B$2:$B$501,MATCH(C1607,Sites!$A$2:$A$501,0)),"?"))</f>
        <v/>
      </c>
      <c r="I1607" s="8">
        <f>IF(A1607="","",A1607-WEEKDAY(A1607,3))</f>
        <v/>
      </c>
      <c r="K1607" s="7">
        <f>IF(A1607="","",IF(OR(B1607="",C1607="",D1607="",E1607=""),"Missing info",IF(ISNA(MATCH(B1607,Staff!$A$2:$A$101,0)),"Unknown employee",IF(H1607="?","Unknown site",IF(G1607&lt;=0,"Check times",IF(G1607&gt;12,"Over 12h",IF(COUNTIFS($L$2:$L$2001,L1607)&gt;1,"Duplicate?",IF(A1607&gt;TODAY(),"Future date","OK"))))))))</f>
        <v/>
      </c>
      <c r="L1607">
        <f>IF(A1607="","",TEXT(A1607,"yyyy-mm-dd")&amp;"|"&amp;B1607&amp;"|"&amp;C1607)</f>
        <v/>
      </c>
    </row>
    <row r="1608">
      <c r="A1608" s="4" t="n"/>
      <c r="D1608" s="5" t="n"/>
      <c r="E1608" s="5" t="n"/>
      <c r="G1608" s="6">
        <f>IF(OR(A1608="",D1608="",E1608=""),"",ROUND(MOD(E1608-D1608,1)*24-N(F1608)/60,2))</f>
        <v/>
      </c>
      <c r="H1608" s="7">
        <f>IF(C1608="","",IFERROR(INDEX(Sites!$B$2:$B$501,MATCH(C1608,Sites!$A$2:$A$501,0)),"?"))</f>
        <v/>
      </c>
      <c r="I1608" s="8">
        <f>IF(A1608="","",A1608-WEEKDAY(A1608,3))</f>
        <v/>
      </c>
      <c r="K1608" s="7">
        <f>IF(A1608="","",IF(OR(B1608="",C1608="",D1608="",E1608=""),"Missing info",IF(ISNA(MATCH(B1608,Staff!$A$2:$A$101,0)),"Unknown employee",IF(H1608="?","Unknown site",IF(G1608&lt;=0,"Check times",IF(G1608&gt;12,"Over 12h",IF(COUNTIFS($L$2:$L$2001,L1608)&gt;1,"Duplicate?",IF(A1608&gt;TODAY(),"Future date","OK"))))))))</f>
        <v/>
      </c>
      <c r="L1608">
        <f>IF(A1608="","",TEXT(A1608,"yyyy-mm-dd")&amp;"|"&amp;B1608&amp;"|"&amp;C1608)</f>
        <v/>
      </c>
    </row>
    <row r="1609">
      <c r="A1609" s="4" t="n"/>
      <c r="D1609" s="5" t="n"/>
      <c r="E1609" s="5" t="n"/>
      <c r="G1609" s="6">
        <f>IF(OR(A1609="",D1609="",E1609=""),"",ROUND(MOD(E1609-D1609,1)*24-N(F1609)/60,2))</f>
        <v/>
      </c>
      <c r="H1609" s="7">
        <f>IF(C1609="","",IFERROR(INDEX(Sites!$B$2:$B$501,MATCH(C1609,Sites!$A$2:$A$501,0)),"?"))</f>
        <v/>
      </c>
      <c r="I1609" s="8">
        <f>IF(A1609="","",A1609-WEEKDAY(A1609,3))</f>
        <v/>
      </c>
      <c r="K1609" s="7">
        <f>IF(A1609="","",IF(OR(B1609="",C1609="",D1609="",E1609=""),"Missing info",IF(ISNA(MATCH(B1609,Staff!$A$2:$A$101,0)),"Unknown employee",IF(H1609="?","Unknown site",IF(G1609&lt;=0,"Check times",IF(G1609&gt;12,"Over 12h",IF(COUNTIFS($L$2:$L$2001,L1609)&gt;1,"Duplicate?",IF(A1609&gt;TODAY(),"Future date","OK"))))))))</f>
        <v/>
      </c>
      <c r="L1609">
        <f>IF(A1609="","",TEXT(A1609,"yyyy-mm-dd")&amp;"|"&amp;B1609&amp;"|"&amp;C1609)</f>
        <v/>
      </c>
    </row>
    <row r="1610">
      <c r="A1610" s="4" t="n"/>
      <c r="D1610" s="5" t="n"/>
      <c r="E1610" s="5" t="n"/>
      <c r="G1610" s="6">
        <f>IF(OR(A1610="",D1610="",E1610=""),"",ROUND(MOD(E1610-D1610,1)*24-N(F1610)/60,2))</f>
        <v/>
      </c>
      <c r="H1610" s="7">
        <f>IF(C1610="","",IFERROR(INDEX(Sites!$B$2:$B$501,MATCH(C1610,Sites!$A$2:$A$501,0)),"?"))</f>
        <v/>
      </c>
      <c r="I1610" s="8">
        <f>IF(A1610="","",A1610-WEEKDAY(A1610,3))</f>
        <v/>
      </c>
      <c r="K1610" s="7">
        <f>IF(A1610="","",IF(OR(B1610="",C1610="",D1610="",E1610=""),"Missing info",IF(ISNA(MATCH(B1610,Staff!$A$2:$A$101,0)),"Unknown employee",IF(H1610="?","Unknown site",IF(G1610&lt;=0,"Check times",IF(G1610&gt;12,"Over 12h",IF(COUNTIFS($L$2:$L$2001,L1610)&gt;1,"Duplicate?",IF(A1610&gt;TODAY(),"Future date","OK"))))))))</f>
        <v/>
      </c>
      <c r="L1610">
        <f>IF(A1610="","",TEXT(A1610,"yyyy-mm-dd")&amp;"|"&amp;B1610&amp;"|"&amp;C1610)</f>
        <v/>
      </c>
    </row>
    <row r="1611">
      <c r="A1611" s="4" t="n"/>
      <c r="D1611" s="5" t="n"/>
      <c r="E1611" s="5" t="n"/>
      <c r="G1611" s="6">
        <f>IF(OR(A1611="",D1611="",E1611=""),"",ROUND(MOD(E1611-D1611,1)*24-N(F1611)/60,2))</f>
        <v/>
      </c>
      <c r="H1611" s="7">
        <f>IF(C1611="","",IFERROR(INDEX(Sites!$B$2:$B$501,MATCH(C1611,Sites!$A$2:$A$501,0)),"?"))</f>
        <v/>
      </c>
      <c r="I1611" s="8">
        <f>IF(A1611="","",A1611-WEEKDAY(A1611,3))</f>
        <v/>
      </c>
      <c r="K1611" s="7">
        <f>IF(A1611="","",IF(OR(B1611="",C1611="",D1611="",E1611=""),"Missing info",IF(ISNA(MATCH(B1611,Staff!$A$2:$A$101,0)),"Unknown employee",IF(H1611="?","Unknown site",IF(G1611&lt;=0,"Check times",IF(G1611&gt;12,"Over 12h",IF(COUNTIFS($L$2:$L$2001,L1611)&gt;1,"Duplicate?",IF(A1611&gt;TODAY(),"Future date","OK"))))))))</f>
        <v/>
      </c>
      <c r="L1611">
        <f>IF(A1611="","",TEXT(A1611,"yyyy-mm-dd")&amp;"|"&amp;B1611&amp;"|"&amp;C1611)</f>
        <v/>
      </c>
    </row>
    <row r="1612">
      <c r="A1612" s="4" t="n"/>
      <c r="D1612" s="5" t="n"/>
      <c r="E1612" s="5" t="n"/>
      <c r="G1612" s="6">
        <f>IF(OR(A1612="",D1612="",E1612=""),"",ROUND(MOD(E1612-D1612,1)*24-N(F1612)/60,2))</f>
        <v/>
      </c>
      <c r="H1612" s="7">
        <f>IF(C1612="","",IFERROR(INDEX(Sites!$B$2:$B$501,MATCH(C1612,Sites!$A$2:$A$501,0)),"?"))</f>
        <v/>
      </c>
      <c r="I1612" s="8">
        <f>IF(A1612="","",A1612-WEEKDAY(A1612,3))</f>
        <v/>
      </c>
      <c r="K1612" s="7">
        <f>IF(A1612="","",IF(OR(B1612="",C1612="",D1612="",E1612=""),"Missing info",IF(ISNA(MATCH(B1612,Staff!$A$2:$A$101,0)),"Unknown employee",IF(H1612="?","Unknown site",IF(G1612&lt;=0,"Check times",IF(G1612&gt;12,"Over 12h",IF(COUNTIFS($L$2:$L$2001,L1612)&gt;1,"Duplicate?",IF(A1612&gt;TODAY(),"Future date","OK"))))))))</f>
        <v/>
      </c>
      <c r="L1612">
        <f>IF(A1612="","",TEXT(A1612,"yyyy-mm-dd")&amp;"|"&amp;B1612&amp;"|"&amp;C1612)</f>
        <v/>
      </c>
    </row>
    <row r="1613">
      <c r="A1613" s="4" t="n"/>
      <c r="D1613" s="5" t="n"/>
      <c r="E1613" s="5" t="n"/>
      <c r="G1613" s="6">
        <f>IF(OR(A1613="",D1613="",E1613=""),"",ROUND(MOD(E1613-D1613,1)*24-N(F1613)/60,2))</f>
        <v/>
      </c>
      <c r="H1613" s="7">
        <f>IF(C1613="","",IFERROR(INDEX(Sites!$B$2:$B$501,MATCH(C1613,Sites!$A$2:$A$501,0)),"?"))</f>
        <v/>
      </c>
      <c r="I1613" s="8">
        <f>IF(A1613="","",A1613-WEEKDAY(A1613,3))</f>
        <v/>
      </c>
      <c r="K1613" s="7">
        <f>IF(A1613="","",IF(OR(B1613="",C1613="",D1613="",E1613=""),"Missing info",IF(ISNA(MATCH(B1613,Staff!$A$2:$A$101,0)),"Unknown employee",IF(H1613="?","Unknown site",IF(G1613&lt;=0,"Check times",IF(G1613&gt;12,"Over 12h",IF(COUNTIFS($L$2:$L$2001,L1613)&gt;1,"Duplicate?",IF(A1613&gt;TODAY(),"Future date","OK"))))))))</f>
        <v/>
      </c>
      <c r="L1613">
        <f>IF(A1613="","",TEXT(A1613,"yyyy-mm-dd")&amp;"|"&amp;B1613&amp;"|"&amp;C1613)</f>
        <v/>
      </c>
    </row>
    <row r="1614">
      <c r="A1614" s="4" t="n"/>
      <c r="D1614" s="5" t="n"/>
      <c r="E1614" s="5" t="n"/>
      <c r="G1614" s="6">
        <f>IF(OR(A1614="",D1614="",E1614=""),"",ROUND(MOD(E1614-D1614,1)*24-N(F1614)/60,2))</f>
        <v/>
      </c>
      <c r="H1614" s="7">
        <f>IF(C1614="","",IFERROR(INDEX(Sites!$B$2:$B$501,MATCH(C1614,Sites!$A$2:$A$501,0)),"?"))</f>
        <v/>
      </c>
      <c r="I1614" s="8">
        <f>IF(A1614="","",A1614-WEEKDAY(A1614,3))</f>
        <v/>
      </c>
      <c r="K1614" s="7">
        <f>IF(A1614="","",IF(OR(B1614="",C1614="",D1614="",E1614=""),"Missing info",IF(ISNA(MATCH(B1614,Staff!$A$2:$A$101,0)),"Unknown employee",IF(H1614="?","Unknown site",IF(G1614&lt;=0,"Check times",IF(G1614&gt;12,"Over 12h",IF(COUNTIFS($L$2:$L$2001,L1614)&gt;1,"Duplicate?",IF(A1614&gt;TODAY(),"Future date","OK"))))))))</f>
        <v/>
      </c>
      <c r="L1614">
        <f>IF(A1614="","",TEXT(A1614,"yyyy-mm-dd")&amp;"|"&amp;B1614&amp;"|"&amp;C1614)</f>
        <v/>
      </c>
    </row>
    <row r="1615">
      <c r="A1615" s="4" t="n"/>
      <c r="D1615" s="5" t="n"/>
      <c r="E1615" s="5" t="n"/>
      <c r="G1615" s="6">
        <f>IF(OR(A1615="",D1615="",E1615=""),"",ROUND(MOD(E1615-D1615,1)*24-N(F1615)/60,2))</f>
        <v/>
      </c>
      <c r="H1615" s="7">
        <f>IF(C1615="","",IFERROR(INDEX(Sites!$B$2:$B$501,MATCH(C1615,Sites!$A$2:$A$501,0)),"?"))</f>
        <v/>
      </c>
      <c r="I1615" s="8">
        <f>IF(A1615="","",A1615-WEEKDAY(A1615,3))</f>
        <v/>
      </c>
      <c r="K1615" s="7">
        <f>IF(A1615="","",IF(OR(B1615="",C1615="",D1615="",E1615=""),"Missing info",IF(ISNA(MATCH(B1615,Staff!$A$2:$A$101,0)),"Unknown employee",IF(H1615="?","Unknown site",IF(G1615&lt;=0,"Check times",IF(G1615&gt;12,"Over 12h",IF(COUNTIFS($L$2:$L$2001,L1615)&gt;1,"Duplicate?",IF(A1615&gt;TODAY(),"Future date","OK"))))))))</f>
        <v/>
      </c>
      <c r="L1615">
        <f>IF(A1615="","",TEXT(A1615,"yyyy-mm-dd")&amp;"|"&amp;B1615&amp;"|"&amp;C1615)</f>
        <v/>
      </c>
    </row>
    <row r="1616">
      <c r="A1616" s="4" t="n"/>
      <c r="D1616" s="5" t="n"/>
      <c r="E1616" s="5" t="n"/>
      <c r="G1616" s="6">
        <f>IF(OR(A1616="",D1616="",E1616=""),"",ROUND(MOD(E1616-D1616,1)*24-N(F1616)/60,2))</f>
        <v/>
      </c>
      <c r="H1616" s="7">
        <f>IF(C1616="","",IFERROR(INDEX(Sites!$B$2:$B$501,MATCH(C1616,Sites!$A$2:$A$501,0)),"?"))</f>
        <v/>
      </c>
      <c r="I1616" s="8">
        <f>IF(A1616="","",A1616-WEEKDAY(A1616,3))</f>
        <v/>
      </c>
      <c r="K1616" s="7">
        <f>IF(A1616="","",IF(OR(B1616="",C1616="",D1616="",E1616=""),"Missing info",IF(ISNA(MATCH(B1616,Staff!$A$2:$A$101,0)),"Unknown employee",IF(H1616="?","Unknown site",IF(G1616&lt;=0,"Check times",IF(G1616&gt;12,"Over 12h",IF(COUNTIFS($L$2:$L$2001,L1616)&gt;1,"Duplicate?",IF(A1616&gt;TODAY(),"Future date","OK"))))))))</f>
        <v/>
      </c>
      <c r="L1616">
        <f>IF(A1616="","",TEXT(A1616,"yyyy-mm-dd")&amp;"|"&amp;B1616&amp;"|"&amp;C1616)</f>
        <v/>
      </c>
    </row>
    <row r="1617">
      <c r="A1617" s="4" t="n"/>
      <c r="D1617" s="5" t="n"/>
      <c r="E1617" s="5" t="n"/>
      <c r="G1617" s="6">
        <f>IF(OR(A1617="",D1617="",E1617=""),"",ROUND(MOD(E1617-D1617,1)*24-N(F1617)/60,2))</f>
        <v/>
      </c>
      <c r="H1617" s="7">
        <f>IF(C1617="","",IFERROR(INDEX(Sites!$B$2:$B$501,MATCH(C1617,Sites!$A$2:$A$501,0)),"?"))</f>
        <v/>
      </c>
      <c r="I1617" s="8">
        <f>IF(A1617="","",A1617-WEEKDAY(A1617,3))</f>
        <v/>
      </c>
      <c r="K1617" s="7">
        <f>IF(A1617="","",IF(OR(B1617="",C1617="",D1617="",E1617=""),"Missing info",IF(ISNA(MATCH(B1617,Staff!$A$2:$A$101,0)),"Unknown employee",IF(H1617="?","Unknown site",IF(G1617&lt;=0,"Check times",IF(G1617&gt;12,"Over 12h",IF(COUNTIFS($L$2:$L$2001,L1617)&gt;1,"Duplicate?",IF(A1617&gt;TODAY(),"Future date","OK"))))))))</f>
        <v/>
      </c>
      <c r="L1617">
        <f>IF(A1617="","",TEXT(A1617,"yyyy-mm-dd")&amp;"|"&amp;B1617&amp;"|"&amp;C1617)</f>
        <v/>
      </c>
    </row>
    <row r="1618">
      <c r="A1618" s="4" t="n"/>
      <c r="D1618" s="5" t="n"/>
      <c r="E1618" s="5" t="n"/>
      <c r="G1618" s="6">
        <f>IF(OR(A1618="",D1618="",E1618=""),"",ROUND(MOD(E1618-D1618,1)*24-N(F1618)/60,2))</f>
        <v/>
      </c>
      <c r="H1618" s="7">
        <f>IF(C1618="","",IFERROR(INDEX(Sites!$B$2:$B$501,MATCH(C1618,Sites!$A$2:$A$501,0)),"?"))</f>
        <v/>
      </c>
      <c r="I1618" s="8">
        <f>IF(A1618="","",A1618-WEEKDAY(A1618,3))</f>
        <v/>
      </c>
      <c r="K1618" s="7">
        <f>IF(A1618="","",IF(OR(B1618="",C1618="",D1618="",E1618=""),"Missing info",IF(ISNA(MATCH(B1618,Staff!$A$2:$A$101,0)),"Unknown employee",IF(H1618="?","Unknown site",IF(G1618&lt;=0,"Check times",IF(G1618&gt;12,"Over 12h",IF(COUNTIFS($L$2:$L$2001,L1618)&gt;1,"Duplicate?",IF(A1618&gt;TODAY(),"Future date","OK"))))))))</f>
        <v/>
      </c>
      <c r="L1618">
        <f>IF(A1618="","",TEXT(A1618,"yyyy-mm-dd")&amp;"|"&amp;B1618&amp;"|"&amp;C1618)</f>
        <v/>
      </c>
    </row>
    <row r="1619">
      <c r="A1619" s="4" t="n"/>
      <c r="D1619" s="5" t="n"/>
      <c r="E1619" s="5" t="n"/>
      <c r="G1619" s="6">
        <f>IF(OR(A1619="",D1619="",E1619=""),"",ROUND(MOD(E1619-D1619,1)*24-N(F1619)/60,2))</f>
        <v/>
      </c>
      <c r="H1619" s="7">
        <f>IF(C1619="","",IFERROR(INDEX(Sites!$B$2:$B$501,MATCH(C1619,Sites!$A$2:$A$501,0)),"?"))</f>
        <v/>
      </c>
      <c r="I1619" s="8">
        <f>IF(A1619="","",A1619-WEEKDAY(A1619,3))</f>
        <v/>
      </c>
      <c r="K1619" s="7">
        <f>IF(A1619="","",IF(OR(B1619="",C1619="",D1619="",E1619=""),"Missing info",IF(ISNA(MATCH(B1619,Staff!$A$2:$A$101,0)),"Unknown employee",IF(H1619="?","Unknown site",IF(G1619&lt;=0,"Check times",IF(G1619&gt;12,"Over 12h",IF(COUNTIFS($L$2:$L$2001,L1619)&gt;1,"Duplicate?",IF(A1619&gt;TODAY(),"Future date","OK"))))))))</f>
        <v/>
      </c>
      <c r="L1619">
        <f>IF(A1619="","",TEXT(A1619,"yyyy-mm-dd")&amp;"|"&amp;B1619&amp;"|"&amp;C1619)</f>
        <v/>
      </c>
    </row>
    <row r="1620">
      <c r="A1620" s="4" t="n"/>
      <c r="D1620" s="5" t="n"/>
      <c r="E1620" s="5" t="n"/>
      <c r="G1620" s="6">
        <f>IF(OR(A1620="",D1620="",E1620=""),"",ROUND(MOD(E1620-D1620,1)*24-N(F1620)/60,2))</f>
        <v/>
      </c>
      <c r="H1620" s="7">
        <f>IF(C1620="","",IFERROR(INDEX(Sites!$B$2:$B$501,MATCH(C1620,Sites!$A$2:$A$501,0)),"?"))</f>
        <v/>
      </c>
      <c r="I1620" s="8">
        <f>IF(A1620="","",A1620-WEEKDAY(A1620,3))</f>
        <v/>
      </c>
      <c r="K1620" s="7">
        <f>IF(A1620="","",IF(OR(B1620="",C1620="",D1620="",E1620=""),"Missing info",IF(ISNA(MATCH(B1620,Staff!$A$2:$A$101,0)),"Unknown employee",IF(H1620="?","Unknown site",IF(G1620&lt;=0,"Check times",IF(G1620&gt;12,"Over 12h",IF(COUNTIFS($L$2:$L$2001,L1620)&gt;1,"Duplicate?",IF(A1620&gt;TODAY(),"Future date","OK"))))))))</f>
        <v/>
      </c>
      <c r="L1620">
        <f>IF(A1620="","",TEXT(A1620,"yyyy-mm-dd")&amp;"|"&amp;B1620&amp;"|"&amp;C1620)</f>
        <v/>
      </c>
    </row>
    <row r="1621">
      <c r="A1621" s="4" t="n"/>
      <c r="D1621" s="5" t="n"/>
      <c r="E1621" s="5" t="n"/>
      <c r="G1621" s="6">
        <f>IF(OR(A1621="",D1621="",E1621=""),"",ROUND(MOD(E1621-D1621,1)*24-N(F1621)/60,2))</f>
        <v/>
      </c>
      <c r="H1621" s="7">
        <f>IF(C1621="","",IFERROR(INDEX(Sites!$B$2:$B$501,MATCH(C1621,Sites!$A$2:$A$501,0)),"?"))</f>
        <v/>
      </c>
      <c r="I1621" s="8">
        <f>IF(A1621="","",A1621-WEEKDAY(A1621,3))</f>
        <v/>
      </c>
      <c r="K1621" s="7">
        <f>IF(A1621="","",IF(OR(B1621="",C1621="",D1621="",E1621=""),"Missing info",IF(ISNA(MATCH(B1621,Staff!$A$2:$A$101,0)),"Unknown employee",IF(H1621="?","Unknown site",IF(G1621&lt;=0,"Check times",IF(G1621&gt;12,"Over 12h",IF(COUNTIFS($L$2:$L$2001,L1621)&gt;1,"Duplicate?",IF(A1621&gt;TODAY(),"Future date","OK"))))))))</f>
        <v/>
      </c>
      <c r="L1621">
        <f>IF(A1621="","",TEXT(A1621,"yyyy-mm-dd")&amp;"|"&amp;B1621&amp;"|"&amp;C1621)</f>
        <v/>
      </c>
    </row>
    <row r="1622">
      <c r="A1622" s="4" t="n"/>
      <c r="D1622" s="5" t="n"/>
      <c r="E1622" s="5" t="n"/>
      <c r="G1622" s="6">
        <f>IF(OR(A1622="",D1622="",E1622=""),"",ROUND(MOD(E1622-D1622,1)*24-N(F1622)/60,2))</f>
        <v/>
      </c>
      <c r="H1622" s="7">
        <f>IF(C1622="","",IFERROR(INDEX(Sites!$B$2:$B$501,MATCH(C1622,Sites!$A$2:$A$501,0)),"?"))</f>
        <v/>
      </c>
      <c r="I1622" s="8">
        <f>IF(A1622="","",A1622-WEEKDAY(A1622,3))</f>
        <v/>
      </c>
      <c r="K1622" s="7">
        <f>IF(A1622="","",IF(OR(B1622="",C1622="",D1622="",E1622=""),"Missing info",IF(ISNA(MATCH(B1622,Staff!$A$2:$A$101,0)),"Unknown employee",IF(H1622="?","Unknown site",IF(G1622&lt;=0,"Check times",IF(G1622&gt;12,"Over 12h",IF(COUNTIFS($L$2:$L$2001,L1622)&gt;1,"Duplicate?",IF(A1622&gt;TODAY(),"Future date","OK"))))))))</f>
        <v/>
      </c>
      <c r="L1622">
        <f>IF(A1622="","",TEXT(A1622,"yyyy-mm-dd")&amp;"|"&amp;B1622&amp;"|"&amp;C1622)</f>
        <v/>
      </c>
    </row>
    <row r="1623">
      <c r="A1623" s="4" t="n"/>
      <c r="D1623" s="5" t="n"/>
      <c r="E1623" s="5" t="n"/>
      <c r="G1623" s="6">
        <f>IF(OR(A1623="",D1623="",E1623=""),"",ROUND(MOD(E1623-D1623,1)*24-N(F1623)/60,2))</f>
        <v/>
      </c>
      <c r="H1623" s="7">
        <f>IF(C1623="","",IFERROR(INDEX(Sites!$B$2:$B$501,MATCH(C1623,Sites!$A$2:$A$501,0)),"?"))</f>
        <v/>
      </c>
      <c r="I1623" s="8">
        <f>IF(A1623="","",A1623-WEEKDAY(A1623,3))</f>
        <v/>
      </c>
      <c r="K1623" s="7">
        <f>IF(A1623="","",IF(OR(B1623="",C1623="",D1623="",E1623=""),"Missing info",IF(ISNA(MATCH(B1623,Staff!$A$2:$A$101,0)),"Unknown employee",IF(H1623="?","Unknown site",IF(G1623&lt;=0,"Check times",IF(G1623&gt;12,"Over 12h",IF(COUNTIFS($L$2:$L$2001,L1623)&gt;1,"Duplicate?",IF(A1623&gt;TODAY(),"Future date","OK"))))))))</f>
        <v/>
      </c>
      <c r="L1623">
        <f>IF(A1623="","",TEXT(A1623,"yyyy-mm-dd")&amp;"|"&amp;B1623&amp;"|"&amp;C1623)</f>
        <v/>
      </c>
    </row>
    <row r="1624">
      <c r="A1624" s="4" t="n"/>
      <c r="D1624" s="5" t="n"/>
      <c r="E1624" s="5" t="n"/>
      <c r="G1624" s="6">
        <f>IF(OR(A1624="",D1624="",E1624=""),"",ROUND(MOD(E1624-D1624,1)*24-N(F1624)/60,2))</f>
        <v/>
      </c>
      <c r="H1624" s="7">
        <f>IF(C1624="","",IFERROR(INDEX(Sites!$B$2:$B$501,MATCH(C1624,Sites!$A$2:$A$501,0)),"?"))</f>
        <v/>
      </c>
      <c r="I1624" s="8">
        <f>IF(A1624="","",A1624-WEEKDAY(A1624,3))</f>
        <v/>
      </c>
      <c r="K1624" s="7">
        <f>IF(A1624="","",IF(OR(B1624="",C1624="",D1624="",E1624=""),"Missing info",IF(ISNA(MATCH(B1624,Staff!$A$2:$A$101,0)),"Unknown employee",IF(H1624="?","Unknown site",IF(G1624&lt;=0,"Check times",IF(G1624&gt;12,"Over 12h",IF(COUNTIFS($L$2:$L$2001,L1624)&gt;1,"Duplicate?",IF(A1624&gt;TODAY(),"Future date","OK"))))))))</f>
        <v/>
      </c>
      <c r="L1624">
        <f>IF(A1624="","",TEXT(A1624,"yyyy-mm-dd")&amp;"|"&amp;B1624&amp;"|"&amp;C1624)</f>
        <v/>
      </c>
    </row>
    <row r="1625">
      <c r="A1625" s="4" t="n"/>
      <c r="D1625" s="5" t="n"/>
      <c r="E1625" s="5" t="n"/>
      <c r="G1625" s="6">
        <f>IF(OR(A1625="",D1625="",E1625=""),"",ROUND(MOD(E1625-D1625,1)*24-N(F1625)/60,2))</f>
        <v/>
      </c>
      <c r="H1625" s="7">
        <f>IF(C1625="","",IFERROR(INDEX(Sites!$B$2:$B$501,MATCH(C1625,Sites!$A$2:$A$501,0)),"?"))</f>
        <v/>
      </c>
      <c r="I1625" s="8">
        <f>IF(A1625="","",A1625-WEEKDAY(A1625,3))</f>
        <v/>
      </c>
      <c r="K1625" s="7">
        <f>IF(A1625="","",IF(OR(B1625="",C1625="",D1625="",E1625=""),"Missing info",IF(ISNA(MATCH(B1625,Staff!$A$2:$A$101,0)),"Unknown employee",IF(H1625="?","Unknown site",IF(G1625&lt;=0,"Check times",IF(G1625&gt;12,"Over 12h",IF(COUNTIFS($L$2:$L$2001,L1625)&gt;1,"Duplicate?",IF(A1625&gt;TODAY(),"Future date","OK"))))))))</f>
        <v/>
      </c>
      <c r="L1625">
        <f>IF(A1625="","",TEXT(A1625,"yyyy-mm-dd")&amp;"|"&amp;B1625&amp;"|"&amp;C1625)</f>
        <v/>
      </c>
    </row>
    <row r="1626">
      <c r="A1626" s="4" t="n"/>
      <c r="D1626" s="5" t="n"/>
      <c r="E1626" s="5" t="n"/>
      <c r="G1626" s="6">
        <f>IF(OR(A1626="",D1626="",E1626=""),"",ROUND(MOD(E1626-D1626,1)*24-N(F1626)/60,2))</f>
        <v/>
      </c>
      <c r="H1626" s="7">
        <f>IF(C1626="","",IFERROR(INDEX(Sites!$B$2:$B$501,MATCH(C1626,Sites!$A$2:$A$501,0)),"?"))</f>
        <v/>
      </c>
      <c r="I1626" s="8">
        <f>IF(A1626="","",A1626-WEEKDAY(A1626,3))</f>
        <v/>
      </c>
      <c r="K1626" s="7">
        <f>IF(A1626="","",IF(OR(B1626="",C1626="",D1626="",E1626=""),"Missing info",IF(ISNA(MATCH(B1626,Staff!$A$2:$A$101,0)),"Unknown employee",IF(H1626="?","Unknown site",IF(G1626&lt;=0,"Check times",IF(G1626&gt;12,"Over 12h",IF(COUNTIFS($L$2:$L$2001,L1626)&gt;1,"Duplicate?",IF(A1626&gt;TODAY(),"Future date","OK"))))))))</f>
        <v/>
      </c>
      <c r="L1626">
        <f>IF(A1626="","",TEXT(A1626,"yyyy-mm-dd")&amp;"|"&amp;B1626&amp;"|"&amp;C1626)</f>
        <v/>
      </c>
    </row>
    <row r="1627">
      <c r="A1627" s="4" t="n"/>
      <c r="D1627" s="5" t="n"/>
      <c r="E1627" s="5" t="n"/>
      <c r="G1627" s="6">
        <f>IF(OR(A1627="",D1627="",E1627=""),"",ROUND(MOD(E1627-D1627,1)*24-N(F1627)/60,2))</f>
        <v/>
      </c>
      <c r="H1627" s="7">
        <f>IF(C1627="","",IFERROR(INDEX(Sites!$B$2:$B$501,MATCH(C1627,Sites!$A$2:$A$501,0)),"?"))</f>
        <v/>
      </c>
      <c r="I1627" s="8">
        <f>IF(A1627="","",A1627-WEEKDAY(A1627,3))</f>
        <v/>
      </c>
      <c r="K1627" s="7">
        <f>IF(A1627="","",IF(OR(B1627="",C1627="",D1627="",E1627=""),"Missing info",IF(ISNA(MATCH(B1627,Staff!$A$2:$A$101,0)),"Unknown employee",IF(H1627="?","Unknown site",IF(G1627&lt;=0,"Check times",IF(G1627&gt;12,"Over 12h",IF(COUNTIFS($L$2:$L$2001,L1627)&gt;1,"Duplicate?",IF(A1627&gt;TODAY(),"Future date","OK"))))))))</f>
        <v/>
      </c>
      <c r="L1627">
        <f>IF(A1627="","",TEXT(A1627,"yyyy-mm-dd")&amp;"|"&amp;B1627&amp;"|"&amp;C1627)</f>
        <v/>
      </c>
    </row>
    <row r="1628">
      <c r="A1628" s="4" t="n"/>
      <c r="D1628" s="5" t="n"/>
      <c r="E1628" s="5" t="n"/>
      <c r="G1628" s="6">
        <f>IF(OR(A1628="",D1628="",E1628=""),"",ROUND(MOD(E1628-D1628,1)*24-N(F1628)/60,2))</f>
        <v/>
      </c>
      <c r="H1628" s="7">
        <f>IF(C1628="","",IFERROR(INDEX(Sites!$B$2:$B$501,MATCH(C1628,Sites!$A$2:$A$501,0)),"?"))</f>
        <v/>
      </c>
      <c r="I1628" s="8">
        <f>IF(A1628="","",A1628-WEEKDAY(A1628,3))</f>
        <v/>
      </c>
      <c r="K1628" s="7">
        <f>IF(A1628="","",IF(OR(B1628="",C1628="",D1628="",E1628=""),"Missing info",IF(ISNA(MATCH(B1628,Staff!$A$2:$A$101,0)),"Unknown employee",IF(H1628="?","Unknown site",IF(G1628&lt;=0,"Check times",IF(G1628&gt;12,"Over 12h",IF(COUNTIFS($L$2:$L$2001,L1628)&gt;1,"Duplicate?",IF(A1628&gt;TODAY(),"Future date","OK"))))))))</f>
        <v/>
      </c>
      <c r="L1628">
        <f>IF(A1628="","",TEXT(A1628,"yyyy-mm-dd")&amp;"|"&amp;B1628&amp;"|"&amp;C1628)</f>
        <v/>
      </c>
    </row>
    <row r="1629">
      <c r="A1629" s="4" t="n"/>
      <c r="D1629" s="5" t="n"/>
      <c r="E1629" s="5" t="n"/>
      <c r="G1629" s="6">
        <f>IF(OR(A1629="",D1629="",E1629=""),"",ROUND(MOD(E1629-D1629,1)*24-N(F1629)/60,2))</f>
        <v/>
      </c>
      <c r="H1629" s="7">
        <f>IF(C1629="","",IFERROR(INDEX(Sites!$B$2:$B$501,MATCH(C1629,Sites!$A$2:$A$501,0)),"?"))</f>
        <v/>
      </c>
      <c r="I1629" s="8">
        <f>IF(A1629="","",A1629-WEEKDAY(A1629,3))</f>
        <v/>
      </c>
      <c r="K1629" s="7">
        <f>IF(A1629="","",IF(OR(B1629="",C1629="",D1629="",E1629=""),"Missing info",IF(ISNA(MATCH(B1629,Staff!$A$2:$A$101,0)),"Unknown employee",IF(H1629="?","Unknown site",IF(G1629&lt;=0,"Check times",IF(G1629&gt;12,"Over 12h",IF(COUNTIFS($L$2:$L$2001,L1629)&gt;1,"Duplicate?",IF(A1629&gt;TODAY(),"Future date","OK"))))))))</f>
        <v/>
      </c>
      <c r="L1629">
        <f>IF(A1629="","",TEXT(A1629,"yyyy-mm-dd")&amp;"|"&amp;B1629&amp;"|"&amp;C1629)</f>
        <v/>
      </c>
    </row>
    <row r="1630">
      <c r="A1630" s="4" t="n"/>
      <c r="D1630" s="5" t="n"/>
      <c r="E1630" s="5" t="n"/>
      <c r="G1630" s="6">
        <f>IF(OR(A1630="",D1630="",E1630=""),"",ROUND(MOD(E1630-D1630,1)*24-N(F1630)/60,2))</f>
        <v/>
      </c>
      <c r="H1630" s="7">
        <f>IF(C1630="","",IFERROR(INDEX(Sites!$B$2:$B$501,MATCH(C1630,Sites!$A$2:$A$501,0)),"?"))</f>
        <v/>
      </c>
      <c r="I1630" s="8">
        <f>IF(A1630="","",A1630-WEEKDAY(A1630,3))</f>
        <v/>
      </c>
      <c r="K1630" s="7">
        <f>IF(A1630="","",IF(OR(B1630="",C1630="",D1630="",E1630=""),"Missing info",IF(ISNA(MATCH(B1630,Staff!$A$2:$A$101,0)),"Unknown employee",IF(H1630="?","Unknown site",IF(G1630&lt;=0,"Check times",IF(G1630&gt;12,"Over 12h",IF(COUNTIFS($L$2:$L$2001,L1630)&gt;1,"Duplicate?",IF(A1630&gt;TODAY(),"Future date","OK"))))))))</f>
        <v/>
      </c>
      <c r="L1630">
        <f>IF(A1630="","",TEXT(A1630,"yyyy-mm-dd")&amp;"|"&amp;B1630&amp;"|"&amp;C1630)</f>
        <v/>
      </c>
    </row>
    <row r="1631">
      <c r="A1631" s="4" t="n"/>
      <c r="D1631" s="5" t="n"/>
      <c r="E1631" s="5" t="n"/>
      <c r="G1631" s="6">
        <f>IF(OR(A1631="",D1631="",E1631=""),"",ROUND(MOD(E1631-D1631,1)*24-N(F1631)/60,2))</f>
        <v/>
      </c>
      <c r="H1631" s="7">
        <f>IF(C1631="","",IFERROR(INDEX(Sites!$B$2:$B$501,MATCH(C1631,Sites!$A$2:$A$501,0)),"?"))</f>
        <v/>
      </c>
      <c r="I1631" s="8">
        <f>IF(A1631="","",A1631-WEEKDAY(A1631,3))</f>
        <v/>
      </c>
      <c r="K1631" s="7">
        <f>IF(A1631="","",IF(OR(B1631="",C1631="",D1631="",E1631=""),"Missing info",IF(ISNA(MATCH(B1631,Staff!$A$2:$A$101,0)),"Unknown employee",IF(H1631="?","Unknown site",IF(G1631&lt;=0,"Check times",IF(G1631&gt;12,"Over 12h",IF(COUNTIFS($L$2:$L$2001,L1631)&gt;1,"Duplicate?",IF(A1631&gt;TODAY(),"Future date","OK"))))))))</f>
        <v/>
      </c>
      <c r="L1631">
        <f>IF(A1631="","",TEXT(A1631,"yyyy-mm-dd")&amp;"|"&amp;B1631&amp;"|"&amp;C1631)</f>
        <v/>
      </c>
    </row>
    <row r="1632">
      <c r="A1632" s="4" t="n"/>
      <c r="D1632" s="5" t="n"/>
      <c r="E1632" s="5" t="n"/>
      <c r="G1632" s="6">
        <f>IF(OR(A1632="",D1632="",E1632=""),"",ROUND(MOD(E1632-D1632,1)*24-N(F1632)/60,2))</f>
        <v/>
      </c>
      <c r="H1632" s="7">
        <f>IF(C1632="","",IFERROR(INDEX(Sites!$B$2:$B$501,MATCH(C1632,Sites!$A$2:$A$501,0)),"?"))</f>
        <v/>
      </c>
      <c r="I1632" s="8">
        <f>IF(A1632="","",A1632-WEEKDAY(A1632,3))</f>
        <v/>
      </c>
      <c r="K1632" s="7">
        <f>IF(A1632="","",IF(OR(B1632="",C1632="",D1632="",E1632=""),"Missing info",IF(ISNA(MATCH(B1632,Staff!$A$2:$A$101,0)),"Unknown employee",IF(H1632="?","Unknown site",IF(G1632&lt;=0,"Check times",IF(G1632&gt;12,"Over 12h",IF(COUNTIFS($L$2:$L$2001,L1632)&gt;1,"Duplicate?",IF(A1632&gt;TODAY(),"Future date","OK"))))))))</f>
        <v/>
      </c>
      <c r="L1632">
        <f>IF(A1632="","",TEXT(A1632,"yyyy-mm-dd")&amp;"|"&amp;B1632&amp;"|"&amp;C1632)</f>
        <v/>
      </c>
    </row>
    <row r="1633">
      <c r="A1633" s="4" t="n"/>
      <c r="D1633" s="5" t="n"/>
      <c r="E1633" s="5" t="n"/>
      <c r="G1633" s="6">
        <f>IF(OR(A1633="",D1633="",E1633=""),"",ROUND(MOD(E1633-D1633,1)*24-N(F1633)/60,2))</f>
        <v/>
      </c>
      <c r="H1633" s="7">
        <f>IF(C1633="","",IFERROR(INDEX(Sites!$B$2:$B$501,MATCH(C1633,Sites!$A$2:$A$501,0)),"?"))</f>
        <v/>
      </c>
      <c r="I1633" s="8">
        <f>IF(A1633="","",A1633-WEEKDAY(A1633,3))</f>
        <v/>
      </c>
      <c r="K1633" s="7">
        <f>IF(A1633="","",IF(OR(B1633="",C1633="",D1633="",E1633=""),"Missing info",IF(ISNA(MATCH(B1633,Staff!$A$2:$A$101,0)),"Unknown employee",IF(H1633="?","Unknown site",IF(G1633&lt;=0,"Check times",IF(G1633&gt;12,"Over 12h",IF(COUNTIFS($L$2:$L$2001,L1633)&gt;1,"Duplicate?",IF(A1633&gt;TODAY(),"Future date","OK"))))))))</f>
        <v/>
      </c>
      <c r="L1633">
        <f>IF(A1633="","",TEXT(A1633,"yyyy-mm-dd")&amp;"|"&amp;B1633&amp;"|"&amp;C1633)</f>
        <v/>
      </c>
    </row>
    <row r="1634">
      <c r="A1634" s="4" t="n"/>
      <c r="D1634" s="5" t="n"/>
      <c r="E1634" s="5" t="n"/>
      <c r="G1634" s="6">
        <f>IF(OR(A1634="",D1634="",E1634=""),"",ROUND(MOD(E1634-D1634,1)*24-N(F1634)/60,2))</f>
        <v/>
      </c>
      <c r="H1634" s="7">
        <f>IF(C1634="","",IFERROR(INDEX(Sites!$B$2:$B$501,MATCH(C1634,Sites!$A$2:$A$501,0)),"?"))</f>
        <v/>
      </c>
      <c r="I1634" s="8">
        <f>IF(A1634="","",A1634-WEEKDAY(A1634,3))</f>
        <v/>
      </c>
      <c r="K1634" s="7">
        <f>IF(A1634="","",IF(OR(B1634="",C1634="",D1634="",E1634=""),"Missing info",IF(ISNA(MATCH(B1634,Staff!$A$2:$A$101,0)),"Unknown employee",IF(H1634="?","Unknown site",IF(G1634&lt;=0,"Check times",IF(G1634&gt;12,"Over 12h",IF(COUNTIFS($L$2:$L$2001,L1634)&gt;1,"Duplicate?",IF(A1634&gt;TODAY(),"Future date","OK"))))))))</f>
        <v/>
      </c>
      <c r="L1634">
        <f>IF(A1634="","",TEXT(A1634,"yyyy-mm-dd")&amp;"|"&amp;B1634&amp;"|"&amp;C1634)</f>
        <v/>
      </c>
    </row>
    <row r="1635">
      <c r="A1635" s="4" t="n"/>
      <c r="D1635" s="5" t="n"/>
      <c r="E1635" s="5" t="n"/>
      <c r="G1635" s="6">
        <f>IF(OR(A1635="",D1635="",E1635=""),"",ROUND(MOD(E1635-D1635,1)*24-N(F1635)/60,2))</f>
        <v/>
      </c>
      <c r="H1635" s="7">
        <f>IF(C1635="","",IFERROR(INDEX(Sites!$B$2:$B$501,MATCH(C1635,Sites!$A$2:$A$501,0)),"?"))</f>
        <v/>
      </c>
      <c r="I1635" s="8">
        <f>IF(A1635="","",A1635-WEEKDAY(A1635,3))</f>
        <v/>
      </c>
      <c r="K1635" s="7">
        <f>IF(A1635="","",IF(OR(B1635="",C1635="",D1635="",E1635=""),"Missing info",IF(ISNA(MATCH(B1635,Staff!$A$2:$A$101,0)),"Unknown employee",IF(H1635="?","Unknown site",IF(G1635&lt;=0,"Check times",IF(G1635&gt;12,"Over 12h",IF(COUNTIFS($L$2:$L$2001,L1635)&gt;1,"Duplicate?",IF(A1635&gt;TODAY(),"Future date","OK"))))))))</f>
        <v/>
      </c>
      <c r="L1635">
        <f>IF(A1635="","",TEXT(A1635,"yyyy-mm-dd")&amp;"|"&amp;B1635&amp;"|"&amp;C1635)</f>
        <v/>
      </c>
    </row>
    <row r="1636">
      <c r="A1636" s="4" t="n"/>
      <c r="D1636" s="5" t="n"/>
      <c r="E1636" s="5" t="n"/>
      <c r="G1636" s="6">
        <f>IF(OR(A1636="",D1636="",E1636=""),"",ROUND(MOD(E1636-D1636,1)*24-N(F1636)/60,2))</f>
        <v/>
      </c>
      <c r="H1636" s="7">
        <f>IF(C1636="","",IFERROR(INDEX(Sites!$B$2:$B$501,MATCH(C1636,Sites!$A$2:$A$501,0)),"?"))</f>
        <v/>
      </c>
      <c r="I1636" s="8">
        <f>IF(A1636="","",A1636-WEEKDAY(A1636,3))</f>
        <v/>
      </c>
      <c r="K1636" s="7">
        <f>IF(A1636="","",IF(OR(B1636="",C1636="",D1636="",E1636=""),"Missing info",IF(ISNA(MATCH(B1636,Staff!$A$2:$A$101,0)),"Unknown employee",IF(H1636="?","Unknown site",IF(G1636&lt;=0,"Check times",IF(G1636&gt;12,"Over 12h",IF(COUNTIFS($L$2:$L$2001,L1636)&gt;1,"Duplicate?",IF(A1636&gt;TODAY(),"Future date","OK"))))))))</f>
        <v/>
      </c>
      <c r="L1636">
        <f>IF(A1636="","",TEXT(A1636,"yyyy-mm-dd")&amp;"|"&amp;B1636&amp;"|"&amp;C1636)</f>
        <v/>
      </c>
    </row>
    <row r="1637">
      <c r="A1637" s="4" t="n"/>
      <c r="D1637" s="5" t="n"/>
      <c r="E1637" s="5" t="n"/>
      <c r="G1637" s="6">
        <f>IF(OR(A1637="",D1637="",E1637=""),"",ROUND(MOD(E1637-D1637,1)*24-N(F1637)/60,2))</f>
        <v/>
      </c>
      <c r="H1637" s="7">
        <f>IF(C1637="","",IFERROR(INDEX(Sites!$B$2:$B$501,MATCH(C1637,Sites!$A$2:$A$501,0)),"?"))</f>
        <v/>
      </c>
      <c r="I1637" s="8">
        <f>IF(A1637="","",A1637-WEEKDAY(A1637,3))</f>
        <v/>
      </c>
      <c r="K1637" s="7">
        <f>IF(A1637="","",IF(OR(B1637="",C1637="",D1637="",E1637=""),"Missing info",IF(ISNA(MATCH(B1637,Staff!$A$2:$A$101,0)),"Unknown employee",IF(H1637="?","Unknown site",IF(G1637&lt;=0,"Check times",IF(G1637&gt;12,"Over 12h",IF(COUNTIFS($L$2:$L$2001,L1637)&gt;1,"Duplicate?",IF(A1637&gt;TODAY(),"Future date","OK"))))))))</f>
        <v/>
      </c>
      <c r="L1637">
        <f>IF(A1637="","",TEXT(A1637,"yyyy-mm-dd")&amp;"|"&amp;B1637&amp;"|"&amp;C1637)</f>
        <v/>
      </c>
    </row>
    <row r="1638">
      <c r="A1638" s="4" t="n"/>
      <c r="D1638" s="5" t="n"/>
      <c r="E1638" s="5" t="n"/>
      <c r="G1638" s="6">
        <f>IF(OR(A1638="",D1638="",E1638=""),"",ROUND(MOD(E1638-D1638,1)*24-N(F1638)/60,2))</f>
        <v/>
      </c>
      <c r="H1638" s="7">
        <f>IF(C1638="","",IFERROR(INDEX(Sites!$B$2:$B$501,MATCH(C1638,Sites!$A$2:$A$501,0)),"?"))</f>
        <v/>
      </c>
      <c r="I1638" s="8">
        <f>IF(A1638="","",A1638-WEEKDAY(A1638,3))</f>
        <v/>
      </c>
      <c r="K1638" s="7">
        <f>IF(A1638="","",IF(OR(B1638="",C1638="",D1638="",E1638=""),"Missing info",IF(ISNA(MATCH(B1638,Staff!$A$2:$A$101,0)),"Unknown employee",IF(H1638="?","Unknown site",IF(G1638&lt;=0,"Check times",IF(G1638&gt;12,"Over 12h",IF(COUNTIFS($L$2:$L$2001,L1638)&gt;1,"Duplicate?",IF(A1638&gt;TODAY(),"Future date","OK"))))))))</f>
        <v/>
      </c>
      <c r="L1638">
        <f>IF(A1638="","",TEXT(A1638,"yyyy-mm-dd")&amp;"|"&amp;B1638&amp;"|"&amp;C1638)</f>
        <v/>
      </c>
    </row>
    <row r="1639">
      <c r="A1639" s="4" t="n"/>
      <c r="D1639" s="5" t="n"/>
      <c r="E1639" s="5" t="n"/>
      <c r="G1639" s="6">
        <f>IF(OR(A1639="",D1639="",E1639=""),"",ROUND(MOD(E1639-D1639,1)*24-N(F1639)/60,2))</f>
        <v/>
      </c>
      <c r="H1639" s="7">
        <f>IF(C1639="","",IFERROR(INDEX(Sites!$B$2:$B$501,MATCH(C1639,Sites!$A$2:$A$501,0)),"?"))</f>
        <v/>
      </c>
      <c r="I1639" s="8">
        <f>IF(A1639="","",A1639-WEEKDAY(A1639,3))</f>
        <v/>
      </c>
      <c r="K1639" s="7">
        <f>IF(A1639="","",IF(OR(B1639="",C1639="",D1639="",E1639=""),"Missing info",IF(ISNA(MATCH(B1639,Staff!$A$2:$A$101,0)),"Unknown employee",IF(H1639="?","Unknown site",IF(G1639&lt;=0,"Check times",IF(G1639&gt;12,"Over 12h",IF(COUNTIFS($L$2:$L$2001,L1639)&gt;1,"Duplicate?",IF(A1639&gt;TODAY(),"Future date","OK"))))))))</f>
        <v/>
      </c>
      <c r="L1639">
        <f>IF(A1639="","",TEXT(A1639,"yyyy-mm-dd")&amp;"|"&amp;B1639&amp;"|"&amp;C1639)</f>
        <v/>
      </c>
    </row>
    <row r="1640">
      <c r="A1640" s="4" t="n"/>
      <c r="D1640" s="5" t="n"/>
      <c r="E1640" s="5" t="n"/>
      <c r="G1640" s="6">
        <f>IF(OR(A1640="",D1640="",E1640=""),"",ROUND(MOD(E1640-D1640,1)*24-N(F1640)/60,2))</f>
        <v/>
      </c>
      <c r="H1640" s="7">
        <f>IF(C1640="","",IFERROR(INDEX(Sites!$B$2:$B$501,MATCH(C1640,Sites!$A$2:$A$501,0)),"?"))</f>
        <v/>
      </c>
      <c r="I1640" s="8">
        <f>IF(A1640="","",A1640-WEEKDAY(A1640,3))</f>
        <v/>
      </c>
      <c r="K1640" s="7">
        <f>IF(A1640="","",IF(OR(B1640="",C1640="",D1640="",E1640=""),"Missing info",IF(ISNA(MATCH(B1640,Staff!$A$2:$A$101,0)),"Unknown employee",IF(H1640="?","Unknown site",IF(G1640&lt;=0,"Check times",IF(G1640&gt;12,"Over 12h",IF(COUNTIFS($L$2:$L$2001,L1640)&gt;1,"Duplicate?",IF(A1640&gt;TODAY(),"Future date","OK"))))))))</f>
        <v/>
      </c>
      <c r="L1640">
        <f>IF(A1640="","",TEXT(A1640,"yyyy-mm-dd")&amp;"|"&amp;B1640&amp;"|"&amp;C1640)</f>
        <v/>
      </c>
    </row>
    <row r="1641">
      <c r="A1641" s="4" t="n"/>
      <c r="D1641" s="5" t="n"/>
      <c r="E1641" s="5" t="n"/>
      <c r="G1641" s="6">
        <f>IF(OR(A1641="",D1641="",E1641=""),"",ROUND(MOD(E1641-D1641,1)*24-N(F1641)/60,2))</f>
        <v/>
      </c>
      <c r="H1641" s="7">
        <f>IF(C1641="","",IFERROR(INDEX(Sites!$B$2:$B$501,MATCH(C1641,Sites!$A$2:$A$501,0)),"?"))</f>
        <v/>
      </c>
      <c r="I1641" s="8">
        <f>IF(A1641="","",A1641-WEEKDAY(A1641,3))</f>
        <v/>
      </c>
      <c r="K1641" s="7">
        <f>IF(A1641="","",IF(OR(B1641="",C1641="",D1641="",E1641=""),"Missing info",IF(ISNA(MATCH(B1641,Staff!$A$2:$A$101,0)),"Unknown employee",IF(H1641="?","Unknown site",IF(G1641&lt;=0,"Check times",IF(G1641&gt;12,"Over 12h",IF(COUNTIFS($L$2:$L$2001,L1641)&gt;1,"Duplicate?",IF(A1641&gt;TODAY(),"Future date","OK"))))))))</f>
        <v/>
      </c>
      <c r="L1641">
        <f>IF(A1641="","",TEXT(A1641,"yyyy-mm-dd")&amp;"|"&amp;B1641&amp;"|"&amp;C1641)</f>
        <v/>
      </c>
    </row>
    <row r="1642">
      <c r="A1642" s="4" t="n"/>
      <c r="D1642" s="5" t="n"/>
      <c r="E1642" s="5" t="n"/>
      <c r="G1642" s="6">
        <f>IF(OR(A1642="",D1642="",E1642=""),"",ROUND(MOD(E1642-D1642,1)*24-N(F1642)/60,2))</f>
        <v/>
      </c>
      <c r="H1642" s="7">
        <f>IF(C1642="","",IFERROR(INDEX(Sites!$B$2:$B$501,MATCH(C1642,Sites!$A$2:$A$501,0)),"?"))</f>
        <v/>
      </c>
      <c r="I1642" s="8">
        <f>IF(A1642="","",A1642-WEEKDAY(A1642,3))</f>
        <v/>
      </c>
      <c r="K1642" s="7">
        <f>IF(A1642="","",IF(OR(B1642="",C1642="",D1642="",E1642=""),"Missing info",IF(ISNA(MATCH(B1642,Staff!$A$2:$A$101,0)),"Unknown employee",IF(H1642="?","Unknown site",IF(G1642&lt;=0,"Check times",IF(G1642&gt;12,"Over 12h",IF(COUNTIFS($L$2:$L$2001,L1642)&gt;1,"Duplicate?",IF(A1642&gt;TODAY(),"Future date","OK"))))))))</f>
        <v/>
      </c>
      <c r="L1642">
        <f>IF(A1642="","",TEXT(A1642,"yyyy-mm-dd")&amp;"|"&amp;B1642&amp;"|"&amp;C1642)</f>
        <v/>
      </c>
    </row>
    <row r="1643">
      <c r="A1643" s="4" t="n"/>
      <c r="D1643" s="5" t="n"/>
      <c r="E1643" s="5" t="n"/>
      <c r="G1643" s="6">
        <f>IF(OR(A1643="",D1643="",E1643=""),"",ROUND(MOD(E1643-D1643,1)*24-N(F1643)/60,2))</f>
        <v/>
      </c>
      <c r="H1643" s="7">
        <f>IF(C1643="","",IFERROR(INDEX(Sites!$B$2:$B$501,MATCH(C1643,Sites!$A$2:$A$501,0)),"?"))</f>
        <v/>
      </c>
      <c r="I1643" s="8">
        <f>IF(A1643="","",A1643-WEEKDAY(A1643,3))</f>
        <v/>
      </c>
      <c r="K1643" s="7">
        <f>IF(A1643="","",IF(OR(B1643="",C1643="",D1643="",E1643=""),"Missing info",IF(ISNA(MATCH(B1643,Staff!$A$2:$A$101,0)),"Unknown employee",IF(H1643="?","Unknown site",IF(G1643&lt;=0,"Check times",IF(G1643&gt;12,"Over 12h",IF(COUNTIFS($L$2:$L$2001,L1643)&gt;1,"Duplicate?",IF(A1643&gt;TODAY(),"Future date","OK"))))))))</f>
        <v/>
      </c>
      <c r="L1643">
        <f>IF(A1643="","",TEXT(A1643,"yyyy-mm-dd")&amp;"|"&amp;B1643&amp;"|"&amp;C1643)</f>
        <v/>
      </c>
    </row>
    <row r="1644">
      <c r="A1644" s="4" t="n"/>
      <c r="D1644" s="5" t="n"/>
      <c r="E1644" s="5" t="n"/>
      <c r="G1644" s="6">
        <f>IF(OR(A1644="",D1644="",E1644=""),"",ROUND(MOD(E1644-D1644,1)*24-N(F1644)/60,2))</f>
        <v/>
      </c>
      <c r="H1644" s="7">
        <f>IF(C1644="","",IFERROR(INDEX(Sites!$B$2:$B$501,MATCH(C1644,Sites!$A$2:$A$501,0)),"?"))</f>
        <v/>
      </c>
      <c r="I1644" s="8">
        <f>IF(A1644="","",A1644-WEEKDAY(A1644,3))</f>
        <v/>
      </c>
      <c r="K1644" s="7">
        <f>IF(A1644="","",IF(OR(B1644="",C1644="",D1644="",E1644=""),"Missing info",IF(ISNA(MATCH(B1644,Staff!$A$2:$A$101,0)),"Unknown employee",IF(H1644="?","Unknown site",IF(G1644&lt;=0,"Check times",IF(G1644&gt;12,"Over 12h",IF(COUNTIFS($L$2:$L$2001,L1644)&gt;1,"Duplicate?",IF(A1644&gt;TODAY(),"Future date","OK"))))))))</f>
        <v/>
      </c>
      <c r="L1644">
        <f>IF(A1644="","",TEXT(A1644,"yyyy-mm-dd")&amp;"|"&amp;B1644&amp;"|"&amp;C1644)</f>
        <v/>
      </c>
    </row>
    <row r="1645">
      <c r="A1645" s="4" t="n"/>
      <c r="D1645" s="5" t="n"/>
      <c r="E1645" s="5" t="n"/>
      <c r="G1645" s="6">
        <f>IF(OR(A1645="",D1645="",E1645=""),"",ROUND(MOD(E1645-D1645,1)*24-N(F1645)/60,2))</f>
        <v/>
      </c>
      <c r="H1645" s="7">
        <f>IF(C1645="","",IFERROR(INDEX(Sites!$B$2:$B$501,MATCH(C1645,Sites!$A$2:$A$501,0)),"?"))</f>
        <v/>
      </c>
      <c r="I1645" s="8">
        <f>IF(A1645="","",A1645-WEEKDAY(A1645,3))</f>
        <v/>
      </c>
      <c r="K1645" s="7">
        <f>IF(A1645="","",IF(OR(B1645="",C1645="",D1645="",E1645=""),"Missing info",IF(ISNA(MATCH(B1645,Staff!$A$2:$A$101,0)),"Unknown employee",IF(H1645="?","Unknown site",IF(G1645&lt;=0,"Check times",IF(G1645&gt;12,"Over 12h",IF(COUNTIFS($L$2:$L$2001,L1645)&gt;1,"Duplicate?",IF(A1645&gt;TODAY(),"Future date","OK"))))))))</f>
        <v/>
      </c>
      <c r="L1645">
        <f>IF(A1645="","",TEXT(A1645,"yyyy-mm-dd")&amp;"|"&amp;B1645&amp;"|"&amp;C1645)</f>
        <v/>
      </c>
    </row>
    <row r="1646">
      <c r="A1646" s="4" t="n"/>
      <c r="D1646" s="5" t="n"/>
      <c r="E1646" s="5" t="n"/>
      <c r="G1646" s="6">
        <f>IF(OR(A1646="",D1646="",E1646=""),"",ROUND(MOD(E1646-D1646,1)*24-N(F1646)/60,2))</f>
        <v/>
      </c>
      <c r="H1646" s="7">
        <f>IF(C1646="","",IFERROR(INDEX(Sites!$B$2:$B$501,MATCH(C1646,Sites!$A$2:$A$501,0)),"?"))</f>
        <v/>
      </c>
      <c r="I1646" s="8">
        <f>IF(A1646="","",A1646-WEEKDAY(A1646,3))</f>
        <v/>
      </c>
      <c r="K1646" s="7">
        <f>IF(A1646="","",IF(OR(B1646="",C1646="",D1646="",E1646=""),"Missing info",IF(ISNA(MATCH(B1646,Staff!$A$2:$A$101,0)),"Unknown employee",IF(H1646="?","Unknown site",IF(G1646&lt;=0,"Check times",IF(G1646&gt;12,"Over 12h",IF(COUNTIFS($L$2:$L$2001,L1646)&gt;1,"Duplicate?",IF(A1646&gt;TODAY(),"Future date","OK"))))))))</f>
        <v/>
      </c>
      <c r="L1646">
        <f>IF(A1646="","",TEXT(A1646,"yyyy-mm-dd")&amp;"|"&amp;B1646&amp;"|"&amp;C1646)</f>
        <v/>
      </c>
    </row>
    <row r="1647">
      <c r="A1647" s="4" t="n"/>
      <c r="D1647" s="5" t="n"/>
      <c r="E1647" s="5" t="n"/>
      <c r="G1647" s="6">
        <f>IF(OR(A1647="",D1647="",E1647=""),"",ROUND(MOD(E1647-D1647,1)*24-N(F1647)/60,2))</f>
        <v/>
      </c>
      <c r="H1647" s="7">
        <f>IF(C1647="","",IFERROR(INDEX(Sites!$B$2:$B$501,MATCH(C1647,Sites!$A$2:$A$501,0)),"?"))</f>
        <v/>
      </c>
      <c r="I1647" s="8">
        <f>IF(A1647="","",A1647-WEEKDAY(A1647,3))</f>
        <v/>
      </c>
      <c r="K1647" s="7">
        <f>IF(A1647="","",IF(OR(B1647="",C1647="",D1647="",E1647=""),"Missing info",IF(ISNA(MATCH(B1647,Staff!$A$2:$A$101,0)),"Unknown employee",IF(H1647="?","Unknown site",IF(G1647&lt;=0,"Check times",IF(G1647&gt;12,"Over 12h",IF(COUNTIFS($L$2:$L$2001,L1647)&gt;1,"Duplicate?",IF(A1647&gt;TODAY(),"Future date","OK"))))))))</f>
        <v/>
      </c>
      <c r="L1647">
        <f>IF(A1647="","",TEXT(A1647,"yyyy-mm-dd")&amp;"|"&amp;B1647&amp;"|"&amp;C1647)</f>
        <v/>
      </c>
    </row>
    <row r="1648">
      <c r="A1648" s="4" t="n"/>
      <c r="D1648" s="5" t="n"/>
      <c r="E1648" s="5" t="n"/>
      <c r="G1648" s="6">
        <f>IF(OR(A1648="",D1648="",E1648=""),"",ROUND(MOD(E1648-D1648,1)*24-N(F1648)/60,2))</f>
        <v/>
      </c>
      <c r="H1648" s="7">
        <f>IF(C1648="","",IFERROR(INDEX(Sites!$B$2:$B$501,MATCH(C1648,Sites!$A$2:$A$501,0)),"?"))</f>
        <v/>
      </c>
      <c r="I1648" s="8">
        <f>IF(A1648="","",A1648-WEEKDAY(A1648,3))</f>
        <v/>
      </c>
      <c r="K1648" s="7">
        <f>IF(A1648="","",IF(OR(B1648="",C1648="",D1648="",E1648=""),"Missing info",IF(ISNA(MATCH(B1648,Staff!$A$2:$A$101,0)),"Unknown employee",IF(H1648="?","Unknown site",IF(G1648&lt;=0,"Check times",IF(G1648&gt;12,"Over 12h",IF(COUNTIFS($L$2:$L$2001,L1648)&gt;1,"Duplicate?",IF(A1648&gt;TODAY(),"Future date","OK"))))))))</f>
        <v/>
      </c>
      <c r="L1648">
        <f>IF(A1648="","",TEXT(A1648,"yyyy-mm-dd")&amp;"|"&amp;B1648&amp;"|"&amp;C1648)</f>
        <v/>
      </c>
    </row>
    <row r="1649">
      <c r="A1649" s="4" t="n"/>
      <c r="D1649" s="5" t="n"/>
      <c r="E1649" s="5" t="n"/>
      <c r="G1649" s="6">
        <f>IF(OR(A1649="",D1649="",E1649=""),"",ROUND(MOD(E1649-D1649,1)*24-N(F1649)/60,2))</f>
        <v/>
      </c>
      <c r="H1649" s="7">
        <f>IF(C1649="","",IFERROR(INDEX(Sites!$B$2:$B$501,MATCH(C1649,Sites!$A$2:$A$501,0)),"?"))</f>
        <v/>
      </c>
      <c r="I1649" s="8">
        <f>IF(A1649="","",A1649-WEEKDAY(A1649,3))</f>
        <v/>
      </c>
      <c r="K1649" s="7">
        <f>IF(A1649="","",IF(OR(B1649="",C1649="",D1649="",E1649=""),"Missing info",IF(ISNA(MATCH(B1649,Staff!$A$2:$A$101,0)),"Unknown employee",IF(H1649="?","Unknown site",IF(G1649&lt;=0,"Check times",IF(G1649&gt;12,"Over 12h",IF(COUNTIFS($L$2:$L$2001,L1649)&gt;1,"Duplicate?",IF(A1649&gt;TODAY(),"Future date","OK"))))))))</f>
        <v/>
      </c>
      <c r="L1649">
        <f>IF(A1649="","",TEXT(A1649,"yyyy-mm-dd")&amp;"|"&amp;B1649&amp;"|"&amp;C1649)</f>
        <v/>
      </c>
    </row>
    <row r="1650">
      <c r="A1650" s="4" t="n"/>
      <c r="D1650" s="5" t="n"/>
      <c r="E1650" s="5" t="n"/>
      <c r="G1650" s="6">
        <f>IF(OR(A1650="",D1650="",E1650=""),"",ROUND(MOD(E1650-D1650,1)*24-N(F1650)/60,2))</f>
        <v/>
      </c>
      <c r="H1650" s="7">
        <f>IF(C1650="","",IFERROR(INDEX(Sites!$B$2:$B$501,MATCH(C1650,Sites!$A$2:$A$501,0)),"?"))</f>
        <v/>
      </c>
      <c r="I1650" s="8">
        <f>IF(A1650="","",A1650-WEEKDAY(A1650,3))</f>
        <v/>
      </c>
      <c r="K1650" s="7">
        <f>IF(A1650="","",IF(OR(B1650="",C1650="",D1650="",E1650=""),"Missing info",IF(ISNA(MATCH(B1650,Staff!$A$2:$A$101,0)),"Unknown employee",IF(H1650="?","Unknown site",IF(G1650&lt;=0,"Check times",IF(G1650&gt;12,"Over 12h",IF(COUNTIFS($L$2:$L$2001,L1650)&gt;1,"Duplicate?",IF(A1650&gt;TODAY(),"Future date","OK"))))))))</f>
        <v/>
      </c>
      <c r="L1650">
        <f>IF(A1650="","",TEXT(A1650,"yyyy-mm-dd")&amp;"|"&amp;B1650&amp;"|"&amp;C1650)</f>
        <v/>
      </c>
    </row>
    <row r="1651">
      <c r="A1651" s="4" t="n"/>
      <c r="D1651" s="5" t="n"/>
      <c r="E1651" s="5" t="n"/>
      <c r="G1651" s="6">
        <f>IF(OR(A1651="",D1651="",E1651=""),"",ROUND(MOD(E1651-D1651,1)*24-N(F1651)/60,2))</f>
        <v/>
      </c>
      <c r="H1651" s="7">
        <f>IF(C1651="","",IFERROR(INDEX(Sites!$B$2:$B$501,MATCH(C1651,Sites!$A$2:$A$501,0)),"?"))</f>
        <v/>
      </c>
      <c r="I1651" s="8">
        <f>IF(A1651="","",A1651-WEEKDAY(A1651,3))</f>
        <v/>
      </c>
      <c r="K1651" s="7">
        <f>IF(A1651="","",IF(OR(B1651="",C1651="",D1651="",E1651=""),"Missing info",IF(ISNA(MATCH(B1651,Staff!$A$2:$A$101,0)),"Unknown employee",IF(H1651="?","Unknown site",IF(G1651&lt;=0,"Check times",IF(G1651&gt;12,"Over 12h",IF(COUNTIFS($L$2:$L$2001,L1651)&gt;1,"Duplicate?",IF(A1651&gt;TODAY(),"Future date","OK"))))))))</f>
        <v/>
      </c>
      <c r="L1651">
        <f>IF(A1651="","",TEXT(A1651,"yyyy-mm-dd")&amp;"|"&amp;B1651&amp;"|"&amp;C1651)</f>
        <v/>
      </c>
    </row>
    <row r="1652">
      <c r="A1652" s="4" t="n"/>
      <c r="D1652" s="5" t="n"/>
      <c r="E1652" s="5" t="n"/>
      <c r="G1652" s="6">
        <f>IF(OR(A1652="",D1652="",E1652=""),"",ROUND(MOD(E1652-D1652,1)*24-N(F1652)/60,2))</f>
        <v/>
      </c>
      <c r="H1652" s="7">
        <f>IF(C1652="","",IFERROR(INDEX(Sites!$B$2:$B$501,MATCH(C1652,Sites!$A$2:$A$501,0)),"?"))</f>
        <v/>
      </c>
      <c r="I1652" s="8">
        <f>IF(A1652="","",A1652-WEEKDAY(A1652,3))</f>
        <v/>
      </c>
      <c r="K1652" s="7">
        <f>IF(A1652="","",IF(OR(B1652="",C1652="",D1652="",E1652=""),"Missing info",IF(ISNA(MATCH(B1652,Staff!$A$2:$A$101,0)),"Unknown employee",IF(H1652="?","Unknown site",IF(G1652&lt;=0,"Check times",IF(G1652&gt;12,"Over 12h",IF(COUNTIFS($L$2:$L$2001,L1652)&gt;1,"Duplicate?",IF(A1652&gt;TODAY(),"Future date","OK"))))))))</f>
        <v/>
      </c>
      <c r="L1652">
        <f>IF(A1652="","",TEXT(A1652,"yyyy-mm-dd")&amp;"|"&amp;B1652&amp;"|"&amp;C1652)</f>
        <v/>
      </c>
    </row>
    <row r="1653">
      <c r="A1653" s="4" t="n"/>
      <c r="D1653" s="5" t="n"/>
      <c r="E1653" s="5" t="n"/>
      <c r="G1653" s="6">
        <f>IF(OR(A1653="",D1653="",E1653=""),"",ROUND(MOD(E1653-D1653,1)*24-N(F1653)/60,2))</f>
        <v/>
      </c>
      <c r="H1653" s="7">
        <f>IF(C1653="","",IFERROR(INDEX(Sites!$B$2:$B$501,MATCH(C1653,Sites!$A$2:$A$501,0)),"?"))</f>
        <v/>
      </c>
      <c r="I1653" s="8">
        <f>IF(A1653="","",A1653-WEEKDAY(A1653,3))</f>
        <v/>
      </c>
      <c r="K1653" s="7">
        <f>IF(A1653="","",IF(OR(B1653="",C1653="",D1653="",E1653=""),"Missing info",IF(ISNA(MATCH(B1653,Staff!$A$2:$A$101,0)),"Unknown employee",IF(H1653="?","Unknown site",IF(G1653&lt;=0,"Check times",IF(G1653&gt;12,"Over 12h",IF(COUNTIFS($L$2:$L$2001,L1653)&gt;1,"Duplicate?",IF(A1653&gt;TODAY(),"Future date","OK"))))))))</f>
        <v/>
      </c>
      <c r="L1653">
        <f>IF(A1653="","",TEXT(A1653,"yyyy-mm-dd")&amp;"|"&amp;B1653&amp;"|"&amp;C1653)</f>
        <v/>
      </c>
    </row>
    <row r="1654">
      <c r="A1654" s="4" t="n"/>
      <c r="D1654" s="5" t="n"/>
      <c r="E1654" s="5" t="n"/>
      <c r="G1654" s="6">
        <f>IF(OR(A1654="",D1654="",E1654=""),"",ROUND(MOD(E1654-D1654,1)*24-N(F1654)/60,2))</f>
        <v/>
      </c>
      <c r="H1654" s="7">
        <f>IF(C1654="","",IFERROR(INDEX(Sites!$B$2:$B$501,MATCH(C1654,Sites!$A$2:$A$501,0)),"?"))</f>
        <v/>
      </c>
      <c r="I1654" s="8">
        <f>IF(A1654="","",A1654-WEEKDAY(A1654,3))</f>
        <v/>
      </c>
      <c r="K1654" s="7">
        <f>IF(A1654="","",IF(OR(B1654="",C1654="",D1654="",E1654=""),"Missing info",IF(ISNA(MATCH(B1654,Staff!$A$2:$A$101,0)),"Unknown employee",IF(H1654="?","Unknown site",IF(G1654&lt;=0,"Check times",IF(G1654&gt;12,"Over 12h",IF(COUNTIFS($L$2:$L$2001,L1654)&gt;1,"Duplicate?",IF(A1654&gt;TODAY(),"Future date","OK"))))))))</f>
        <v/>
      </c>
      <c r="L1654">
        <f>IF(A1654="","",TEXT(A1654,"yyyy-mm-dd")&amp;"|"&amp;B1654&amp;"|"&amp;C1654)</f>
        <v/>
      </c>
    </row>
    <row r="1655">
      <c r="A1655" s="4" t="n"/>
      <c r="D1655" s="5" t="n"/>
      <c r="E1655" s="5" t="n"/>
      <c r="G1655" s="6">
        <f>IF(OR(A1655="",D1655="",E1655=""),"",ROUND(MOD(E1655-D1655,1)*24-N(F1655)/60,2))</f>
        <v/>
      </c>
      <c r="H1655" s="7">
        <f>IF(C1655="","",IFERROR(INDEX(Sites!$B$2:$B$501,MATCH(C1655,Sites!$A$2:$A$501,0)),"?"))</f>
        <v/>
      </c>
      <c r="I1655" s="8">
        <f>IF(A1655="","",A1655-WEEKDAY(A1655,3))</f>
        <v/>
      </c>
      <c r="K1655" s="7">
        <f>IF(A1655="","",IF(OR(B1655="",C1655="",D1655="",E1655=""),"Missing info",IF(ISNA(MATCH(B1655,Staff!$A$2:$A$101,0)),"Unknown employee",IF(H1655="?","Unknown site",IF(G1655&lt;=0,"Check times",IF(G1655&gt;12,"Over 12h",IF(COUNTIFS($L$2:$L$2001,L1655)&gt;1,"Duplicate?",IF(A1655&gt;TODAY(),"Future date","OK"))))))))</f>
        <v/>
      </c>
      <c r="L1655">
        <f>IF(A1655="","",TEXT(A1655,"yyyy-mm-dd")&amp;"|"&amp;B1655&amp;"|"&amp;C1655)</f>
        <v/>
      </c>
    </row>
    <row r="1656">
      <c r="A1656" s="4" t="n"/>
      <c r="D1656" s="5" t="n"/>
      <c r="E1656" s="5" t="n"/>
      <c r="G1656" s="6">
        <f>IF(OR(A1656="",D1656="",E1656=""),"",ROUND(MOD(E1656-D1656,1)*24-N(F1656)/60,2))</f>
        <v/>
      </c>
      <c r="H1656" s="7">
        <f>IF(C1656="","",IFERROR(INDEX(Sites!$B$2:$B$501,MATCH(C1656,Sites!$A$2:$A$501,0)),"?"))</f>
        <v/>
      </c>
      <c r="I1656" s="8">
        <f>IF(A1656="","",A1656-WEEKDAY(A1656,3))</f>
        <v/>
      </c>
      <c r="K1656" s="7">
        <f>IF(A1656="","",IF(OR(B1656="",C1656="",D1656="",E1656=""),"Missing info",IF(ISNA(MATCH(B1656,Staff!$A$2:$A$101,0)),"Unknown employee",IF(H1656="?","Unknown site",IF(G1656&lt;=0,"Check times",IF(G1656&gt;12,"Over 12h",IF(COUNTIFS($L$2:$L$2001,L1656)&gt;1,"Duplicate?",IF(A1656&gt;TODAY(),"Future date","OK"))))))))</f>
        <v/>
      </c>
      <c r="L1656">
        <f>IF(A1656="","",TEXT(A1656,"yyyy-mm-dd")&amp;"|"&amp;B1656&amp;"|"&amp;C1656)</f>
        <v/>
      </c>
    </row>
    <row r="1657">
      <c r="A1657" s="4" t="n"/>
      <c r="D1657" s="5" t="n"/>
      <c r="E1657" s="5" t="n"/>
      <c r="G1657" s="6">
        <f>IF(OR(A1657="",D1657="",E1657=""),"",ROUND(MOD(E1657-D1657,1)*24-N(F1657)/60,2))</f>
        <v/>
      </c>
      <c r="H1657" s="7">
        <f>IF(C1657="","",IFERROR(INDEX(Sites!$B$2:$B$501,MATCH(C1657,Sites!$A$2:$A$501,0)),"?"))</f>
        <v/>
      </c>
      <c r="I1657" s="8">
        <f>IF(A1657="","",A1657-WEEKDAY(A1657,3))</f>
        <v/>
      </c>
      <c r="K1657" s="7">
        <f>IF(A1657="","",IF(OR(B1657="",C1657="",D1657="",E1657=""),"Missing info",IF(ISNA(MATCH(B1657,Staff!$A$2:$A$101,0)),"Unknown employee",IF(H1657="?","Unknown site",IF(G1657&lt;=0,"Check times",IF(G1657&gt;12,"Over 12h",IF(COUNTIFS($L$2:$L$2001,L1657)&gt;1,"Duplicate?",IF(A1657&gt;TODAY(),"Future date","OK"))))))))</f>
        <v/>
      </c>
      <c r="L1657">
        <f>IF(A1657="","",TEXT(A1657,"yyyy-mm-dd")&amp;"|"&amp;B1657&amp;"|"&amp;C1657)</f>
        <v/>
      </c>
    </row>
    <row r="1658">
      <c r="A1658" s="4" t="n"/>
      <c r="D1658" s="5" t="n"/>
      <c r="E1658" s="5" t="n"/>
      <c r="G1658" s="6">
        <f>IF(OR(A1658="",D1658="",E1658=""),"",ROUND(MOD(E1658-D1658,1)*24-N(F1658)/60,2))</f>
        <v/>
      </c>
      <c r="H1658" s="7">
        <f>IF(C1658="","",IFERROR(INDEX(Sites!$B$2:$B$501,MATCH(C1658,Sites!$A$2:$A$501,0)),"?"))</f>
        <v/>
      </c>
      <c r="I1658" s="8">
        <f>IF(A1658="","",A1658-WEEKDAY(A1658,3))</f>
        <v/>
      </c>
      <c r="K1658" s="7">
        <f>IF(A1658="","",IF(OR(B1658="",C1658="",D1658="",E1658=""),"Missing info",IF(ISNA(MATCH(B1658,Staff!$A$2:$A$101,0)),"Unknown employee",IF(H1658="?","Unknown site",IF(G1658&lt;=0,"Check times",IF(G1658&gt;12,"Over 12h",IF(COUNTIFS($L$2:$L$2001,L1658)&gt;1,"Duplicate?",IF(A1658&gt;TODAY(),"Future date","OK"))))))))</f>
        <v/>
      </c>
      <c r="L1658">
        <f>IF(A1658="","",TEXT(A1658,"yyyy-mm-dd")&amp;"|"&amp;B1658&amp;"|"&amp;C1658)</f>
        <v/>
      </c>
    </row>
    <row r="1659">
      <c r="A1659" s="4" t="n"/>
      <c r="D1659" s="5" t="n"/>
      <c r="E1659" s="5" t="n"/>
      <c r="G1659" s="6">
        <f>IF(OR(A1659="",D1659="",E1659=""),"",ROUND(MOD(E1659-D1659,1)*24-N(F1659)/60,2))</f>
        <v/>
      </c>
      <c r="H1659" s="7">
        <f>IF(C1659="","",IFERROR(INDEX(Sites!$B$2:$B$501,MATCH(C1659,Sites!$A$2:$A$501,0)),"?"))</f>
        <v/>
      </c>
      <c r="I1659" s="8">
        <f>IF(A1659="","",A1659-WEEKDAY(A1659,3))</f>
        <v/>
      </c>
      <c r="K1659" s="7">
        <f>IF(A1659="","",IF(OR(B1659="",C1659="",D1659="",E1659=""),"Missing info",IF(ISNA(MATCH(B1659,Staff!$A$2:$A$101,0)),"Unknown employee",IF(H1659="?","Unknown site",IF(G1659&lt;=0,"Check times",IF(G1659&gt;12,"Over 12h",IF(COUNTIFS($L$2:$L$2001,L1659)&gt;1,"Duplicate?",IF(A1659&gt;TODAY(),"Future date","OK"))))))))</f>
        <v/>
      </c>
      <c r="L1659">
        <f>IF(A1659="","",TEXT(A1659,"yyyy-mm-dd")&amp;"|"&amp;B1659&amp;"|"&amp;C1659)</f>
        <v/>
      </c>
    </row>
    <row r="1660">
      <c r="A1660" s="4" t="n"/>
      <c r="D1660" s="5" t="n"/>
      <c r="E1660" s="5" t="n"/>
      <c r="G1660" s="6">
        <f>IF(OR(A1660="",D1660="",E1660=""),"",ROUND(MOD(E1660-D1660,1)*24-N(F1660)/60,2))</f>
        <v/>
      </c>
      <c r="H1660" s="7">
        <f>IF(C1660="","",IFERROR(INDEX(Sites!$B$2:$B$501,MATCH(C1660,Sites!$A$2:$A$501,0)),"?"))</f>
        <v/>
      </c>
      <c r="I1660" s="8">
        <f>IF(A1660="","",A1660-WEEKDAY(A1660,3))</f>
        <v/>
      </c>
      <c r="K1660" s="7">
        <f>IF(A1660="","",IF(OR(B1660="",C1660="",D1660="",E1660=""),"Missing info",IF(ISNA(MATCH(B1660,Staff!$A$2:$A$101,0)),"Unknown employee",IF(H1660="?","Unknown site",IF(G1660&lt;=0,"Check times",IF(G1660&gt;12,"Over 12h",IF(COUNTIFS($L$2:$L$2001,L1660)&gt;1,"Duplicate?",IF(A1660&gt;TODAY(),"Future date","OK"))))))))</f>
        <v/>
      </c>
      <c r="L1660">
        <f>IF(A1660="","",TEXT(A1660,"yyyy-mm-dd")&amp;"|"&amp;B1660&amp;"|"&amp;C1660)</f>
        <v/>
      </c>
    </row>
    <row r="1661">
      <c r="A1661" s="4" t="n"/>
      <c r="D1661" s="5" t="n"/>
      <c r="E1661" s="5" t="n"/>
      <c r="G1661" s="6">
        <f>IF(OR(A1661="",D1661="",E1661=""),"",ROUND(MOD(E1661-D1661,1)*24-N(F1661)/60,2))</f>
        <v/>
      </c>
      <c r="H1661" s="7">
        <f>IF(C1661="","",IFERROR(INDEX(Sites!$B$2:$B$501,MATCH(C1661,Sites!$A$2:$A$501,0)),"?"))</f>
        <v/>
      </c>
      <c r="I1661" s="8">
        <f>IF(A1661="","",A1661-WEEKDAY(A1661,3))</f>
        <v/>
      </c>
      <c r="K1661" s="7">
        <f>IF(A1661="","",IF(OR(B1661="",C1661="",D1661="",E1661=""),"Missing info",IF(ISNA(MATCH(B1661,Staff!$A$2:$A$101,0)),"Unknown employee",IF(H1661="?","Unknown site",IF(G1661&lt;=0,"Check times",IF(G1661&gt;12,"Over 12h",IF(COUNTIFS($L$2:$L$2001,L1661)&gt;1,"Duplicate?",IF(A1661&gt;TODAY(),"Future date","OK"))))))))</f>
        <v/>
      </c>
      <c r="L1661">
        <f>IF(A1661="","",TEXT(A1661,"yyyy-mm-dd")&amp;"|"&amp;B1661&amp;"|"&amp;C1661)</f>
        <v/>
      </c>
    </row>
    <row r="1662">
      <c r="A1662" s="4" t="n"/>
      <c r="D1662" s="5" t="n"/>
      <c r="E1662" s="5" t="n"/>
      <c r="G1662" s="6">
        <f>IF(OR(A1662="",D1662="",E1662=""),"",ROUND(MOD(E1662-D1662,1)*24-N(F1662)/60,2))</f>
        <v/>
      </c>
      <c r="H1662" s="7">
        <f>IF(C1662="","",IFERROR(INDEX(Sites!$B$2:$B$501,MATCH(C1662,Sites!$A$2:$A$501,0)),"?"))</f>
        <v/>
      </c>
      <c r="I1662" s="8">
        <f>IF(A1662="","",A1662-WEEKDAY(A1662,3))</f>
        <v/>
      </c>
      <c r="K1662" s="7">
        <f>IF(A1662="","",IF(OR(B1662="",C1662="",D1662="",E1662=""),"Missing info",IF(ISNA(MATCH(B1662,Staff!$A$2:$A$101,0)),"Unknown employee",IF(H1662="?","Unknown site",IF(G1662&lt;=0,"Check times",IF(G1662&gt;12,"Over 12h",IF(COUNTIFS($L$2:$L$2001,L1662)&gt;1,"Duplicate?",IF(A1662&gt;TODAY(),"Future date","OK"))))))))</f>
        <v/>
      </c>
      <c r="L1662">
        <f>IF(A1662="","",TEXT(A1662,"yyyy-mm-dd")&amp;"|"&amp;B1662&amp;"|"&amp;C1662)</f>
        <v/>
      </c>
    </row>
    <row r="1663">
      <c r="A1663" s="4" t="n"/>
      <c r="D1663" s="5" t="n"/>
      <c r="E1663" s="5" t="n"/>
      <c r="G1663" s="6">
        <f>IF(OR(A1663="",D1663="",E1663=""),"",ROUND(MOD(E1663-D1663,1)*24-N(F1663)/60,2))</f>
        <v/>
      </c>
      <c r="H1663" s="7">
        <f>IF(C1663="","",IFERROR(INDEX(Sites!$B$2:$B$501,MATCH(C1663,Sites!$A$2:$A$501,0)),"?"))</f>
        <v/>
      </c>
      <c r="I1663" s="8">
        <f>IF(A1663="","",A1663-WEEKDAY(A1663,3))</f>
        <v/>
      </c>
      <c r="K1663" s="7">
        <f>IF(A1663="","",IF(OR(B1663="",C1663="",D1663="",E1663=""),"Missing info",IF(ISNA(MATCH(B1663,Staff!$A$2:$A$101,0)),"Unknown employee",IF(H1663="?","Unknown site",IF(G1663&lt;=0,"Check times",IF(G1663&gt;12,"Over 12h",IF(COUNTIFS($L$2:$L$2001,L1663)&gt;1,"Duplicate?",IF(A1663&gt;TODAY(),"Future date","OK"))))))))</f>
        <v/>
      </c>
      <c r="L1663">
        <f>IF(A1663="","",TEXT(A1663,"yyyy-mm-dd")&amp;"|"&amp;B1663&amp;"|"&amp;C1663)</f>
        <v/>
      </c>
    </row>
    <row r="1664">
      <c r="A1664" s="4" t="n"/>
      <c r="D1664" s="5" t="n"/>
      <c r="E1664" s="5" t="n"/>
      <c r="G1664" s="6">
        <f>IF(OR(A1664="",D1664="",E1664=""),"",ROUND(MOD(E1664-D1664,1)*24-N(F1664)/60,2))</f>
        <v/>
      </c>
      <c r="H1664" s="7">
        <f>IF(C1664="","",IFERROR(INDEX(Sites!$B$2:$B$501,MATCH(C1664,Sites!$A$2:$A$501,0)),"?"))</f>
        <v/>
      </c>
      <c r="I1664" s="8">
        <f>IF(A1664="","",A1664-WEEKDAY(A1664,3))</f>
        <v/>
      </c>
      <c r="K1664" s="7">
        <f>IF(A1664="","",IF(OR(B1664="",C1664="",D1664="",E1664=""),"Missing info",IF(ISNA(MATCH(B1664,Staff!$A$2:$A$101,0)),"Unknown employee",IF(H1664="?","Unknown site",IF(G1664&lt;=0,"Check times",IF(G1664&gt;12,"Over 12h",IF(COUNTIFS($L$2:$L$2001,L1664)&gt;1,"Duplicate?",IF(A1664&gt;TODAY(),"Future date","OK"))))))))</f>
        <v/>
      </c>
      <c r="L1664">
        <f>IF(A1664="","",TEXT(A1664,"yyyy-mm-dd")&amp;"|"&amp;B1664&amp;"|"&amp;C1664)</f>
        <v/>
      </c>
    </row>
    <row r="1665">
      <c r="A1665" s="4" t="n"/>
      <c r="D1665" s="5" t="n"/>
      <c r="E1665" s="5" t="n"/>
      <c r="G1665" s="6">
        <f>IF(OR(A1665="",D1665="",E1665=""),"",ROUND(MOD(E1665-D1665,1)*24-N(F1665)/60,2))</f>
        <v/>
      </c>
      <c r="H1665" s="7">
        <f>IF(C1665="","",IFERROR(INDEX(Sites!$B$2:$B$501,MATCH(C1665,Sites!$A$2:$A$501,0)),"?"))</f>
        <v/>
      </c>
      <c r="I1665" s="8">
        <f>IF(A1665="","",A1665-WEEKDAY(A1665,3))</f>
        <v/>
      </c>
      <c r="K1665" s="7">
        <f>IF(A1665="","",IF(OR(B1665="",C1665="",D1665="",E1665=""),"Missing info",IF(ISNA(MATCH(B1665,Staff!$A$2:$A$101,0)),"Unknown employee",IF(H1665="?","Unknown site",IF(G1665&lt;=0,"Check times",IF(G1665&gt;12,"Over 12h",IF(COUNTIFS($L$2:$L$2001,L1665)&gt;1,"Duplicate?",IF(A1665&gt;TODAY(),"Future date","OK"))))))))</f>
        <v/>
      </c>
      <c r="L1665">
        <f>IF(A1665="","",TEXT(A1665,"yyyy-mm-dd")&amp;"|"&amp;B1665&amp;"|"&amp;C1665)</f>
        <v/>
      </c>
    </row>
    <row r="1666">
      <c r="A1666" s="4" t="n"/>
      <c r="D1666" s="5" t="n"/>
      <c r="E1666" s="5" t="n"/>
      <c r="G1666" s="6">
        <f>IF(OR(A1666="",D1666="",E1666=""),"",ROUND(MOD(E1666-D1666,1)*24-N(F1666)/60,2))</f>
        <v/>
      </c>
      <c r="H1666" s="7">
        <f>IF(C1666="","",IFERROR(INDEX(Sites!$B$2:$B$501,MATCH(C1666,Sites!$A$2:$A$501,0)),"?"))</f>
        <v/>
      </c>
      <c r="I1666" s="8">
        <f>IF(A1666="","",A1666-WEEKDAY(A1666,3))</f>
        <v/>
      </c>
      <c r="K1666" s="7">
        <f>IF(A1666="","",IF(OR(B1666="",C1666="",D1666="",E1666=""),"Missing info",IF(ISNA(MATCH(B1666,Staff!$A$2:$A$101,0)),"Unknown employee",IF(H1666="?","Unknown site",IF(G1666&lt;=0,"Check times",IF(G1666&gt;12,"Over 12h",IF(COUNTIFS($L$2:$L$2001,L1666)&gt;1,"Duplicate?",IF(A1666&gt;TODAY(),"Future date","OK"))))))))</f>
        <v/>
      </c>
      <c r="L1666">
        <f>IF(A1666="","",TEXT(A1666,"yyyy-mm-dd")&amp;"|"&amp;B1666&amp;"|"&amp;C1666)</f>
        <v/>
      </c>
    </row>
    <row r="1667">
      <c r="A1667" s="4" t="n"/>
      <c r="D1667" s="5" t="n"/>
      <c r="E1667" s="5" t="n"/>
      <c r="G1667" s="6">
        <f>IF(OR(A1667="",D1667="",E1667=""),"",ROUND(MOD(E1667-D1667,1)*24-N(F1667)/60,2))</f>
        <v/>
      </c>
      <c r="H1667" s="7">
        <f>IF(C1667="","",IFERROR(INDEX(Sites!$B$2:$B$501,MATCH(C1667,Sites!$A$2:$A$501,0)),"?"))</f>
        <v/>
      </c>
      <c r="I1667" s="8">
        <f>IF(A1667="","",A1667-WEEKDAY(A1667,3))</f>
        <v/>
      </c>
      <c r="K1667" s="7">
        <f>IF(A1667="","",IF(OR(B1667="",C1667="",D1667="",E1667=""),"Missing info",IF(ISNA(MATCH(B1667,Staff!$A$2:$A$101,0)),"Unknown employee",IF(H1667="?","Unknown site",IF(G1667&lt;=0,"Check times",IF(G1667&gt;12,"Over 12h",IF(COUNTIFS($L$2:$L$2001,L1667)&gt;1,"Duplicate?",IF(A1667&gt;TODAY(),"Future date","OK"))))))))</f>
        <v/>
      </c>
      <c r="L1667">
        <f>IF(A1667="","",TEXT(A1667,"yyyy-mm-dd")&amp;"|"&amp;B1667&amp;"|"&amp;C1667)</f>
        <v/>
      </c>
    </row>
    <row r="1668">
      <c r="A1668" s="4" t="n"/>
      <c r="D1668" s="5" t="n"/>
      <c r="E1668" s="5" t="n"/>
      <c r="G1668" s="6">
        <f>IF(OR(A1668="",D1668="",E1668=""),"",ROUND(MOD(E1668-D1668,1)*24-N(F1668)/60,2))</f>
        <v/>
      </c>
      <c r="H1668" s="7">
        <f>IF(C1668="","",IFERROR(INDEX(Sites!$B$2:$B$501,MATCH(C1668,Sites!$A$2:$A$501,0)),"?"))</f>
        <v/>
      </c>
      <c r="I1668" s="8">
        <f>IF(A1668="","",A1668-WEEKDAY(A1668,3))</f>
        <v/>
      </c>
      <c r="K1668" s="7">
        <f>IF(A1668="","",IF(OR(B1668="",C1668="",D1668="",E1668=""),"Missing info",IF(ISNA(MATCH(B1668,Staff!$A$2:$A$101,0)),"Unknown employee",IF(H1668="?","Unknown site",IF(G1668&lt;=0,"Check times",IF(G1668&gt;12,"Over 12h",IF(COUNTIFS($L$2:$L$2001,L1668)&gt;1,"Duplicate?",IF(A1668&gt;TODAY(),"Future date","OK"))))))))</f>
        <v/>
      </c>
      <c r="L1668">
        <f>IF(A1668="","",TEXT(A1668,"yyyy-mm-dd")&amp;"|"&amp;B1668&amp;"|"&amp;C1668)</f>
        <v/>
      </c>
    </row>
    <row r="1669">
      <c r="A1669" s="4" t="n"/>
      <c r="D1669" s="5" t="n"/>
      <c r="E1669" s="5" t="n"/>
      <c r="G1669" s="6">
        <f>IF(OR(A1669="",D1669="",E1669=""),"",ROUND(MOD(E1669-D1669,1)*24-N(F1669)/60,2))</f>
        <v/>
      </c>
      <c r="H1669" s="7">
        <f>IF(C1669="","",IFERROR(INDEX(Sites!$B$2:$B$501,MATCH(C1669,Sites!$A$2:$A$501,0)),"?"))</f>
        <v/>
      </c>
      <c r="I1669" s="8">
        <f>IF(A1669="","",A1669-WEEKDAY(A1669,3))</f>
        <v/>
      </c>
      <c r="K1669" s="7">
        <f>IF(A1669="","",IF(OR(B1669="",C1669="",D1669="",E1669=""),"Missing info",IF(ISNA(MATCH(B1669,Staff!$A$2:$A$101,0)),"Unknown employee",IF(H1669="?","Unknown site",IF(G1669&lt;=0,"Check times",IF(G1669&gt;12,"Over 12h",IF(COUNTIFS($L$2:$L$2001,L1669)&gt;1,"Duplicate?",IF(A1669&gt;TODAY(),"Future date","OK"))))))))</f>
        <v/>
      </c>
      <c r="L1669">
        <f>IF(A1669="","",TEXT(A1669,"yyyy-mm-dd")&amp;"|"&amp;B1669&amp;"|"&amp;C1669)</f>
        <v/>
      </c>
    </row>
    <row r="1670">
      <c r="A1670" s="4" t="n"/>
      <c r="D1670" s="5" t="n"/>
      <c r="E1670" s="5" t="n"/>
      <c r="G1670" s="6">
        <f>IF(OR(A1670="",D1670="",E1670=""),"",ROUND(MOD(E1670-D1670,1)*24-N(F1670)/60,2))</f>
        <v/>
      </c>
      <c r="H1670" s="7">
        <f>IF(C1670="","",IFERROR(INDEX(Sites!$B$2:$B$501,MATCH(C1670,Sites!$A$2:$A$501,0)),"?"))</f>
        <v/>
      </c>
      <c r="I1670" s="8">
        <f>IF(A1670="","",A1670-WEEKDAY(A1670,3))</f>
        <v/>
      </c>
      <c r="K1670" s="7">
        <f>IF(A1670="","",IF(OR(B1670="",C1670="",D1670="",E1670=""),"Missing info",IF(ISNA(MATCH(B1670,Staff!$A$2:$A$101,0)),"Unknown employee",IF(H1670="?","Unknown site",IF(G1670&lt;=0,"Check times",IF(G1670&gt;12,"Over 12h",IF(COUNTIFS($L$2:$L$2001,L1670)&gt;1,"Duplicate?",IF(A1670&gt;TODAY(),"Future date","OK"))))))))</f>
        <v/>
      </c>
      <c r="L1670">
        <f>IF(A1670="","",TEXT(A1670,"yyyy-mm-dd")&amp;"|"&amp;B1670&amp;"|"&amp;C1670)</f>
        <v/>
      </c>
    </row>
    <row r="1671">
      <c r="A1671" s="4" t="n"/>
      <c r="D1671" s="5" t="n"/>
      <c r="E1671" s="5" t="n"/>
      <c r="G1671" s="6">
        <f>IF(OR(A1671="",D1671="",E1671=""),"",ROUND(MOD(E1671-D1671,1)*24-N(F1671)/60,2))</f>
        <v/>
      </c>
      <c r="H1671" s="7">
        <f>IF(C1671="","",IFERROR(INDEX(Sites!$B$2:$B$501,MATCH(C1671,Sites!$A$2:$A$501,0)),"?"))</f>
        <v/>
      </c>
      <c r="I1671" s="8">
        <f>IF(A1671="","",A1671-WEEKDAY(A1671,3))</f>
        <v/>
      </c>
      <c r="K1671" s="7">
        <f>IF(A1671="","",IF(OR(B1671="",C1671="",D1671="",E1671=""),"Missing info",IF(ISNA(MATCH(B1671,Staff!$A$2:$A$101,0)),"Unknown employee",IF(H1671="?","Unknown site",IF(G1671&lt;=0,"Check times",IF(G1671&gt;12,"Over 12h",IF(COUNTIFS($L$2:$L$2001,L1671)&gt;1,"Duplicate?",IF(A1671&gt;TODAY(),"Future date","OK"))))))))</f>
        <v/>
      </c>
      <c r="L1671">
        <f>IF(A1671="","",TEXT(A1671,"yyyy-mm-dd")&amp;"|"&amp;B1671&amp;"|"&amp;C1671)</f>
        <v/>
      </c>
    </row>
    <row r="1672">
      <c r="A1672" s="4" t="n"/>
      <c r="D1672" s="5" t="n"/>
      <c r="E1672" s="5" t="n"/>
      <c r="G1672" s="6">
        <f>IF(OR(A1672="",D1672="",E1672=""),"",ROUND(MOD(E1672-D1672,1)*24-N(F1672)/60,2))</f>
        <v/>
      </c>
      <c r="H1672" s="7">
        <f>IF(C1672="","",IFERROR(INDEX(Sites!$B$2:$B$501,MATCH(C1672,Sites!$A$2:$A$501,0)),"?"))</f>
        <v/>
      </c>
      <c r="I1672" s="8">
        <f>IF(A1672="","",A1672-WEEKDAY(A1672,3))</f>
        <v/>
      </c>
      <c r="K1672" s="7">
        <f>IF(A1672="","",IF(OR(B1672="",C1672="",D1672="",E1672=""),"Missing info",IF(ISNA(MATCH(B1672,Staff!$A$2:$A$101,0)),"Unknown employee",IF(H1672="?","Unknown site",IF(G1672&lt;=0,"Check times",IF(G1672&gt;12,"Over 12h",IF(COUNTIFS($L$2:$L$2001,L1672)&gt;1,"Duplicate?",IF(A1672&gt;TODAY(),"Future date","OK"))))))))</f>
        <v/>
      </c>
      <c r="L1672">
        <f>IF(A1672="","",TEXT(A1672,"yyyy-mm-dd")&amp;"|"&amp;B1672&amp;"|"&amp;C1672)</f>
        <v/>
      </c>
    </row>
    <row r="1673">
      <c r="A1673" s="4" t="n"/>
      <c r="D1673" s="5" t="n"/>
      <c r="E1673" s="5" t="n"/>
      <c r="G1673" s="6">
        <f>IF(OR(A1673="",D1673="",E1673=""),"",ROUND(MOD(E1673-D1673,1)*24-N(F1673)/60,2))</f>
        <v/>
      </c>
      <c r="H1673" s="7">
        <f>IF(C1673="","",IFERROR(INDEX(Sites!$B$2:$B$501,MATCH(C1673,Sites!$A$2:$A$501,0)),"?"))</f>
        <v/>
      </c>
      <c r="I1673" s="8">
        <f>IF(A1673="","",A1673-WEEKDAY(A1673,3))</f>
        <v/>
      </c>
      <c r="K1673" s="7">
        <f>IF(A1673="","",IF(OR(B1673="",C1673="",D1673="",E1673=""),"Missing info",IF(ISNA(MATCH(B1673,Staff!$A$2:$A$101,0)),"Unknown employee",IF(H1673="?","Unknown site",IF(G1673&lt;=0,"Check times",IF(G1673&gt;12,"Over 12h",IF(COUNTIFS($L$2:$L$2001,L1673)&gt;1,"Duplicate?",IF(A1673&gt;TODAY(),"Future date","OK"))))))))</f>
        <v/>
      </c>
      <c r="L1673">
        <f>IF(A1673="","",TEXT(A1673,"yyyy-mm-dd")&amp;"|"&amp;B1673&amp;"|"&amp;C1673)</f>
        <v/>
      </c>
    </row>
    <row r="1674">
      <c r="A1674" s="4" t="n"/>
      <c r="D1674" s="5" t="n"/>
      <c r="E1674" s="5" t="n"/>
      <c r="G1674" s="6">
        <f>IF(OR(A1674="",D1674="",E1674=""),"",ROUND(MOD(E1674-D1674,1)*24-N(F1674)/60,2))</f>
        <v/>
      </c>
      <c r="H1674" s="7">
        <f>IF(C1674="","",IFERROR(INDEX(Sites!$B$2:$B$501,MATCH(C1674,Sites!$A$2:$A$501,0)),"?"))</f>
        <v/>
      </c>
      <c r="I1674" s="8">
        <f>IF(A1674="","",A1674-WEEKDAY(A1674,3))</f>
        <v/>
      </c>
      <c r="K1674" s="7">
        <f>IF(A1674="","",IF(OR(B1674="",C1674="",D1674="",E1674=""),"Missing info",IF(ISNA(MATCH(B1674,Staff!$A$2:$A$101,0)),"Unknown employee",IF(H1674="?","Unknown site",IF(G1674&lt;=0,"Check times",IF(G1674&gt;12,"Over 12h",IF(COUNTIFS($L$2:$L$2001,L1674)&gt;1,"Duplicate?",IF(A1674&gt;TODAY(),"Future date","OK"))))))))</f>
        <v/>
      </c>
      <c r="L1674">
        <f>IF(A1674="","",TEXT(A1674,"yyyy-mm-dd")&amp;"|"&amp;B1674&amp;"|"&amp;C1674)</f>
        <v/>
      </c>
    </row>
    <row r="1675">
      <c r="A1675" s="4" t="n"/>
      <c r="D1675" s="5" t="n"/>
      <c r="E1675" s="5" t="n"/>
      <c r="G1675" s="6">
        <f>IF(OR(A1675="",D1675="",E1675=""),"",ROUND(MOD(E1675-D1675,1)*24-N(F1675)/60,2))</f>
        <v/>
      </c>
      <c r="H1675" s="7">
        <f>IF(C1675="","",IFERROR(INDEX(Sites!$B$2:$B$501,MATCH(C1675,Sites!$A$2:$A$501,0)),"?"))</f>
        <v/>
      </c>
      <c r="I1675" s="8">
        <f>IF(A1675="","",A1675-WEEKDAY(A1675,3))</f>
        <v/>
      </c>
      <c r="K1675" s="7">
        <f>IF(A1675="","",IF(OR(B1675="",C1675="",D1675="",E1675=""),"Missing info",IF(ISNA(MATCH(B1675,Staff!$A$2:$A$101,0)),"Unknown employee",IF(H1675="?","Unknown site",IF(G1675&lt;=0,"Check times",IF(G1675&gt;12,"Over 12h",IF(COUNTIFS($L$2:$L$2001,L1675)&gt;1,"Duplicate?",IF(A1675&gt;TODAY(),"Future date","OK"))))))))</f>
        <v/>
      </c>
      <c r="L1675">
        <f>IF(A1675="","",TEXT(A1675,"yyyy-mm-dd")&amp;"|"&amp;B1675&amp;"|"&amp;C1675)</f>
        <v/>
      </c>
    </row>
    <row r="1676">
      <c r="A1676" s="4" t="n"/>
      <c r="D1676" s="5" t="n"/>
      <c r="E1676" s="5" t="n"/>
      <c r="G1676" s="6">
        <f>IF(OR(A1676="",D1676="",E1676=""),"",ROUND(MOD(E1676-D1676,1)*24-N(F1676)/60,2))</f>
        <v/>
      </c>
      <c r="H1676" s="7">
        <f>IF(C1676="","",IFERROR(INDEX(Sites!$B$2:$B$501,MATCH(C1676,Sites!$A$2:$A$501,0)),"?"))</f>
        <v/>
      </c>
      <c r="I1676" s="8">
        <f>IF(A1676="","",A1676-WEEKDAY(A1676,3))</f>
        <v/>
      </c>
      <c r="K1676" s="7">
        <f>IF(A1676="","",IF(OR(B1676="",C1676="",D1676="",E1676=""),"Missing info",IF(ISNA(MATCH(B1676,Staff!$A$2:$A$101,0)),"Unknown employee",IF(H1676="?","Unknown site",IF(G1676&lt;=0,"Check times",IF(G1676&gt;12,"Over 12h",IF(COUNTIFS($L$2:$L$2001,L1676)&gt;1,"Duplicate?",IF(A1676&gt;TODAY(),"Future date","OK"))))))))</f>
        <v/>
      </c>
      <c r="L1676">
        <f>IF(A1676="","",TEXT(A1676,"yyyy-mm-dd")&amp;"|"&amp;B1676&amp;"|"&amp;C1676)</f>
        <v/>
      </c>
    </row>
    <row r="1677">
      <c r="A1677" s="4" t="n"/>
      <c r="D1677" s="5" t="n"/>
      <c r="E1677" s="5" t="n"/>
      <c r="G1677" s="6">
        <f>IF(OR(A1677="",D1677="",E1677=""),"",ROUND(MOD(E1677-D1677,1)*24-N(F1677)/60,2))</f>
        <v/>
      </c>
      <c r="H1677" s="7">
        <f>IF(C1677="","",IFERROR(INDEX(Sites!$B$2:$B$501,MATCH(C1677,Sites!$A$2:$A$501,0)),"?"))</f>
        <v/>
      </c>
      <c r="I1677" s="8">
        <f>IF(A1677="","",A1677-WEEKDAY(A1677,3))</f>
        <v/>
      </c>
      <c r="K1677" s="7">
        <f>IF(A1677="","",IF(OR(B1677="",C1677="",D1677="",E1677=""),"Missing info",IF(ISNA(MATCH(B1677,Staff!$A$2:$A$101,0)),"Unknown employee",IF(H1677="?","Unknown site",IF(G1677&lt;=0,"Check times",IF(G1677&gt;12,"Over 12h",IF(COUNTIFS($L$2:$L$2001,L1677)&gt;1,"Duplicate?",IF(A1677&gt;TODAY(),"Future date","OK"))))))))</f>
        <v/>
      </c>
      <c r="L1677">
        <f>IF(A1677="","",TEXT(A1677,"yyyy-mm-dd")&amp;"|"&amp;B1677&amp;"|"&amp;C1677)</f>
        <v/>
      </c>
    </row>
    <row r="1678">
      <c r="A1678" s="4" t="n"/>
      <c r="D1678" s="5" t="n"/>
      <c r="E1678" s="5" t="n"/>
      <c r="G1678" s="6">
        <f>IF(OR(A1678="",D1678="",E1678=""),"",ROUND(MOD(E1678-D1678,1)*24-N(F1678)/60,2))</f>
        <v/>
      </c>
      <c r="H1678" s="7">
        <f>IF(C1678="","",IFERROR(INDEX(Sites!$B$2:$B$501,MATCH(C1678,Sites!$A$2:$A$501,0)),"?"))</f>
        <v/>
      </c>
      <c r="I1678" s="8">
        <f>IF(A1678="","",A1678-WEEKDAY(A1678,3))</f>
        <v/>
      </c>
      <c r="K1678" s="7">
        <f>IF(A1678="","",IF(OR(B1678="",C1678="",D1678="",E1678=""),"Missing info",IF(ISNA(MATCH(B1678,Staff!$A$2:$A$101,0)),"Unknown employee",IF(H1678="?","Unknown site",IF(G1678&lt;=0,"Check times",IF(G1678&gt;12,"Over 12h",IF(COUNTIFS($L$2:$L$2001,L1678)&gt;1,"Duplicate?",IF(A1678&gt;TODAY(),"Future date","OK"))))))))</f>
        <v/>
      </c>
      <c r="L1678">
        <f>IF(A1678="","",TEXT(A1678,"yyyy-mm-dd")&amp;"|"&amp;B1678&amp;"|"&amp;C1678)</f>
        <v/>
      </c>
    </row>
    <row r="1679">
      <c r="A1679" s="4" t="n"/>
      <c r="D1679" s="5" t="n"/>
      <c r="E1679" s="5" t="n"/>
      <c r="G1679" s="6">
        <f>IF(OR(A1679="",D1679="",E1679=""),"",ROUND(MOD(E1679-D1679,1)*24-N(F1679)/60,2))</f>
        <v/>
      </c>
      <c r="H1679" s="7">
        <f>IF(C1679="","",IFERROR(INDEX(Sites!$B$2:$B$501,MATCH(C1679,Sites!$A$2:$A$501,0)),"?"))</f>
        <v/>
      </c>
      <c r="I1679" s="8">
        <f>IF(A1679="","",A1679-WEEKDAY(A1679,3))</f>
        <v/>
      </c>
      <c r="K1679" s="7">
        <f>IF(A1679="","",IF(OR(B1679="",C1679="",D1679="",E1679=""),"Missing info",IF(ISNA(MATCH(B1679,Staff!$A$2:$A$101,0)),"Unknown employee",IF(H1679="?","Unknown site",IF(G1679&lt;=0,"Check times",IF(G1679&gt;12,"Over 12h",IF(COUNTIFS($L$2:$L$2001,L1679)&gt;1,"Duplicate?",IF(A1679&gt;TODAY(),"Future date","OK"))))))))</f>
        <v/>
      </c>
      <c r="L1679">
        <f>IF(A1679="","",TEXT(A1679,"yyyy-mm-dd")&amp;"|"&amp;B1679&amp;"|"&amp;C1679)</f>
        <v/>
      </c>
    </row>
    <row r="1680">
      <c r="A1680" s="4" t="n"/>
      <c r="D1680" s="5" t="n"/>
      <c r="E1680" s="5" t="n"/>
      <c r="G1680" s="6">
        <f>IF(OR(A1680="",D1680="",E1680=""),"",ROUND(MOD(E1680-D1680,1)*24-N(F1680)/60,2))</f>
        <v/>
      </c>
      <c r="H1680" s="7">
        <f>IF(C1680="","",IFERROR(INDEX(Sites!$B$2:$B$501,MATCH(C1680,Sites!$A$2:$A$501,0)),"?"))</f>
        <v/>
      </c>
      <c r="I1680" s="8">
        <f>IF(A1680="","",A1680-WEEKDAY(A1680,3))</f>
        <v/>
      </c>
      <c r="K1680" s="7">
        <f>IF(A1680="","",IF(OR(B1680="",C1680="",D1680="",E1680=""),"Missing info",IF(ISNA(MATCH(B1680,Staff!$A$2:$A$101,0)),"Unknown employee",IF(H1680="?","Unknown site",IF(G1680&lt;=0,"Check times",IF(G1680&gt;12,"Over 12h",IF(COUNTIFS($L$2:$L$2001,L1680)&gt;1,"Duplicate?",IF(A1680&gt;TODAY(),"Future date","OK"))))))))</f>
        <v/>
      </c>
      <c r="L1680">
        <f>IF(A1680="","",TEXT(A1680,"yyyy-mm-dd")&amp;"|"&amp;B1680&amp;"|"&amp;C1680)</f>
        <v/>
      </c>
    </row>
    <row r="1681">
      <c r="A1681" s="4" t="n"/>
      <c r="D1681" s="5" t="n"/>
      <c r="E1681" s="5" t="n"/>
      <c r="G1681" s="6">
        <f>IF(OR(A1681="",D1681="",E1681=""),"",ROUND(MOD(E1681-D1681,1)*24-N(F1681)/60,2))</f>
        <v/>
      </c>
      <c r="H1681" s="7">
        <f>IF(C1681="","",IFERROR(INDEX(Sites!$B$2:$B$501,MATCH(C1681,Sites!$A$2:$A$501,0)),"?"))</f>
        <v/>
      </c>
      <c r="I1681" s="8">
        <f>IF(A1681="","",A1681-WEEKDAY(A1681,3))</f>
        <v/>
      </c>
      <c r="K1681" s="7">
        <f>IF(A1681="","",IF(OR(B1681="",C1681="",D1681="",E1681=""),"Missing info",IF(ISNA(MATCH(B1681,Staff!$A$2:$A$101,0)),"Unknown employee",IF(H1681="?","Unknown site",IF(G1681&lt;=0,"Check times",IF(G1681&gt;12,"Over 12h",IF(COUNTIFS($L$2:$L$2001,L1681)&gt;1,"Duplicate?",IF(A1681&gt;TODAY(),"Future date","OK"))))))))</f>
        <v/>
      </c>
      <c r="L1681">
        <f>IF(A1681="","",TEXT(A1681,"yyyy-mm-dd")&amp;"|"&amp;B1681&amp;"|"&amp;C1681)</f>
        <v/>
      </c>
    </row>
    <row r="1682">
      <c r="A1682" s="4" t="n"/>
      <c r="D1682" s="5" t="n"/>
      <c r="E1682" s="5" t="n"/>
      <c r="G1682" s="6">
        <f>IF(OR(A1682="",D1682="",E1682=""),"",ROUND(MOD(E1682-D1682,1)*24-N(F1682)/60,2))</f>
        <v/>
      </c>
      <c r="H1682" s="7">
        <f>IF(C1682="","",IFERROR(INDEX(Sites!$B$2:$B$501,MATCH(C1682,Sites!$A$2:$A$501,0)),"?"))</f>
        <v/>
      </c>
      <c r="I1682" s="8">
        <f>IF(A1682="","",A1682-WEEKDAY(A1682,3))</f>
        <v/>
      </c>
      <c r="K1682" s="7">
        <f>IF(A1682="","",IF(OR(B1682="",C1682="",D1682="",E1682=""),"Missing info",IF(ISNA(MATCH(B1682,Staff!$A$2:$A$101,0)),"Unknown employee",IF(H1682="?","Unknown site",IF(G1682&lt;=0,"Check times",IF(G1682&gt;12,"Over 12h",IF(COUNTIFS($L$2:$L$2001,L1682)&gt;1,"Duplicate?",IF(A1682&gt;TODAY(),"Future date","OK"))))))))</f>
        <v/>
      </c>
      <c r="L1682">
        <f>IF(A1682="","",TEXT(A1682,"yyyy-mm-dd")&amp;"|"&amp;B1682&amp;"|"&amp;C1682)</f>
        <v/>
      </c>
    </row>
    <row r="1683">
      <c r="A1683" s="4" t="n"/>
      <c r="D1683" s="5" t="n"/>
      <c r="E1683" s="5" t="n"/>
      <c r="G1683" s="6">
        <f>IF(OR(A1683="",D1683="",E1683=""),"",ROUND(MOD(E1683-D1683,1)*24-N(F1683)/60,2))</f>
        <v/>
      </c>
      <c r="H1683" s="7">
        <f>IF(C1683="","",IFERROR(INDEX(Sites!$B$2:$B$501,MATCH(C1683,Sites!$A$2:$A$501,0)),"?"))</f>
        <v/>
      </c>
      <c r="I1683" s="8">
        <f>IF(A1683="","",A1683-WEEKDAY(A1683,3))</f>
        <v/>
      </c>
      <c r="K1683" s="7">
        <f>IF(A1683="","",IF(OR(B1683="",C1683="",D1683="",E1683=""),"Missing info",IF(ISNA(MATCH(B1683,Staff!$A$2:$A$101,0)),"Unknown employee",IF(H1683="?","Unknown site",IF(G1683&lt;=0,"Check times",IF(G1683&gt;12,"Over 12h",IF(COUNTIFS($L$2:$L$2001,L1683)&gt;1,"Duplicate?",IF(A1683&gt;TODAY(),"Future date","OK"))))))))</f>
        <v/>
      </c>
      <c r="L1683">
        <f>IF(A1683="","",TEXT(A1683,"yyyy-mm-dd")&amp;"|"&amp;B1683&amp;"|"&amp;C1683)</f>
        <v/>
      </c>
    </row>
    <row r="1684">
      <c r="A1684" s="4" t="n"/>
      <c r="D1684" s="5" t="n"/>
      <c r="E1684" s="5" t="n"/>
      <c r="G1684" s="6">
        <f>IF(OR(A1684="",D1684="",E1684=""),"",ROUND(MOD(E1684-D1684,1)*24-N(F1684)/60,2))</f>
        <v/>
      </c>
      <c r="H1684" s="7">
        <f>IF(C1684="","",IFERROR(INDEX(Sites!$B$2:$B$501,MATCH(C1684,Sites!$A$2:$A$501,0)),"?"))</f>
        <v/>
      </c>
      <c r="I1684" s="8">
        <f>IF(A1684="","",A1684-WEEKDAY(A1684,3))</f>
        <v/>
      </c>
      <c r="K1684" s="7">
        <f>IF(A1684="","",IF(OR(B1684="",C1684="",D1684="",E1684=""),"Missing info",IF(ISNA(MATCH(B1684,Staff!$A$2:$A$101,0)),"Unknown employee",IF(H1684="?","Unknown site",IF(G1684&lt;=0,"Check times",IF(G1684&gt;12,"Over 12h",IF(COUNTIFS($L$2:$L$2001,L1684)&gt;1,"Duplicate?",IF(A1684&gt;TODAY(),"Future date","OK"))))))))</f>
        <v/>
      </c>
      <c r="L1684">
        <f>IF(A1684="","",TEXT(A1684,"yyyy-mm-dd")&amp;"|"&amp;B1684&amp;"|"&amp;C1684)</f>
        <v/>
      </c>
    </row>
    <row r="1685">
      <c r="A1685" s="4" t="n"/>
      <c r="D1685" s="5" t="n"/>
      <c r="E1685" s="5" t="n"/>
      <c r="G1685" s="6">
        <f>IF(OR(A1685="",D1685="",E1685=""),"",ROUND(MOD(E1685-D1685,1)*24-N(F1685)/60,2))</f>
        <v/>
      </c>
      <c r="H1685" s="7">
        <f>IF(C1685="","",IFERROR(INDEX(Sites!$B$2:$B$501,MATCH(C1685,Sites!$A$2:$A$501,0)),"?"))</f>
        <v/>
      </c>
      <c r="I1685" s="8">
        <f>IF(A1685="","",A1685-WEEKDAY(A1685,3))</f>
        <v/>
      </c>
      <c r="K1685" s="7">
        <f>IF(A1685="","",IF(OR(B1685="",C1685="",D1685="",E1685=""),"Missing info",IF(ISNA(MATCH(B1685,Staff!$A$2:$A$101,0)),"Unknown employee",IF(H1685="?","Unknown site",IF(G1685&lt;=0,"Check times",IF(G1685&gt;12,"Over 12h",IF(COUNTIFS($L$2:$L$2001,L1685)&gt;1,"Duplicate?",IF(A1685&gt;TODAY(),"Future date","OK"))))))))</f>
        <v/>
      </c>
      <c r="L1685">
        <f>IF(A1685="","",TEXT(A1685,"yyyy-mm-dd")&amp;"|"&amp;B1685&amp;"|"&amp;C1685)</f>
        <v/>
      </c>
    </row>
    <row r="1686">
      <c r="A1686" s="4" t="n"/>
      <c r="D1686" s="5" t="n"/>
      <c r="E1686" s="5" t="n"/>
      <c r="G1686" s="6">
        <f>IF(OR(A1686="",D1686="",E1686=""),"",ROUND(MOD(E1686-D1686,1)*24-N(F1686)/60,2))</f>
        <v/>
      </c>
      <c r="H1686" s="7">
        <f>IF(C1686="","",IFERROR(INDEX(Sites!$B$2:$B$501,MATCH(C1686,Sites!$A$2:$A$501,0)),"?"))</f>
        <v/>
      </c>
      <c r="I1686" s="8">
        <f>IF(A1686="","",A1686-WEEKDAY(A1686,3))</f>
        <v/>
      </c>
      <c r="K1686" s="7">
        <f>IF(A1686="","",IF(OR(B1686="",C1686="",D1686="",E1686=""),"Missing info",IF(ISNA(MATCH(B1686,Staff!$A$2:$A$101,0)),"Unknown employee",IF(H1686="?","Unknown site",IF(G1686&lt;=0,"Check times",IF(G1686&gt;12,"Over 12h",IF(COUNTIFS($L$2:$L$2001,L1686)&gt;1,"Duplicate?",IF(A1686&gt;TODAY(),"Future date","OK"))))))))</f>
        <v/>
      </c>
      <c r="L1686">
        <f>IF(A1686="","",TEXT(A1686,"yyyy-mm-dd")&amp;"|"&amp;B1686&amp;"|"&amp;C1686)</f>
        <v/>
      </c>
    </row>
    <row r="1687">
      <c r="A1687" s="4" t="n"/>
      <c r="D1687" s="5" t="n"/>
      <c r="E1687" s="5" t="n"/>
      <c r="G1687" s="6">
        <f>IF(OR(A1687="",D1687="",E1687=""),"",ROUND(MOD(E1687-D1687,1)*24-N(F1687)/60,2))</f>
        <v/>
      </c>
      <c r="H1687" s="7">
        <f>IF(C1687="","",IFERROR(INDEX(Sites!$B$2:$B$501,MATCH(C1687,Sites!$A$2:$A$501,0)),"?"))</f>
        <v/>
      </c>
      <c r="I1687" s="8">
        <f>IF(A1687="","",A1687-WEEKDAY(A1687,3))</f>
        <v/>
      </c>
      <c r="K1687" s="7">
        <f>IF(A1687="","",IF(OR(B1687="",C1687="",D1687="",E1687=""),"Missing info",IF(ISNA(MATCH(B1687,Staff!$A$2:$A$101,0)),"Unknown employee",IF(H1687="?","Unknown site",IF(G1687&lt;=0,"Check times",IF(G1687&gt;12,"Over 12h",IF(COUNTIFS($L$2:$L$2001,L1687)&gt;1,"Duplicate?",IF(A1687&gt;TODAY(),"Future date","OK"))))))))</f>
        <v/>
      </c>
      <c r="L1687">
        <f>IF(A1687="","",TEXT(A1687,"yyyy-mm-dd")&amp;"|"&amp;B1687&amp;"|"&amp;C1687)</f>
        <v/>
      </c>
    </row>
    <row r="1688">
      <c r="A1688" s="4" t="n"/>
      <c r="D1688" s="5" t="n"/>
      <c r="E1688" s="5" t="n"/>
      <c r="G1688" s="6">
        <f>IF(OR(A1688="",D1688="",E1688=""),"",ROUND(MOD(E1688-D1688,1)*24-N(F1688)/60,2))</f>
        <v/>
      </c>
      <c r="H1688" s="7">
        <f>IF(C1688="","",IFERROR(INDEX(Sites!$B$2:$B$501,MATCH(C1688,Sites!$A$2:$A$501,0)),"?"))</f>
        <v/>
      </c>
      <c r="I1688" s="8">
        <f>IF(A1688="","",A1688-WEEKDAY(A1688,3))</f>
        <v/>
      </c>
      <c r="K1688" s="7">
        <f>IF(A1688="","",IF(OR(B1688="",C1688="",D1688="",E1688=""),"Missing info",IF(ISNA(MATCH(B1688,Staff!$A$2:$A$101,0)),"Unknown employee",IF(H1688="?","Unknown site",IF(G1688&lt;=0,"Check times",IF(G1688&gt;12,"Over 12h",IF(COUNTIFS($L$2:$L$2001,L1688)&gt;1,"Duplicate?",IF(A1688&gt;TODAY(),"Future date","OK"))))))))</f>
        <v/>
      </c>
      <c r="L1688">
        <f>IF(A1688="","",TEXT(A1688,"yyyy-mm-dd")&amp;"|"&amp;B1688&amp;"|"&amp;C1688)</f>
        <v/>
      </c>
    </row>
    <row r="1689">
      <c r="A1689" s="4" t="n"/>
      <c r="D1689" s="5" t="n"/>
      <c r="E1689" s="5" t="n"/>
      <c r="G1689" s="6">
        <f>IF(OR(A1689="",D1689="",E1689=""),"",ROUND(MOD(E1689-D1689,1)*24-N(F1689)/60,2))</f>
        <v/>
      </c>
      <c r="H1689" s="7">
        <f>IF(C1689="","",IFERROR(INDEX(Sites!$B$2:$B$501,MATCH(C1689,Sites!$A$2:$A$501,0)),"?"))</f>
        <v/>
      </c>
      <c r="I1689" s="8">
        <f>IF(A1689="","",A1689-WEEKDAY(A1689,3))</f>
        <v/>
      </c>
      <c r="K1689" s="7">
        <f>IF(A1689="","",IF(OR(B1689="",C1689="",D1689="",E1689=""),"Missing info",IF(ISNA(MATCH(B1689,Staff!$A$2:$A$101,0)),"Unknown employee",IF(H1689="?","Unknown site",IF(G1689&lt;=0,"Check times",IF(G1689&gt;12,"Over 12h",IF(COUNTIFS($L$2:$L$2001,L1689)&gt;1,"Duplicate?",IF(A1689&gt;TODAY(),"Future date","OK"))))))))</f>
        <v/>
      </c>
      <c r="L1689">
        <f>IF(A1689="","",TEXT(A1689,"yyyy-mm-dd")&amp;"|"&amp;B1689&amp;"|"&amp;C1689)</f>
        <v/>
      </c>
    </row>
    <row r="1690">
      <c r="A1690" s="4" t="n"/>
      <c r="D1690" s="5" t="n"/>
      <c r="E1690" s="5" t="n"/>
      <c r="G1690" s="6">
        <f>IF(OR(A1690="",D1690="",E1690=""),"",ROUND(MOD(E1690-D1690,1)*24-N(F1690)/60,2))</f>
        <v/>
      </c>
      <c r="H1690" s="7">
        <f>IF(C1690="","",IFERROR(INDEX(Sites!$B$2:$B$501,MATCH(C1690,Sites!$A$2:$A$501,0)),"?"))</f>
        <v/>
      </c>
      <c r="I1690" s="8">
        <f>IF(A1690="","",A1690-WEEKDAY(A1690,3))</f>
        <v/>
      </c>
      <c r="K1690" s="7">
        <f>IF(A1690="","",IF(OR(B1690="",C1690="",D1690="",E1690=""),"Missing info",IF(ISNA(MATCH(B1690,Staff!$A$2:$A$101,0)),"Unknown employee",IF(H1690="?","Unknown site",IF(G1690&lt;=0,"Check times",IF(G1690&gt;12,"Over 12h",IF(COUNTIFS($L$2:$L$2001,L1690)&gt;1,"Duplicate?",IF(A1690&gt;TODAY(),"Future date","OK"))))))))</f>
        <v/>
      </c>
      <c r="L1690">
        <f>IF(A1690="","",TEXT(A1690,"yyyy-mm-dd")&amp;"|"&amp;B1690&amp;"|"&amp;C1690)</f>
        <v/>
      </c>
    </row>
    <row r="1691">
      <c r="A1691" s="4" t="n"/>
      <c r="D1691" s="5" t="n"/>
      <c r="E1691" s="5" t="n"/>
      <c r="G1691" s="6">
        <f>IF(OR(A1691="",D1691="",E1691=""),"",ROUND(MOD(E1691-D1691,1)*24-N(F1691)/60,2))</f>
        <v/>
      </c>
      <c r="H1691" s="7">
        <f>IF(C1691="","",IFERROR(INDEX(Sites!$B$2:$B$501,MATCH(C1691,Sites!$A$2:$A$501,0)),"?"))</f>
        <v/>
      </c>
      <c r="I1691" s="8">
        <f>IF(A1691="","",A1691-WEEKDAY(A1691,3))</f>
        <v/>
      </c>
      <c r="K1691" s="7">
        <f>IF(A1691="","",IF(OR(B1691="",C1691="",D1691="",E1691=""),"Missing info",IF(ISNA(MATCH(B1691,Staff!$A$2:$A$101,0)),"Unknown employee",IF(H1691="?","Unknown site",IF(G1691&lt;=0,"Check times",IF(G1691&gt;12,"Over 12h",IF(COUNTIFS($L$2:$L$2001,L1691)&gt;1,"Duplicate?",IF(A1691&gt;TODAY(),"Future date","OK"))))))))</f>
        <v/>
      </c>
      <c r="L1691">
        <f>IF(A1691="","",TEXT(A1691,"yyyy-mm-dd")&amp;"|"&amp;B1691&amp;"|"&amp;C1691)</f>
        <v/>
      </c>
    </row>
    <row r="1692">
      <c r="A1692" s="4" t="n"/>
      <c r="D1692" s="5" t="n"/>
      <c r="E1692" s="5" t="n"/>
      <c r="G1692" s="6">
        <f>IF(OR(A1692="",D1692="",E1692=""),"",ROUND(MOD(E1692-D1692,1)*24-N(F1692)/60,2))</f>
        <v/>
      </c>
      <c r="H1692" s="7">
        <f>IF(C1692="","",IFERROR(INDEX(Sites!$B$2:$B$501,MATCH(C1692,Sites!$A$2:$A$501,0)),"?"))</f>
        <v/>
      </c>
      <c r="I1692" s="8">
        <f>IF(A1692="","",A1692-WEEKDAY(A1692,3))</f>
        <v/>
      </c>
      <c r="K1692" s="7">
        <f>IF(A1692="","",IF(OR(B1692="",C1692="",D1692="",E1692=""),"Missing info",IF(ISNA(MATCH(B1692,Staff!$A$2:$A$101,0)),"Unknown employee",IF(H1692="?","Unknown site",IF(G1692&lt;=0,"Check times",IF(G1692&gt;12,"Over 12h",IF(COUNTIFS($L$2:$L$2001,L1692)&gt;1,"Duplicate?",IF(A1692&gt;TODAY(),"Future date","OK"))))))))</f>
        <v/>
      </c>
      <c r="L1692">
        <f>IF(A1692="","",TEXT(A1692,"yyyy-mm-dd")&amp;"|"&amp;B1692&amp;"|"&amp;C1692)</f>
        <v/>
      </c>
    </row>
    <row r="1693">
      <c r="A1693" s="4" t="n"/>
      <c r="D1693" s="5" t="n"/>
      <c r="E1693" s="5" t="n"/>
      <c r="G1693" s="6">
        <f>IF(OR(A1693="",D1693="",E1693=""),"",ROUND(MOD(E1693-D1693,1)*24-N(F1693)/60,2))</f>
        <v/>
      </c>
      <c r="H1693" s="7">
        <f>IF(C1693="","",IFERROR(INDEX(Sites!$B$2:$B$501,MATCH(C1693,Sites!$A$2:$A$501,0)),"?"))</f>
        <v/>
      </c>
      <c r="I1693" s="8">
        <f>IF(A1693="","",A1693-WEEKDAY(A1693,3))</f>
        <v/>
      </c>
      <c r="K1693" s="7">
        <f>IF(A1693="","",IF(OR(B1693="",C1693="",D1693="",E1693=""),"Missing info",IF(ISNA(MATCH(B1693,Staff!$A$2:$A$101,0)),"Unknown employee",IF(H1693="?","Unknown site",IF(G1693&lt;=0,"Check times",IF(G1693&gt;12,"Over 12h",IF(COUNTIFS($L$2:$L$2001,L1693)&gt;1,"Duplicate?",IF(A1693&gt;TODAY(),"Future date","OK"))))))))</f>
        <v/>
      </c>
      <c r="L1693">
        <f>IF(A1693="","",TEXT(A1693,"yyyy-mm-dd")&amp;"|"&amp;B1693&amp;"|"&amp;C1693)</f>
        <v/>
      </c>
    </row>
    <row r="1694">
      <c r="A1694" s="4" t="n"/>
      <c r="D1694" s="5" t="n"/>
      <c r="E1694" s="5" t="n"/>
      <c r="G1694" s="6">
        <f>IF(OR(A1694="",D1694="",E1694=""),"",ROUND(MOD(E1694-D1694,1)*24-N(F1694)/60,2))</f>
        <v/>
      </c>
      <c r="H1694" s="7">
        <f>IF(C1694="","",IFERROR(INDEX(Sites!$B$2:$B$501,MATCH(C1694,Sites!$A$2:$A$501,0)),"?"))</f>
        <v/>
      </c>
      <c r="I1694" s="8">
        <f>IF(A1694="","",A1694-WEEKDAY(A1694,3))</f>
        <v/>
      </c>
      <c r="K1694" s="7">
        <f>IF(A1694="","",IF(OR(B1694="",C1694="",D1694="",E1694=""),"Missing info",IF(ISNA(MATCH(B1694,Staff!$A$2:$A$101,0)),"Unknown employee",IF(H1694="?","Unknown site",IF(G1694&lt;=0,"Check times",IF(G1694&gt;12,"Over 12h",IF(COUNTIFS($L$2:$L$2001,L1694)&gt;1,"Duplicate?",IF(A1694&gt;TODAY(),"Future date","OK"))))))))</f>
        <v/>
      </c>
      <c r="L1694">
        <f>IF(A1694="","",TEXT(A1694,"yyyy-mm-dd")&amp;"|"&amp;B1694&amp;"|"&amp;C1694)</f>
        <v/>
      </c>
    </row>
    <row r="1695">
      <c r="A1695" s="4" t="n"/>
      <c r="D1695" s="5" t="n"/>
      <c r="E1695" s="5" t="n"/>
      <c r="G1695" s="6">
        <f>IF(OR(A1695="",D1695="",E1695=""),"",ROUND(MOD(E1695-D1695,1)*24-N(F1695)/60,2))</f>
        <v/>
      </c>
      <c r="H1695" s="7">
        <f>IF(C1695="","",IFERROR(INDEX(Sites!$B$2:$B$501,MATCH(C1695,Sites!$A$2:$A$501,0)),"?"))</f>
        <v/>
      </c>
      <c r="I1695" s="8">
        <f>IF(A1695="","",A1695-WEEKDAY(A1695,3))</f>
        <v/>
      </c>
      <c r="K1695" s="7">
        <f>IF(A1695="","",IF(OR(B1695="",C1695="",D1695="",E1695=""),"Missing info",IF(ISNA(MATCH(B1695,Staff!$A$2:$A$101,0)),"Unknown employee",IF(H1695="?","Unknown site",IF(G1695&lt;=0,"Check times",IF(G1695&gt;12,"Over 12h",IF(COUNTIFS($L$2:$L$2001,L1695)&gt;1,"Duplicate?",IF(A1695&gt;TODAY(),"Future date","OK"))))))))</f>
        <v/>
      </c>
      <c r="L1695">
        <f>IF(A1695="","",TEXT(A1695,"yyyy-mm-dd")&amp;"|"&amp;B1695&amp;"|"&amp;C1695)</f>
        <v/>
      </c>
    </row>
    <row r="1696">
      <c r="A1696" s="4" t="n"/>
      <c r="D1696" s="5" t="n"/>
      <c r="E1696" s="5" t="n"/>
      <c r="G1696" s="6">
        <f>IF(OR(A1696="",D1696="",E1696=""),"",ROUND(MOD(E1696-D1696,1)*24-N(F1696)/60,2))</f>
        <v/>
      </c>
      <c r="H1696" s="7">
        <f>IF(C1696="","",IFERROR(INDEX(Sites!$B$2:$B$501,MATCH(C1696,Sites!$A$2:$A$501,0)),"?"))</f>
        <v/>
      </c>
      <c r="I1696" s="8">
        <f>IF(A1696="","",A1696-WEEKDAY(A1696,3))</f>
        <v/>
      </c>
      <c r="K1696" s="7">
        <f>IF(A1696="","",IF(OR(B1696="",C1696="",D1696="",E1696=""),"Missing info",IF(ISNA(MATCH(B1696,Staff!$A$2:$A$101,0)),"Unknown employee",IF(H1696="?","Unknown site",IF(G1696&lt;=0,"Check times",IF(G1696&gt;12,"Over 12h",IF(COUNTIFS($L$2:$L$2001,L1696)&gt;1,"Duplicate?",IF(A1696&gt;TODAY(),"Future date","OK"))))))))</f>
        <v/>
      </c>
      <c r="L1696">
        <f>IF(A1696="","",TEXT(A1696,"yyyy-mm-dd")&amp;"|"&amp;B1696&amp;"|"&amp;C1696)</f>
        <v/>
      </c>
    </row>
    <row r="1697">
      <c r="A1697" s="4" t="n"/>
      <c r="D1697" s="5" t="n"/>
      <c r="E1697" s="5" t="n"/>
      <c r="G1697" s="6">
        <f>IF(OR(A1697="",D1697="",E1697=""),"",ROUND(MOD(E1697-D1697,1)*24-N(F1697)/60,2))</f>
        <v/>
      </c>
      <c r="H1697" s="7">
        <f>IF(C1697="","",IFERROR(INDEX(Sites!$B$2:$B$501,MATCH(C1697,Sites!$A$2:$A$501,0)),"?"))</f>
        <v/>
      </c>
      <c r="I1697" s="8">
        <f>IF(A1697="","",A1697-WEEKDAY(A1697,3))</f>
        <v/>
      </c>
      <c r="K1697" s="7">
        <f>IF(A1697="","",IF(OR(B1697="",C1697="",D1697="",E1697=""),"Missing info",IF(ISNA(MATCH(B1697,Staff!$A$2:$A$101,0)),"Unknown employee",IF(H1697="?","Unknown site",IF(G1697&lt;=0,"Check times",IF(G1697&gt;12,"Over 12h",IF(COUNTIFS($L$2:$L$2001,L1697)&gt;1,"Duplicate?",IF(A1697&gt;TODAY(),"Future date","OK"))))))))</f>
        <v/>
      </c>
      <c r="L1697">
        <f>IF(A1697="","",TEXT(A1697,"yyyy-mm-dd")&amp;"|"&amp;B1697&amp;"|"&amp;C1697)</f>
        <v/>
      </c>
    </row>
    <row r="1698">
      <c r="A1698" s="4" t="n"/>
      <c r="D1698" s="5" t="n"/>
      <c r="E1698" s="5" t="n"/>
      <c r="G1698" s="6">
        <f>IF(OR(A1698="",D1698="",E1698=""),"",ROUND(MOD(E1698-D1698,1)*24-N(F1698)/60,2))</f>
        <v/>
      </c>
      <c r="H1698" s="7">
        <f>IF(C1698="","",IFERROR(INDEX(Sites!$B$2:$B$501,MATCH(C1698,Sites!$A$2:$A$501,0)),"?"))</f>
        <v/>
      </c>
      <c r="I1698" s="8">
        <f>IF(A1698="","",A1698-WEEKDAY(A1698,3))</f>
        <v/>
      </c>
      <c r="K1698" s="7">
        <f>IF(A1698="","",IF(OR(B1698="",C1698="",D1698="",E1698=""),"Missing info",IF(ISNA(MATCH(B1698,Staff!$A$2:$A$101,0)),"Unknown employee",IF(H1698="?","Unknown site",IF(G1698&lt;=0,"Check times",IF(G1698&gt;12,"Over 12h",IF(COUNTIFS($L$2:$L$2001,L1698)&gt;1,"Duplicate?",IF(A1698&gt;TODAY(),"Future date","OK"))))))))</f>
        <v/>
      </c>
      <c r="L1698">
        <f>IF(A1698="","",TEXT(A1698,"yyyy-mm-dd")&amp;"|"&amp;B1698&amp;"|"&amp;C1698)</f>
        <v/>
      </c>
    </row>
    <row r="1699">
      <c r="A1699" s="4" t="n"/>
      <c r="D1699" s="5" t="n"/>
      <c r="E1699" s="5" t="n"/>
      <c r="G1699" s="6">
        <f>IF(OR(A1699="",D1699="",E1699=""),"",ROUND(MOD(E1699-D1699,1)*24-N(F1699)/60,2))</f>
        <v/>
      </c>
      <c r="H1699" s="7">
        <f>IF(C1699="","",IFERROR(INDEX(Sites!$B$2:$B$501,MATCH(C1699,Sites!$A$2:$A$501,0)),"?"))</f>
        <v/>
      </c>
      <c r="I1699" s="8">
        <f>IF(A1699="","",A1699-WEEKDAY(A1699,3))</f>
        <v/>
      </c>
      <c r="K1699" s="7">
        <f>IF(A1699="","",IF(OR(B1699="",C1699="",D1699="",E1699=""),"Missing info",IF(ISNA(MATCH(B1699,Staff!$A$2:$A$101,0)),"Unknown employee",IF(H1699="?","Unknown site",IF(G1699&lt;=0,"Check times",IF(G1699&gt;12,"Over 12h",IF(COUNTIFS($L$2:$L$2001,L1699)&gt;1,"Duplicate?",IF(A1699&gt;TODAY(),"Future date","OK"))))))))</f>
        <v/>
      </c>
      <c r="L1699">
        <f>IF(A1699="","",TEXT(A1699,"yyyy-mm-dd")&amp;"|"&amp;B1699&amp;"|"&amp;C1699)</f>
        <v/>
      </c>
    </row>
    <row r="1700">
      <c r="A1700" s="4" t="n"/>
      <c r="D1700" s="5" t="n"/>
      <c r="E1700" s="5" t="n"/>
      <c r="G1700" s="6">
        <f>IF(OR(A1700="",D1700="",E1700=""),"",ROUND(MOD(E1700-D1700,1)*24-N(F1700)/60,2))</f>
        <v/>
      </c>
      <c r="H1700" s="7">
        <f>IF(C1700="","",IFERROR(INDEX(Sites!$B$2:$B$501,MATCH(C1700,Sites!$A$2:$A$501,0)),"?"))</f>
        <v/>
      </c>
      <c r="I1700" s="8">
        <f>IF(A1700="","",A1700-WEEKDAY(A1700,3))</f>
        <v/>
      </c>
      <c r="K1700" s="7">
        <f>IF(A1700="","",IF(OR(B1700="",C1700="",D1700="",E1700=""),"Missing info",IF(ISNA(MATCH(B1700,Staff!$A$2:$A$101,0)),"Unknown employee",IF(H1700="?","Unknown site",IF(G1700&lt;=0,"Check times",IF(G1700&gt;12,"Over 12h",IF(COUNTIFS($L$2:$L$2001,L1700)&gt;1,"Duplicate?",IF(A1700&gt;TODAY(),"Future date","OK"))))))))</f>
        <v/>
      </c>
      <c r="L1700">
        <f>IF(A1700="","",TEXT(A1700,"yyyy-mm-dd")&amp;"|"&amp;B1700&amp;"|"&amp;C1700)</f>
        <v/>
      </c>
    </row>
    <row r="1701">
      <c r="A1701" s="4" t="n"/>
      <c r="D1701" s="5" t="n"/>
      <c r="E1701" s="5" t="n"/>
      <c r="G1701" s="6">
        <f>IF(OR(A1701="",D1701="",E1701=""),"",ROUND(MOD(E1701-D1701,1)*24-N(F1701)/60,2))</f>
        <v/>
      </c>
      <c r="H1701" s="7">
        <f>IF(C1701="","",IFERROR(INDEX(Sites!$B$2:$B$501,MATCH(C1701,Sites!$A$2:$A$501,0)),"?"))</f>
        <v/>
      </c>
      <c r="I1701" s="8">
        <f>IF(A1701="","",A1701-WEEKDAY(A1701,3))</f>
        <v/>
      </c>
      <c r="K1701" s="7">
        <f>IF(A1701="","",IF(OR(B1701="",C1701="",D1701="",E1701=""),"Missing info",IF(ISNA(MATCH(B1701,Staff!$A$2:$A$101,0)),"Unknown employee",IF(H1701="?","Unknown site",IF(G1701&lt;=0,"Check times",IF(G1701&gt;12,"Over 12h",IF(COUNTIFS($L$2:$L$2001,L1701)&gt;1,"Duplicate?",IF(A1701&gt;TODAY(),"Future date","OK"))))))))</f>
        <v/>
      </c>
      <c r="L1701">
        <f>IF(A1701="","",TEXT(A1701,"yyyy-mm-dd")&amp;"|"&amp;B1701&amp;"|"&amp;C1701)</f>
        <v/>
      </c>
    </row>
    <row r="1702">
      <c r="A1702" s="4" t="n"/>
      <c r="D1702" s="5" t="n"/>
      <c r="E1702" s="5" t="n"/>
      <c r="G1702" s="6">
        <f>IF(OR(A1702="",D1702="",E1702=""),"",ROUND(MOD(E1702-D1702,1)*24-N(F1702)/60,2))</f>
        <v/>
      </c>
      <c r="H1702" s="7">
        <f>IF(C1702="","",IFERROR(INDEX(Sites!$B$2:$B$501,MATCH(C1702,Sites!$A$2:$A$501,0)),"?"))</f>
        <v/>
      </c>
      <c r="I1702" s="8">
        <f>IF(A1702="","",A1702-WEEKDAY(A1702,3))</f>
        <v/>
      </c>
      <c r="K1702" s="7">
        <f>IF(A1702="","",IF(OR(B1702="",C1702="",D1702="",E1702=""),"Missing info",IF(ISNA(MATCH(B1702,Staff!$A$2:$A$101,0)),"Unknown employee",IF(H1702="?","Unknown site",IF(G1702&lt;=0,"Check times",IF(G1702&gt;12,"Over 12h",IF(COUNTIFS($L$2:$L$2001,L1702)&gt;1,"Duplicate?",IF(A1702&gt;TODAY(),"Future date","OK"))))))))</f>
        <v/>
      </c>
      <c r="L1702">
        <f>IF(A1702="","",TEXT(A1702,"yyyy-mm-dd")&amp;"|"&amp;B1702&amp;"|"&amp;C1702)</f>
        <v/>
      </c>
    </row>
    <row r="1703">
      <c r="A1703" s="4" t="n"/>
      <c r="D1703" s="5" t="n"/>
      <c r="E1703" s="5" t="n"/>
      <c r="G1703" s="6">
        <f>IF(OR(A1703="",D1703="",E1703=""),"",ROUND(MOD(E1703-D1703,1)*24-N(F1703)/60,2))</f>
        <v/>
      </c>
      <c r="H1703" s="7">
        <f>IF(C1703="","",IFERROR(INDEX(Sites!$B$2:$B$501,MATCH(C1703,Sites!$A$2:$A$501,0)),"?"))</f>
        <v/>
      </c>
      <c r="I1703" s="8">
        <f>IF(A1703="","",A1703-WEEKDAY(A1703,3))</f>
        <v/>
      </c>
      <c r="K1703" s="7">
        <f>IF(A1703="","",IF(OR(B1703="",C1703="",D1703="",E1703=""),"Missing info",IF(ISNA(MATCH(B1703,Staff!$A$2:$A$101,0)),"Unknown employee",IF(H1703="?","Unknown site",IF(G1703&lt;=0,"Check times",IF(G1703&gt;12,"Over 12h",IF(COUNTIFS($L$2:$L$2001,L1703)&gt;1,"Duplicate?",IF(A1703&gt;TODAY(),"Future date","OK"))))))))</f>
        <v/>
      </c>
      <c r="L1703">
        <f>IF(A1703="","",TEXT(A1703,"yyyy-mm-dd")&amp;"|"&amp;B1703&amp;"|"&amp;C1703)</f>
        <v/>
      </c>
    </row>
    <row r="1704">
      <c r="A1704" s="4" t="n"/>
      <c r="D1704" s="5" t="n"/>
      <c r="E1704" s="5" t="n"/>
      <c r="G1704" s="6">
        <f>IF(OR(A1704="",D1704="",E1704=""),"",ROUND(MOD(E1704-D1704,1)*24-N(F1704)/60,2))</f>
        <v/>
      </c>
      <c r="H1704" s="7">
        <f>IF(C1704="","",IFERROR(INDEX(Sites!$B$2:$B$501,MATCH(C1704,Sites!$A$2:$A$501,0)),"?"))</f>
        <v/>
      </c>
      <c r="I1704" s="8">
        <f>IF(A1704="","",A1704-WEEKDAY(A1704,3))</f>
        <v/>
      </c>
      <c r="K1704" s="7">
        <f>IF(A1704="","",IF(OR(B1704="",C1704="",D1704="",E1704=""),"Missing info",IF(ISNA(MATCH(B1704,Staff!$A$2:$A$101,0)),"Unknown employee",IF(H1704="?","Unknown site",IF(G1704&lt;=0,"Check times",IF(G1704&gt;12,"Over 12h",IF(COUNTIFS($L$2:$L$2001,L1704)&gt;1,"Duplicate?",IF(A1704&gt;TODAY(),"Future date","OK"))))))))</f>
        <v/>
      </c>
      <c r="L1704">
        <f>IF(A1704="","",TEXT(A1704,"yyyy-mm-dd")&amp;"|"&amp;B1704&amp;"|"&amp;C1704)</f>
        <v/>
      </c>
    </row>
    <row r="1705">
      <c r="A1705" s="4" t="n"/>
      <c r="D1705" s="5" t="n"/>
      <c r="E1705" s="5" t="n"/>
      <c r="G1705" s="6">
        <f>IF(OR(A1705="",D1705="",E1705=""),"",ROUND(MOD(E1705-D1705,1)*24-N(F1705)/60,2))</f>
        <v/>
      </c>
      <c r="H1705" s="7">
        <f>IF(C1705="","",IFERROR(INDEX(Sites!$B$2:$B$501,MATCH(C1705,Sites!$A$2:$A$501,0)),"?"))</f>
        <v/>
      </c>
      <c r="I1705" s="8">
        <f>IF(A1705="","",A1705-WEEKDAY(A1705,3))</f>
        <v/>
      </c>
      <c r="K1705" s="7">
        <f>IF(A1705="","",IF(OR(B1705="",C1705="",D1705="",E1705=""),"Missing info",IF(ISNA(MATCH(B1705,Staff!$A$2:$A$101,0)),"Unknown employee",IF(H1705="?","Unknown site",IF(G1705&lt;=0,"Check times",IF(G1705&gt;12,"Over 12h",IF(COUNTIFS($L$2:$L$2001,L1705)&gt;1,"Duplicate?",IF(A1705&gt;TODAY(),"Future date","OK"))))))))</f>
        <v/>
      </c>
      <c r="L1705">
        <f>IF(A1705="","",TEXT(A1705,"yyyy-mm-dd")&amp;"|"&amp;B1705&amp;"|"&amp;C1705)</f>
        <v/>
      </c>
    </row>
    <row r="1706">
      <c r="A1706" s="4" t="n"/>
      <c r="D1706" s="5" t="n"/>
      <c r="E1706" s="5" t="n"/>
      <c r="G1706" s="6">
        <f>IF(OR(A1706="",D1706="",E1706=""),"",ROUND(MOD(E1706-D1706,1)*24-N(F1706)/60,2))</f>
        <v/>
      </c>
      <c r="H1706" s="7">
        <f>IF(C1706="","",IFERROR(INDEX(Sites!$B$2:$B$501,MATCH(C1706,Sites!$A$2:$A$501,0)),"?"))</f>
        <v/>
      </c>
      <c r="I1706" s="8">
        <f>IF(A1706="","",A1706-WEEKDAY(A1706,3))</f>
        <v/>
      </c>
      <c r="K1706" s="7">
        <f>IF(A1706="","",IF(OR(B1706="",C1706="",D1706="",E1706=""),"Missing info",IF(ISNA(MATCH(B1706,Staff!$A$2:$A$101,0)),"Unknown employee",IF(H1706="?","Unknown site",IF(G1706&lt;=0,"Check times",IF(G1706&gt;12,"Over 12h",IF(COUNTIFS($L$2:$L$2001,L1706)&gt;1,"Duplicate?",IF(A1706&gt;TODAY(),"Future date","OK"))))))))</f>
        <v/>
      </c>
      <c r="L1706">
        <f>IF(A1706="","",TEXT(A1706,"yyyy-mm-dd")&amp;"|"&amp;B1706&amp;"|"&amp;C1706)</f>
        <v/>
      </c>
    </row>
    <row r="1707">
      <c r="A1707" s="4" t="n"/>
      <c r="D1707" s="5" t="n"/>
      <c r="E1707" s="5" t="n"/>
      <c r="G1707" s="6">
        <f>IF(OR(A1707="",D1707="",E1707=""),"",ROUND(MOD(E1707-D1707,1)*24-N(F1707)/60,2))</f>
        <v/>
      </c>
      <c r="H1707" s="7">
        <f>IF(C1707="","",IFERROR(INDEX(Sites!$B$2:$B$501,MATCH(C1707,Sites!$A$2:$A$501,0)),"?"))</f>
        <v/>
      </c>
      <c r="I1707" s="8">
        <f>IF(A1707="","",A1707-WEEKDAY(A1707,3))</f>
        <v/>
      </c>
      <c r="K1707" s="7">
        <f>IF(A1707="","",IF(OR(B1707="",C1707="",D1707="",E1707=""),"Missing info",IF(ISNA(MATCH(B1707,Staff!$A$2:$A$101,0)),"Unknown employee",IF(H1707="?","Unknown site",IF(G1707&lt;=0,"Check times",IF(G1707&gt;12,"Over 12h",IF(COUNTIFS($L$2:$L$2001,L1707)&gt;1,"Duplicate?",IF(A1707&gt;TODAY(),"Future date","OK"))))))))</f>
        <v/>
      </c>
      <c r="L1707">
        <f>IF(A1707="","",TEXT(A1707,"yyyy-mm-dd")&amp;"|"&amp;B1707&amp;"|"&amp;C1707)</f>
        <v/>
      </c>
    </row>
    <row r="1708">
      <c r="A1708" s="4" t="n"/>
      <c r="D1708" s="5" t="n"/>
      <c r="E1708" s="5" t="n"/>
      <c r="G1708" s="6">
        <f>IF(OR(A1708="",D1708="",E1708=""),"",ROUND(MOD(E1708-D1708,1)*24-N(F1708)/60,2))</f>
        <v/>
      </c>
      <c r="H1708" s="7">
        <f>IF(C1708="","",IFERROR(INDEX(Sites!$B$2:$B$501,MATCH(C1708,Sites!$A$2:$A$501,0)),"?"))</f>
        <v/>
      </c>
      <c r="I1708" s="8">
        <f>IF(A1708="","",A1708-WEEKDAY(A1708,3))</f>
        <v/>
      </c>
      <c r="K1708" s="7">
        <f>IF(A1708="","",IF(OR(B1708="",C1708="",D1708="",E1708=""),"Missing info",IF(ISNA(MATCH(B1708,Staff!$A$2:$A$101,0)),"Unknown employee",IF(H1708="?","Unknown site",IF(G1708&lt;=0,"Check times",IF(G1708&gt;12,"Over 12h",IF(COUNTIFS($L$2:$L$2001,L1708)&gt;1,"Duplicate?",IF(A1708&gt;TODAY(),"Future date","OK"))))))))</f>
        <v/>
      </c>
      <c r="L1708">
        <f>IF(A1708="","",TEXT(A1708,"yyyy-mm-dd")&amp;"|"&amp;B1708&amp;"|"&amp;C1708)</f>
        <v/>
      </c>
    </row>
    <row r="1709">
      <c r="A1709" s="4" t="n"/>
      <c r="D1709" s="5" t="n"/>
      <c r="E1709" s="5" t="n"/>
      <c r="G1709" s="6">
        <f>IF(OR(A1709="",D1709="",E1709=""),"",ROUND(MOD(E1709-D1709,1)*24-N(F1709)/60,2))</f>
        <v/>
      </c>
      <c r="H1709" s="7">
        <f>IF(C1709="","",IFERROR(INDEX(Sites!$B$2:$B$501,MATCH(C1709,Sites!$A$2:$A$501,0)),"?"))</f>
        <v/>
      </c>
      <c r="I1709" s="8">
        <f>IF(A1709="","",A1709-WEEKDAY(A1709,3))</f>
        <v/>
      </c>
      <c r="K1709" s="7">
        <f>IF(A1709="","",IF(OR(B1709="",C1709="",D1709="",E1709=""),"Missing info",IF(ISNA(MATCH(B1709,Staff!$A$2:$A$101,0)),"Unknown employee",IF(H1709="?","Unknown site",IF(G1709&lt;=0,"Check times",IF(G1709&gt;12,"Over 12h",IF(COUNTIFS($L$2:$L$2001,L1709)&gt;1,"Duplicate?",IF(A1709&gt;TODAY(),"Future date","OK"))))))))</f>
        <v/>
      </c>
      <c r="L1709">
        <f>IF(A1709="","",TEXT(A1709,"yyyy-mm-dd")&amp;"|"&amp;B1709&amp;"|"&amp;C1709)</f>
        <v/>
      </c>
    </row>
    <row r="1710">
      <c r="A1710" s="4" t="n"/>
      <c r="D1710" s="5" t="n"/>
      <c r="E1710" s="5" t="n"/>
      <c r="G1710" s="6">
        <f>IF(OR(A1710="",D1710="",E1710=""),"",ROUND(MOD(E1710-D1710,1)*24-N(F1710)/60,2))</f>
        <v/>
      </c>
      <c r="H1710" s="7">
        <f>IF(C1710="","",IFERROR(INDEX(Sites!$B$2:$B$501,MATCH(C1710,Sites!$A$2:$A$501,0)),"?"))</f>
        <v/>
      </c>
      <c r="I1710" s="8">
        <f>IF(A1710="","",A1710-WEEKDAY(A1710,3))</f>
        <v/>
      </c>
      <c r="K1710" s="7">
        <f>IF(A1710="","",IF(OR(B1710="",C1710="",D1710="",E1710=""),"Missing info",IF(ISNA(MATCH(B1710,Staff!$A$2:$A$101,0)),"Unknown employee",IF(H1710="?","Unknown site",IF(G1710&lt;=0,"Check times",IF(G1710&gt;12,"Over 12h",IF(COUNTIFS($L$2:$L$2001,L1710)&gt;1,"Duplicate?",IF(A1710&gt;TODAY(),"Future date","OK"))))))))</f>
        <v/>
      </c>
      <c r="L1710">
        <f>IF(A1710="","",TEXT(A1710,"yyyy-mm-dd")&amp;"|"&amp;B1710&amp;"|"&amp;C1710)</f>
        <v/>
      </c>
    </row>
    <row r="1711">
      <c r="A1711" s="4" t="n"/>
      <c r="D1711" s="5" t="n"/>
      <c r="E1711" s="5" t="n"/>
      <c r="G1711" s="6">
        <f>IF(OR(A1711="",D1711="",E1711=""),"",ROUND(MOD(E1711-D1711,1)*24-N(F1711)/60,2))</f>
        <v/>
      </c>
      <c r="H1711" s="7">
        <f>IF(C1711="","",IFERROR(INDEX(Sites!$B$2:$B$501,MATCH(C1711,Sites!$A$2:$A$501,0)),"?"))</f>
        <v/>
      </c>
      <c r="I1711" s="8">
        <f>IF(A1711="","",A1711-WEEKDAY(A1711,3))</f>
        <v/>
      </c>
      <c r="K1711" s="7">
        <f>IF(A1711="","",IF(OR(B1711="",C1711="",D1711="",E1711=""),"Missing info",IF(ISNA(MATCH(B1711,Staff!$A$2:$A$101,0)),"Unknown employee",IF(H1711="?","Unknown site",IF(G1711&lt;=0,"Check times",IF(G1711&gt;12,"Over 12h",IF(COUNTIFS($L$2:$L$2001,L1711)&gt;1,"Duplicate?",IF(A1711&gt;TODAY(),"Future date","OK"))))))))</f>
        <v/>
      </c>
      <c r="L1711">
        <f>IF(A1711="","",TEXT(A1711,"yyyy-mm-dd")&amp;"|"&amp;B1711&amp;"|"&amp;C1711)</f>
        <v/>
      </c>
    </row>
    <row r="1712">
      <c r="A1712" s="4" t="n"/>
      <c r="D1712" s="5" t="n"/>
      <c r="E1712" s="5" t="n"/>
      <c r="G1712" s="6">
        <f>IF(OR(A1712="",D1712="",E1712=""),"",ROUND(MOD(E1712-D1712,1)*24-N(F1712)/60,2))</f>
        <v/>
      </c>
      <c r="H1712" s="7">
        <f>IF(C1712="","",IFERROR(INDEX(Sites!$B$2:$B$501,MATCH(C1712,Sites!$A$2:$A$501,0)),"?"))</f>
        <v/>
      </c>
      <c r="I1712" s="8">
        <f>IF(A1712="","",A1712-WEEKDAY(A1712,3))</f>
        <v/>
      </c>
      <c r="K1712" s="7">
        <f>IF(A1712="","",IF(OR(B1712="",C1712="",D1712="",E1712=""),"Missing info",IF(ISNA(MATCH(B1712,Staff!$A$2:$A$101,0)),"Unknown employee",IF(H1712="?","Unknown site",IF(G1712&lt;=0,"Check times",IF(G1712&gt;12,"Over 12h",IF(COUNTIFS($L$2:$L$2001,L1712)&gt;1,"Duplicate?",IF(A1712&gt;TODAY(),"Future date","OK"))))))))</f>
        <v/>
      </c>
      <c r="L1712">
        <f>IF(A1712="","",TEXT(A1712,"yyyy-mm-dd")&amp;"|"&amp;B1712&amp;"|"&amp;C1712)</f>
        <v/>
      </c>
    </row>
    <row r="1713">
      <c r="A1713" s="4" t="n"/>
      <c r="D1713" s="5" t="n"/>
      <c r="E1713" s="5" t="n"/>
      <c r="G1713" s="6">
        <f>IF(OR(A1713="",D1713="",E1713=""),"",ROUND(MOD(E1713-D1713,1)*24-N(F1713)/60,2))</f>
        <v/>
      </c>
      <c r="H1713" s="7">
        <f>IF(C1713="","",IFERROR(INDEX(Sites!$B$2:$B$501,MATCH(C1713,Sites!$A$2:$A$501,0)),"?"))</f>
        <v/>
      </c>
      <c r="I1713" s="8">
        <f>IF(A1713="","",A1713-WEEKDAY(A1713,3))</f>
        <v/>
      </c>
      <c r="K1713" s="7">
        <f>IF(A1713="","",IF(OR(B1713="",C1713="",D1713="",E1713=""),"Missing info",IF(ISNA(MATCH(B1713,Staff!$A$2:$A$101,0)),"Unknown employee",IF(H1713="?","Unknown site",IF(G1713&lt;=0,"Check times",IF(G1713&gt;12,"Over 12h",IF(COUNTIFS($L$2:$L$2001,L1713)&gt;1,"Duplicate?",IF(A1713&gt;TODAY(),"Future date","OK"))))))))</f>
        <v/>
      </c>
      <c r="L1713">
        <f>IF(A1713="","",TEXT(A1713,"yyyy-mm-dd")&amp;"|"&amp;B1713&amp;"|"&amp;C1713)</f>
        <v/>
      </c>
    </row>
    <row r="1714">
      <c r="A1714" s="4" t="n"/>
      <c r="D1714" s="5" t="n"/>
      <c r="E1714" s="5" t="n"/>
      <c r="G1714" s="6">
        <f>IF(OR(A1714="",D1714="",E1714=""),"",ROUND(MOD(E1714-D1714,1)*24-N(F1714)/60,2))</f>
        <v/>
      </c>
      <c r="H1714" s="7">
        <f>IF(C1714="","",IFERROR(INDEX(Sites!$B$2:$B$501,MATCH(C1714,Sites!$A$2:$A$501,0)),"?"))</f>
        <v/>
      </c>
      <c r="I1714" s="8">
        <f>IF(A1714="","",A1714-WEEKDAY(A1714,3))</f>
        <v/>
      </c>
      <c r="K1714" s="7">
        <f>IF(A1714="","",IF(OR(B1714="",C1714="",D1714="",E1714=""),"Missing info",IF(ISNA(MATCH(B1714,Staff!$A$2:$A$101,0)),"Unknown employee",IF(H1714="?","Unknown site",IF(G1714&lt;=0,"Check times",IF(G1714&gt;12,"Over 12h",IF(COUNTIFS($L$2:$L$2001,L1714)&gt;1,"Duplicate?",IF(A1714&gt;TODAY(),"Future date","OK"))))))))</f>
        <v/>
      </c>
      <c r="L1714">
        <f>IF(A1714="","",TEXT(A1714,"yyyy-mm-dd")&amp;"|"&amp;B1714&amp;"|"&amp;C1714)</f>
        <v/>
      </c>
    </row>
    <row r="1715">
      <c r="A1715" s="4" t="n"/>
      <c r="D1715" s="5" t="n"/>
      <c r="E1715" s="5" t="n"/>
      <c r="G1715" s="6">
        <f>IF(OR(A1715="",D1715="",E1715=""),"",ROUND(MOD(E1715-D1715,1)*24-N(F1715)/60,2))</f>
        <v/>
      </c>
      <c r="H1715" s="7">
        <f>IF(C1715="","",IFERROR(INDEX(Sites!$B$2:$B$501,MATCH(C1715,Sites!$A$2:$A$501,0)),"?"))</f>
        <v/>
      </c>
      <c r="I1715" s="8">
        <f>IF(A1715="","",A1715-WEEKDAY(A1715,3))</f>
        <v/>
      </c>
      <c r="K1715" s="7">
        <f>IF(A1715="","",IF(OR(B1715="",C1715="",D1715="",E1715=""),"Missing info",IF(ISNA(MATCH(B1715,Staff!$A$2:$A$101,0)),"Unknown employee",IF(H1715="?","Unknown site",IF(G1715&lt;=0,"Check times",IF(G1715&gt;12,"Over 12h",IF(COUNTIFS($L$2:$L$2001,L1715)&gt;1,"Duplicate?",IF(A1715&gt;TODAY(),"Future date","OK"))))))))</f>
        <v/>
      </c>
      <c r="L1715">
        <f>IF(A1715="","",TEXT(A1715,"yyyy-mm-dd")&amp;"|"&amp;B1715&amp;"|"&amp;C1715)</f>
        <v/>
      </c>
    </row>
    <row r="1716">
      <c r="A1716" s="4" t="n"/>
      <c r="D1716" s="5" t="n"/>
      <c r="E1716" s="5" t="n"/>
      <c r="G1716" s="6">
        <f>IF(OR(A1716="",D1716="",E1716=""),"",ROUND(MOD(E1716-D1716,1)*24-N(F1716)/60,2))</f>
        <v/>
      </c>
      <c r="H1716" s="7">
        <f>IF(C1716="","",IFERROR(INDEX(Sites!$B$2:$B$501,MATCH(C1716,Sites!$A$2:$A$501,0)),"?"))</f>
        <v/>
      </c>
      <c r="I1716" s="8">
        <f>IF(A1716="","",A1716-WEEKDAY(A1716,3))</f>
        <v/>
      </c>
      <c r="K1716" s="7">
        <f>IF(A1716="","",IF(OR(B1716="",C1716="",D1716="",E1716=""),"Missing info",IF(ISNA(MATCH(B1716,Staff!$A$2:$A$101,0)),"Unknown employee",IF(H1716="?","Unknown site",IF(G1716&lt;=0,"Check times",IF(G1716&gt;12,"Over 12h",IF(COUNTIFS($L$2:$L$2001,L1716)&gt;1,"Duplicate?",IF(A1716&gt;TODAY(),"Future date","OK"))))))))</f>
        <v/>
      </c>
      <c r="L1716">
        <f>IF(A1716="","",TEXT(A1716,"yyyy-mm-dd")&amp;"|"&amp;B1716&amp;"|"&amp;C1716)</f>
        <v/>
      </c>
    </row>
    <row r="1717">
      <c r="A1717" s="4" t="n"/>
      <c r="D1717" s="5" t="n"/>
      <c r="E1717" s="5" t="n"/>
      <c r="G1717" s="6">
        <f>IF(OR(A1717="",D1717="",E1717=""),"",ROUND(MOD(E1717-D1717,1)*24-N(F1717)/60,2))</f>
        <v/>
      </c>
      <c r="H1717" s="7">
        <f>IF(C1717="","",IFERROR(INDEX(Sites!$B$2:$B$501,MATCH(C1717,Sites!$A$2:$A$501,0)),"?"))</f>
        <v/>
      </c>
      <c r="I1717" s="8">
        <f>IF(A1717="","",A1717-WEEKDAY(A1717,3))</f>
        <v/>
      </c>
      <c r="K1717" s="7">
        <f>IF(A1717="","",IF(OR(B1717="",C1717="",D1717="",E1717=""),"Missing info",IF(ISNA(MATCH(B1717,Staff!$A$2:$A$101,0)),"Unknown employee",IF(H1717="?","Unknown site",IF(G1717&lt;=0,"Check times",IF(G1717&gt;12,"Over 12h",IF(COUNTIFS($L$2:$L$2001,L1717)&gt;1,"Duplicate?",IF(A1717&gt;TODAY(),"Future date","OK"))))))))</f>
        <v/>
      </c>
      <c r="L1717">
        <f>IF(A1717="","",TEXT(A1717,"yyyy-mm-dd")&amp;"|"&amp;B1717&amp;"|"&amp;C1717)</f>
        <v/>
      </c>
    </row>
    <row r="1718">
      <c r="A1718" s="4" t="n"/>
      <c r="D1718" s="5" t="n"/>
      <c r="E1718" s="5" t="n"/>
      <c r="G1718" s="6">
        <f>IF(OR(A1718="",D1718="",E1718=""),"",ROUND(MOD(E1718-D1718,1)*24-N(F1718)/60,2))</f>
        <v/>
      </c>
      <c r="H1718" s="7">
        <f>IF(C1718="","",IFERROR(INDEX(Sites!$B$2:$B$501,MATCH(C1718,Sites!$A$2:$A$501,0)),"?"))</f>
        <v/>
      </c>
      <c r="I1718" s="8">
        <f>IF(A1718="","",A1718-WEEKDAY(A1718,3))</f>
        <v/>
      </c>
      <c r="K1718" s="7">
        <f>IF(A1718="","",IF(OR(B1718="",C1718="",D1718="",E1718=""),"Missing info",IF(ISNA(MATCH(B1718,Staff!$A$2:$A$101,0)),"Unknown employee",IF(H1718="?","Unknown site",IF(G1718&lt;=0,"Check times",IF(G1718&gt;12,"Over 12h",IF(COUNTIFS($L$2:$L$2001,L1718)&gt;1,"Duplicate?",IF(A1718&gt;TODAY(),"Future date","OK"))))))))</f>
        <v/>
      </c>
      <c r="L1718">
        <f>IF(A1718="","",TEXT(A1718,"yyyy-mm-dd")&amp;"|"&amp;B1718&amp;"|"&amp;C1718)</f>
        <v/>
      </c>
    </row>
    <row r="1719">
      <c r="A1719" s="4" t="n"/>
      <c r="D1719" s="5" t="n"/>
      <c r="E1719" s="5" t="n"/>
      <c r="G1719" s="6">
        <f>IF(OR(A1719="",D1719="",E1719=""),"",ROUND(MOD(E1719-D1719,1)*24-N(F1719)/60,2))</f>
        <v/>
      </c>
      <c r="H1719" s="7">
        <f>IF(C1719="","",IFERROR(INDEX(Sites!$B$2:$B$501,MATCH(C1719,Sites!$A$2:$A$501,0)),"?"))</f>
        <v/>
      </c>
      <c r="I1719" s="8">
        <f>IF(A1719="","",A1719-WEEKDAY(A1719,3))</f>
        <v/>
      </c>
      <c r="K1719" s="7">
        <f>IF(A1719="","",IF(OR(B1719="",C1719="",D1719="",E1719=""),"Missing info",IF(ISNA(MATCH(B1719,Staff!$A$2:$A$101,0)),"Unknown employee",IF(H1719="?","Unknown site",IF(G1719&lt;=0,"Check times",IF(G1719&gt;12,"Over 12h",IF(COUNTIFS($L$2:$L$2001,L1719)&gt;1,"Duplicate?",IF(A1719&gt;TODAY(),"Future date","OK"))))))))</f>
        <v/>
      </c>
      <c r="L1719">
        <f>IF(A1719="","",TEXT(A1719,"yyyy-mm-dd")&amp;"|"&amp;B1719&amp;"|"&amp;C1719)</f>
        <v/>
      </c>
    </row>
    <row r="1720">
      <c r="A1720" s="4" t="n"/>
      <c r="D1720" s="5" t="n"/>
      <c r="E1720" s="5" t="n"/>
      <c r="G1720" s="6">
        <f>IF(OR(A1720="",D1720="",E1720=""),"",ROUND(MOD(E1720-D1720,1)*24-N(F1720)/60,2))</f>
        <v/>
      </c>
      <c r="H1720" s="7">
        <f>IF(C1720="","",IFERROR(INDEX(Sites!$B$2:$B$501,MATCH(C1720,Sites!$A$2:$A$501,0)),"?"))</f>
        <v/>
      </c>
      <c r="I1720" s="8">
        <f>IF(A1720="","",A1720-WEEKDAY(A1720,3))</f>
        <v/>
      </c>
      <c r="K1720" s="7">
        <f>IF(A1720="","",IF(OR(B1720="",C1720="",D1720="",E1720=""),"Missing info",IF(ISNA(MATCH(B1720,Staff!$A$2:$A$101,0)),"Unknown employee",IF(H1720="?","Unknown site",IF(G1720&lt;=0,"Check times",IF(G1720&gt;12,"Over 12h",IF(COUNTIFS($L$2:$L$2001,L1720)&gt;1,"Duplicate?",IF(A1720&gt;TODAY(),"Future date","OK"))))))))</f>
        <v/>
      </c>
      <c r="L1720">
        <f>IF(A1720="","",TEXT(A1720,"yyyy-mm-dd")&amp;"|"&amp;B1720&amp;"|"&amp;C1720)</f>
        <v/>
      </c>
    </row>
    <row r="1721">
      <c r="A1721" s="4" t="n"/>
      <c r="D1721" s="5" t="n"/>
      <c r="E1721" s="5" t="n"/>
      <c r="G1721" s="6">
        <f>IF(OR(A1721="",D1721="",E1721=""),"",ROUND(MOD(E1721-D1721,1)*24-N(F1721)/60,2))</f>
        <v/>
      </c>
      <c r="H1721" s="7">
        <f>IF(C1721="","",IFERROR(INDEX(Sites!$B$2:$B$501,MATCH(C1721,Sites!$A$2:$A$501,0)),"?"))</f>
        <v/>
      </c>
      <c r="I1721" s="8">
        <f>IF(A1721="","",A1721-WEEKDAY(A1721,3))</f>
        <v/>
      </c>
      <c r="K1721" s="7">
        <f>IF(A1721="","",IF(OR(B1721="",C1721="",D1721="",E1721=""),"Missing info",IF(ISNA(MATCH(B1721,Staff!$A$2:$A$101,0)),"Unknown employee",IF(H1721="?","Unknown site",IF(G1721&lt;=0,"Check times",IF(G1721&gt;12,"Over 12h",IF(COUNTIFS($L$2:$L$2001,L1721)&gt;1,"Duplicate?",IF(A1721&gt;TODAY(),"Future date","OK"))))))))</f>
        <v/>
      </c>
      <c r="L1721">
        <f>IF(A1721="","",TEXT(A1721,"yyyy-mm-dd")&amp;"|"&amp;B1721&amp;"|"&amp;C1721)</f>
        <v/>
      </c>
    </row>
    <row r="1722">
      <c r="A1722" s="4" t="n"/>
      <c r="D1722" s="5" t="n"/>
      <c r="E1722" s="5" t="n"/>
      <c r="G1722" s="6">
        <f>IF(OR(A1722="",D1722="",E1722=""),"",ROUND(MOD(E1722-D1722,1)*24-N(F1722)/60,2))</f>
        <v/>
      </c>
      <c r="H1722" s="7">
        <f>IF(C1722="","",IFERROR(INDEX(Sites!$B$2:$B$501,MATCH(C1722,Sites!$A$2:$A$501,0)),"?"))</f>
        <v/>
      </c>
      <c r="I1722" s="8">
        <f>IF(A1722="","",A1722-WEEKDAY(A1722,3))</f>
        <v/>
      </c>
      <c r="K1722" s="7">
        <f>IF(A1722="","",IF(OR(B1722="",C1722="",D1722="",E1722=""),"Missing info",IF(ISNA(MATCH(B1722,Staff!$A$2:$A$101,0)),"Unknown employee",IF(H1722="?","Unknown site",IF(G1722&lt;=0,"Check times",IF(G1722&gt;12,"Over 12h",IF(COUNTIFS($L$2:$L$2001,L1722)&gt;1,"Duplicate?",IF(A1722&gt;TODAY(),"Future date","OK"))))))))</f>
        <v/>
      </c>
      <c r="L1722">
        <f>IF(A1722="","",TEXT(A1722,"yyyy-mm-dd")&amp;"|"&amp;B1722&amp;"|"&amp;C1722)</f>
        <v/>
      </c>
    </row>
    <row r="1723">
      <c r="A1723" s="4" t="n"/>
      <c r="D1723" s="5" t="n"/>
      <c r="E1723" s="5" t="n"/>
      <c r="G1723" s="6">
        <f>IF(OR(A1723="",D1723="",E1723=""),"",ROUND(MOD(E1723-D1723,1)*24-N(F1723)/60,2))</f>
        <v/>
      </c>
      <c r="H1723" s="7">
        <f>IF(C1723="","",IFERROR(INDEX(Sites!$B$2:$B$501,MATCH(C1723,Sites!$A$2:$A$501,0)),"?"))</f>
        <v/>
      </c>
      <c r="I1723" s="8">
        <f>IF(A1723="","",A1723-WEEKDAY(A1723,3))</f>
        <v/>
      </c>
      <c r="K1723" s="7">
        <f>IF(A1723="","",IF(OR(B1723="",C1723="",D1723="",E1723=""),"Missing info",IF(ISNA(MATCH(B1723,Staff!$A$2:$A$101,0)),"Unknown employee",IF(H1723="?","Unknown site",IF(G1723&lt;=0,"Check times",IF(G1723&gt;12,"Over 12h",IF(COUNTIFS($L$2:$L$2001,L1723)&gt;1,"Duplicate?",IF(A1723&gt;TODAY(),"Future date","OK"))))))))</f>
        <v/>
      </c>
      <c r="L1723">
        <f>IF(A1723="","",TEXT(A1723,"yyyy-mm-dd")&amp;"|"&amp;B1723&amp;"|"&amp;C1723)</f>
        <v/>
      </c>
    </row>
    <row r="1724">
      <c r="A1724" s="4" t="n"/>
      <c r="D1724" s="5" t="n"/>
      <c r="E1724" s="5" t="n"/>
      <c r="G1724" s="6">
        <f>IF(OR(A1724="",D1724="",E1724=""),"",ROUND(MOD(E1724-D1724,1)*24-N(F1724)/60,2))</f>
        <v/>
      </c>
      <c r="H1724" s="7">
        <f>IF(C1724="","",IFERROR(INDEX(Sites!$B$2:$B$501,MATCH(C1724,Sites!$A$2:$A$501,0)),"?"))</f>
        <v/>
      </c>
      <c r="I1724" s="8">
        <f>IF(A1724="","",A1724-WEEKDAY(A1724,3))</f>
        <v/>
      </c>
      <c r="K1724" s="7">
        <f>IF(A1724="","",IF(OR(B1724="",C1724="",D1724="",E1724=""),"Missing info",IF(ISNA(MATCH(B1724,Staff!$A$2:$A$101,0)),"Unknown employee",IF(H1724="?","Unknown site",IF(G1724&lt;=0,"Check times",IF(G1724&gt;12,"Over 12h",IF(COUNTIFS($L$2:$L$2001,L1724)&gt;1,"Duplicate?",IF(A1724&gt;TODAY(),"Future date","OK"))))))))</f>
        <v/>
      </c>
      <c r="L1724">
        <f>IF(A1724="","",TEXT(A1724,"yyyy-mm-dd")&amp;"|"&amp;B1724&amp;"|"&amp;C1724)</f>
        <v/>
      </c>
    </row>
    <row r="1725">
      <c r="A1725" s="4" t="n"/>
      <c r="D1725" s="5" t="n"/>
      <c r="E1725" s="5" t="n"/>
      <c r="G1725" s="6">
        <f>IF(OR(A1725="",D1725="",E1725=""),"",ROUND(MOD(E1725-D1725,1)*24-N(F1725)/60,2))</f>
        <v/>
      </c>
      <c r="H1725" s="7">
        <f>IF(C1725="","",IFERROR(INDEX(Sites!$B$2:$B$501,MATCH(C1725,Sites!$A$2:$A$501,0)),"?"))</f>
        <v/>
      </c>
      <c r="I1725" s="8">
        <f>IF(A1725="","",A1725-WEEKDAY(A1725,3))</f>
        <v/>
      </c>
      <c r="K1725" s="7">
        <f>IF(A1725="","",IF(OR(B1725="",C1725="",D1725="",E1725=""),"Missing info",IF(ISNA(MATCH(B1725,Staff!$A$2:$A$101,0)),"Unknown employee",IF(H1725="?","Unknown site",IF(G1725&lt;=0,"Check times",IF(G1725&gt;12,"Over 12h",IF(COUNTIFS($L$2:$L$2001,L1725)&gt;1,"Duplicate?",IF(A1725&gt;TODAY(),"Future date","OK"))))))))</f>
        <v/>
      </c>
      <c r="L1725">
        <f>IF(A1725="","",TEXT(A1725,"yyyy-mm-dd")&amp;"|"&amp;B1725&amp;"|"&amp;C1725)</f>
        <v/>
      </c>
    </row>
    <row r="1726">
      <c r="A1726" s="4" t="n"/>
      <c r="D1726" s="5" t="n"/>
      <c r="E1726" s="5" t="n"/>
      <c r="G1726" s="6">
        <f>IF(OR(A1726="",D1726="",E1726=""),"",ROUND(MOD(E1726-D1726,1)*24-N(F1726)/60,2))</f>
        <v/>
      </c>
      <c r="H1726" s="7">
        <f>IF(C1726="","",IFERROR(INDEX(Sites!$B$2:$B$501,MATCH(C1726,Sites!$A$2:$A$501,0)),"?"))</f>
        <v/>
      </c>
      <c r="I1726" s="8">
        <f>IF(A1726="","",A1726-WEEKDAY(A1726,3))</f>
        <v/>
      </c>
      <c r="K1726" s="7">
        <f>IF(A1726="","",IF(OR(B1726="",C1726="",D1726="",E1726=""),"Missing info",IF(ISNA(MATCH(B1726,Staff!$A$2:$A$101,0)),"Unknown employee",IF(H1726="?","Unknown site",IF(G1726&lt;=0,"Check times",IF(G1726&gt;12,"Over 12h",IF(COUNTIFS($L$2:$L$2001,L1726)&gt;1,"Duplicate?",IF(A1726&gt;TODAY(),"Future date","OK"))))))))</f>
        <v/>
      </c>
      <c r="L1726">
        <f>IF(A1726="","",TEXT(A1726,"yyyy-mm-dd")&amp;"|"&amp;B1726&amp;"|"&amp;C1726)</f>
        <v/>
      </c>
    </row>
    <row r="1727">
      <c r="A1727" s="4" t="n"/>
      <c r="D1727" s="5" t="n"/>
      <c r="E1727" s="5" t="n"/>
      <c r="G1727" s="6">
        <f>IF(OR(A1727="",D1727="",E1727=""),"",ROUND(MOD(E1727-D1727,1)*24-N(F1727)/60,2))</f>
        <v/>
      </c>
      <c r="H1727" s="7">
        <f>IF(C1727="","",IFERROR(INDEX(Sites!$B$2:$B$501,MATCH(C1727,Sites!$A$2:$A$501,0)),"?"))</f>
        <v/>
      </c>
      <c r="I1727" s="8">
        <f>IF(A1727="","",A1727-WEEKDAY(A1727,3))</f>
        <v/>
      </c>
      <c r="K1727" s="7">
        <f>IF(A1727="","",IF(OR(B1727="",C1727="",D1727="",E1727=""),"Missing info",IF(ISNA(MATCH(B1727,Staff!$A$2:$A$101,0)),"Unknown employee",IF(H1727="?","Unknown site",IF(G1727&lt;=0,"Check times",IF(G1727&gt;12,"Over 12h",IF(COUNTIFS($L$2:$L$2001,L1727)&gt;1,"Duplicate?",IF(A1727&gt;TODAY(),"Future date","OK"))))))))</f>
        <v/>
      </c>
      <c r="L1727">
        <f>IF(A1727="","",TEXT(A1727,"yyyy-mm-dd")&amp;"|"&amp;B1727&amp;"|"&amp;C1727)</f>
        <v/>
      </c>
    </row>
    <row r="1728">
      <c r="A1728" s="4" t="n"/>
      <c r="D1728" s="5" t="n"/>
      <c r="E1728" s="5" t="n"/>
      <c r="G1728" s="6">
        <f>IF(OR(A1728="",D1728="",E1728=""),"",ROUND(MOD(E1728-D1728,1)*24-N(F1728)/60,2))</f>
        <v/>
      </c>
      <c r="H1728" s="7">
        <f>IF(C1728="","",IFERROR(INDEX(Sites!$B$2:$B$501,MATCH(C1728,Sites!$A$2:$A$501,0)),"?"))</f>
        <v/>
      </c>
      <c r="I1728" s="8">
        <f>IF(A1728="","",A1728-WEEKDAY(A1728,3))</f>
        <v/>
      </c>
      <c r="K1728" s="7">
        <f>IF(A1728="","",IF(OR(B1728="",C1728="",D1728="",E1728=""),"Missing info",IF(ISNA(MATCH(B1728,Staff!$A$2:$A$101,0)),"Unknown employee",IF(H1728="?","Unknown site",IF(G1728&lt;=0,"Check times",IF(G1728&gt;12,"Over 12h",IF(COUNTIFS($L$2:$L$2001,L1728)&gt;1,"Duplicate?",IF(A1728&gt;TODAY(),"Future date","OK"))))))))</f>
        <v/>
      </c>
      <c r="L1728">
        <f>IF(A1728="","",TEXT(A1728,"yyyy-mm-dd")&amp;"|"&amp;B1728&amp;"|"&amp;C1728)</f>
        <v/>
      </c>
    </row>
    <row r="1729">
      <c r="A1729" s="4" t="n"/>
      <c r="D1729" s="5" t="n"/>
      <c r="E1729" s="5" t="n"/>
      <c r="G1729" s="6">
        <f>IF(OR(A1729="",D1729="",E1729=""),"",ROUND(MOD(E1729-D1729,1)*24-N(F1729)/60,2))</f>
        <v/>
      </c>
      <c r="H1729" s="7">
        <f>IF(C1729="","",IFERROR(INDEX(Sites!$B$2:$B$501,MATCH(C1729,Sites!$A$2:$A$501,0)),"?"))</f>
        <v/>
      </c>
      <c r="I1729" s="8">
        <f>IF(A1729="","",A1729-WEEKDAY(A1729,3))</f>
        <v/>
      </c>
      <c r="K1729" s="7">
        <f>IF(A1729="","",IF(OR(B1729="",C1729="",D1729="",E1729=""),"Missing info",IF(ISNA(MATCH(B1729,Staff!$A$2:$A$101,0)),"Unknown employee",IF(H1729="?","Unknown site",IF(G1729&lt;=0,"Check times",IF(G1729&gt;12,"Over 12h",IF(COUNTIFS($L$2:$L$2001,L1729)&gt;1,"Duplicate?",IF(A1729&gt;TODAY(),"Future date","OK"))))))))</f>
        <v/>
      </c>
      <c r="L1729">
        <f>IF(A1729="","",TEXT(A1729,"yyyy-mm-dd")&amp;"|"&amp;B1729&amp;"|"&amp;C1729)</f>
        <v/>
      </c>
    </row>
    <row r="1730">
      <c r="A1730" s="4" t="n"/>
      <c r="D1730" s="5" t="n"/>
      <c r="E1730" s="5" t="n"/>
      <c r="G1730" s="6">
        <f>IF(OR(A1730="",D1730="",E1730=""),"",ROUND(MOD(E1730-D1730,1)*24-N(F1730)/60,2))</f>
        <v/>
      </c>
      <c r="H1730" s="7">
        <f>IF(C1730="","",IFERROR(INDEX(Sites!$B$2:$B$501,MATCH(C1730,Sites!$A$2:$A$501,0)),"?"))</f>
        <v/>
      </c>
      <c r="I1730" s="8">
        <f>IF(A1730="","",A1730-WEEKDAY(A1730,3))</f>
        <v/>
      </c>
      <c r="K1730" s="7">
        <f>IF(A1730="","",IF(OR(B1730="",C1730="",D1730="",E1730=""),"Missing info",IF(ISNA(MATCH(B1730,Staff!$A$2:$A$101,0)),"Unknown employee",IF(H1730="?","Unknown site",IF(G1730&lt;=0,"Check times",IF(G1730&gt;12,"Over 12h",IF(COUNTIFS($L$2:$L$2001,L1730)&gt;1,"Duplicate?",IF(A1730&gt;TODAY(),"Future date","OK"))))))))</f>
        <v/>
      </c>
      <c r="L1730">
        <f>IF(A1730="","",TEXT(A1730,"yyyy-mm-dd")&amp;"|"&amp;B1730&amp;"|"&amp;C1730)</f>
        <v/>
      </c>
    </row>
    <row r="1731">
      <c r="A1731" s="4" t="n"/>
      <c r="D1731" s="5" t="n"/>
      <c r="E1731" s="5" t="n"/>
      <c r="G1731" s="6">
        <f>IF(OR(A1731="",D1731="",E1731=""),"",ROUND(MOD(E1731-D1731,1)*24-N(F1731)/60,2))</f>
        <v/>
      </c>
      <c r="H1731" s="7">
        <f>IF(C1731="","",IFERROR(INDEX(Sites!$B$2:$B$501,MATCH(C1731,Sites!$A$2:$A$501,0)),"?"))</f>
        <v/>
      </c>
      <c r="I1731" s="8">
        <f>IF(A1731="","",A1731-WEEKDAY(A1731,3))</f>
        <v/>
      </c>
      <c r="K1731" s="7">
        <f>IF(A1731="","",IF(OR(B1731="",C1731="",D1731="",E1731=""),"Missing info",IF(ISNA(MATCH(B1731,Staff!$A$2:$A$101,0)),"Unknown employee",IF(H1731="?","Unknown site",IF(G1731&lt;=0,"Check times",IF(G1731&gt;12,"Over 12h",IF(COUNTIFS($L$2:$L$2001,L1731)&gt;1,"Duplicate?",IF(A1731&gt;TODAY(),"Future date","OK"))))))))</f>
        <v/>
      </c>
      <c r="L1731">
        <f>IF(A1731="","",TEXT(A1731,"yyyy-mm-dd")&amp;"|"&amp;B1731&amp;"|"&amp;C1731)</f>
        <v/>
      </c>
    </row>
    <row r="1732">
      <c r="A1732" s="4" t="n"/>
      <c r="D1732" s="5" t="n"/>
      <c r="E1732" s="5" t="n"/>
      <c r="G1732" s="6">
        <f>IF(OR(A1732="",D1732="",E1732=""),"",ROUND(MOD(E1732-D1732,1)*24-N(F1732)/60,2))</f>
        <v/>
      </c>
      <c r="H1732" s="7">
        <f>IF(C1732="","",IFERROR(INDEX(Sites!$B$2:$B$501,MATCH(C1732,Sites!$A$2:$A$501,0)),"?"))</f>
        <v/>
      </c>
      <c r="I1732" s="8">
        <f>IF(A1732="","",A1732-WEEKDAY(A1732,3))</f>
        <v/>
      </c>
      <c r="K1732" s="7">
        <f>IF(A1732="","",IF(OR(B1732="",C1732="",D1732="",E1732=""),"Missing info",IF(ISNA(MATCH(B1732,Staff!$A$2:$A$101,0)),"Unknown employee",IF(H1732="?","Unknown site",IF(G1732&lt;=0,"Check times",IF(G1732&gt;12,"Over 12h",IF(COUNTIFS($L$2:$L$2001,L1732)&gt;1,"Duplicate?",IF(A1732&gt;TODAY(),"Future date","OK"))))))))</f>
        <v/>
      </c>
      <c r="L1732">
        <f>IF(A1732="","",TEXT(A1732,"yyyy-mm-dd")&amp;"|"&amp;B1732&amp;"|"&amp;C1732)</f>
        <v/>
      </c>
    </row>
    <row r="1733">
      <c r="A1733" s="4" t="n"/>
      <c r="D1733" s="5" t="n"/>
      <c r="E1733" s="5" t="n"/>
      <c r="G1733" s="6">
        <f>IF(OR(A1733="",D1733="",E1733=""),"",ROUND(MOD(E1733-D1733,1)*24-N(F1733)/60,2))</f>
        <v/>
      </c>
      <c r="H1733" s="7">
        <f>IF(C1733="","",IFERROR(INDEX(Sites!$B$2:$B$501,MATCH(C1733,Sites!$A$2:$A$501,0)),"?"))</f>
        <v/>
      </c>
      <c r="I1733" s="8">
        <f>IF(A1733="","",A1733-WEEKDAY(A1733,3))</f>
        <v/>
      </c>
      <c r="K1733" s="7">
        <f>IF(A1733="","",IF(OR(B1733="",C1733="",D1733="",E1733=""),"Missing info",IF(ISNA(MATCH(B1733,Staff!$A$2:$A$101,0)),"Unknown employee",IF(H1733="?","Unknown site",IF(G1733&lt;=0,"Check times",IF(G1733&gt;12,"Over 12h",IF(COUNTIFS($L$2:$L$2001,L1733)&gt;1,"Duplicate?",IF(A1733&gt;TODAY(),"Future date","OK"))))))))</f>
        <v/>
      </c>
      <c r="L1733">
        <f>IF(A1733="","",TEXT(A1733,"yyyy-mm-dd")&amp;"|"&amp;B1733&amp;"|"&amp;C1733)</f>
        <v/>
      </c>
    </row>
    <row r="1734">
      <c r="A1734" s="4" t="n"/>
      <c r="D1734" s="5" t="n"/>
      <c r="E1734" s="5" t="n"/>
      <c r="G1734" s="6">
        <f>IF(OR(A1734="",D1734="",E1734=""),"",ROUND(MOD(E1734-D1734,1)*24-N(F1734)/60,2))</f>
        <v/>
      </c>
      <c r="H1734" s="7">
        <f>IF(C1734="","",IFERROR(INDEX(Sites!$B$2:$B$501,MATCH(C1734,Sites!$A$2:$A$501,0)),"?"))</f>
        <v/>
      </c>
      <c r="I1734" s="8">
        <f>IF(A1734="","",A1734-WEEKDAY(A1734,3))</f>
        <v/>
      </c>
      <c r="K1734" s="7">
        <f>IF(A1734="","",IF(OR(B1734="",C1734="",D1734="",E1734=""),"Missing info",IF(ISNA(MATCH(B1734,Staff!$A$2:$A$101,0)),"Unknown employee",IF(H1734="?","Unknown site",IF(G1734&lt;=0,"Check times",IF(G1734&gt;12,"Over 12h",IF(COUNTIFS($L$2:$L$2001,L1734)&gt;1,"Duplicate?",IF(A1734&gt;TODAY(),"Future date","OK"))))))))</f>
        <v/>
      </c>
      <c r="L1734">
        <f>IF(A1734="","",TEXT(A1734,"yyyy-mm-dd")&amp;"|"&amp;B1734&amp;"|"&amp;C1734)</f>
        <v/>
      </c>
    </row>
    <row r="1735">
      <c r="A1735" s="4" t="n"/>
      <c r="D1735" s="5" t="n"/>
      <c r="E1735" s="5" t="n"/>
      <c r="G1735" s="6">
        <f>IF(OR(A1735="",D1735="",E1735=""),"",ROUND(MOD(E1735-D1735,1)*24-N(F1735)/60,2))</f>
        <v/>
      </c>
      <c r="H1735" s="7">
        <f>IF(C1735="","",IFERROR(INDEX(Sites!$B$2:$B$501,MATCH(C1735,Sites!$A$2:$A$501,0)),"?"))</f>
        <v/>
      </c>
      <c r="I1735" s="8">
        <f>IF(A1735="","",A1735-WEEKDAY(A1735,3))</f>
        <v/>
      </c>
      <c r="K1735" s="7">
        <f>IF(A1735="","",IF(OR(B1735="",C1735="",D1735="",E1735=""),"Missing info",IF(ISNA(MATCH(B1735,Staff!$A$2:$A$101,0)),"Unknown employee",IF(H1735="?","Unknown site",IF(G1735&lt;=0,"Check times",IF(G1735&gt;12,"Over 12h",IF(COUNTIFS($L$2:$L$2001,L1735)&gt;1,"Duplicate?",IF(A1735&gt;TODAY(),"Future date","OK"))))))))</f>
        <v/>
      </c>
      <c r="L1735">
        <f>IF(A1735="","",TEXT(A1735,"yyyy-mm-dd")&amp;"|"&amp;B1735&amp;"|"&amp;C1735)</f>
        <v/>
      </c>
    </row>
    <row r="1736">
      <c r="A1736" s="4" t="n"/>
      <c r="D1736" s="5" t="n"/>
      <c r="E1736" s="5" t="n"/>
      <c r="G1736" s="6">
        <f>IF(OR(A1736="",D1736="",E1736=""),"",ROUND(MOD(E1736-D1736,1)*24-N(F1736)/60,2))</f>
        <v/>
      </c>
      <c r="H1736" s="7">
        <f>IF(C1736="","",IFERROR(INDEX(Sites!$B$2:$B$501,MATCH(C1736,Sites!$A$2:$A$501,0)),"?"))</f>
        <v/>
      </c>
      <c r="I1736" s="8">
        <f>IF(A1736="","",A1736-WEEKDAY(A1736,3))</f>
        <v/>
      </c>
      <c r="K1736" s="7">
        <f>IF(A1736="","",IF(OR(B1736="",C1736="",D1736="",E1736=""),"Missing info",IF(ISNA(MATCH(B1736,Staff!$A$2:$A$101,0)),"Unknown employee",IF(H1736="?","Unknown site",IF(G1736&lt;=0,"Check times",IF(G1736&gt;12,"Over 12h",IF(COUNTIFS($L$2:$L$2001,L1736)&gt;1,"Duplicate?",IF(A1736&gt;TODAY(),"Future date","OK"))))))))</f>
        <v/>
      </c>
      <c r="L1736">
        <f>IF(A1736="","",TEXT(A1736,"yyyy-mm-dd")&amp;"|"&amp;B1736&amp;"|"&amp;C1736)</f>
        <v/>
      </c>
    </row>
    <row r="1737">
      <c r="A1737" s="4" t="n"/>
      <c r="D1737" s="5" t="n"/>
      <c r="E1737" s="5" t="n"/>
      <c r="G1737" s="6">
        <f>IF(OR(A1737="",D1737="",E1737=""),"",ROUND(MOD(E1737-D1737,1)*24-N(F1737)/60,2))</f>
        <v/>
      </c>
      <c r="H1737" s="7">
        <f>IF(C1737="","",IFERROR(INDEX(Sites!$B$2:$B$501,MATCH(C1737,Sites!$A$2:$A$501,0)),"?"))</f>
        <v/>
      </c>
      <c r="I1737" s="8">
        <f>IF(A1737="","",A1737-WEEKDAY(A1737,3))</f>
        <v/>
      </c>
      <c r="K1737" s="7">
        <f>IF(A1737="","",IF(OR(B1737="",C1737="",D1737="",E1737=""),"Missing info",IF(ISNA(MATCH(B1737,Staff!$A$2:$A$101,0)),"Unknown employee",IF(H1737="?","Unknown site",IF(G1737&lt;=0,"Check times",IF(G1737&gt;12,"Over 12h",IF(COUNTIFS($L$2:$L$2001,L1737)&gt;1,"Duplicate?",IF(A1737&gt;TODAY(),"Future date","OK"))))))))</f>
        <v/>
      </c>
      <c r="L1737">
        <f>IF(A1737="","",TEXT(A1737,"yyyy-mm-dd")&amp;"|"&amp;B1737&amp;"|"&amp;C1737)</f>
        <v/>
      </c>
    </row>
    <row r="1738">
      <c r="A1738" s="4" t="n"/>
      <c r="D1738" s="5" t="n"/>
      <c r="E1738" s="5" t="n"/>
      <c r="G1738" s="6">
        <f>IF(OR(A1738="",D1738="",E1738=""),"",ROUND(MOD(E1738-D1738,1)*24-N(F1738)/60,2))</f>
        <v/>
      </c>
      <c r="H1738" s="7">
        <f>IF(C1738="","",IFERROR(INDEX(Sites!$B$2:$B$501,MATCH(C1738,Sites!$A$2:$A$501,0)),"?"))</f>
        <v/>
      </c>
      <c r="I1738" s="8">
        <f>IF(A1738="","",A1738-WEEKDAY(A1738,3))</f>
        <v/>
      </c>
      <c r="K1738" s="7">
        <f>IF(A1738="","",IF(OR(B1738="",C1738="",D1738="",E1738=""),"Missing info",IF(ISNA(MATCH(B1738,Staff!$A$2:$A$101,0)),"Unknown employee",IF(H1738="?","Unknown site",IF(G1738&lt;=0,"Check times",IF(G1738&gt;12,"Over 12h",IF(COUNTIFS($L$2:$L$2001,L1738)&gt;1,"Duplicate?",IF(A1738&gt;TODAY(),"Future date","OK"))))))))</f>
        <v/>
      </c>
      <c r="L1738">
        <f>IF(A1738="","",TEXT(A1738,"yyyy-mm-dd")&amp;"|"&amp;B1738&amp;"|"&amp;C1738)</f>
        <v/>
      </c>
    </row>
    <row r="1739">
      <c r="A1739" s="4" t="n"/>
      <c r="D1739" s="5" t="n"/>
      <c r="E1739" s="5" t="n"/>
      <c r="G1739" s="6">
        <f>IF(OR(A1739="",D1739="",E1739=""),"",ROUND(MOD(E1739-D1739,1)*24-N(F1739)/60,2))</f>
        <v/>
      </c>
      <c r="H1739" s="7">
        <f>IF(C1739="","",IFERROR(INDEX(Sites!$B$2:$B$501,MATCH(C1739,Sites!$A$2:$A$501,0)),"?"))</f>
        <v/>
      </c>
      <c r="I1739" s="8">
        <f>IF(A1739="","",A1739-WEEKDAY(A1739,3))</f>
        <v/>
      </c>
      <c r="K1739" s="7">
        <f>IF(A1739="","",IF(OR(B1739="",C1739="",D1739="",E1739=""),"Missing info",IF(ISNA(MATCH(B1739,Staff!$A$2:$A$101,0)),"Unknown employee",IF(H1739="?","Unknown site",IF(G1739&lt;=0,"Check times",IF(G1739&gt;12,"Over 12h",IF(COUNTIFS($L$2:$L$2001,L1739)&gt;1,"Duplicate?",IF(A1739&gt;TODAY(),"Future date","OK"))))))))</f>
        <v/>
      </c>
      <c r="L1739">
        <f>IF(A1739="","",TEXT(A1739,"yyyy-mm-dd")&amp;"|"&amp;B1739&amp;"|"&amp;C1739)</f>
        <v/>
      </c>
    </row>
    <row r="1740">
      <c r="A1740" s="4" t="n"/>
      <c r="D1740" s="5" t="n"/>
      <c r="E1740" s="5" t="n"/>
      <c r="G1740" s="6">
        <f>IF(OR(A1740="",D1740="",E1740=""),"",ROUND(MOD(E1740-D1740,1)*24-N(F1740)/60,2))</f>
        <v/>
      </c>
      <c r="H1740" s="7">
        <f>IF(C1740="","",IFERROR(INDEX(Sites!$B$2:$B$501,MATCH(C1740,Sites!$A$2:$A$501,0)),"?"))</f>
        <v/>
      </c>
      <c r="I1740" s="8">
        <f>IF(A1740="","",A1740-WEEKDAY(A1740,3))</f>
        <v/>
      </c>
      <c r="K1740" s="7">
        <f>IF(A1740="","",IF(OR(B1740="",C1740="",D1740="",E1740=""),"Missing info",IF(ISNA(MATCH(B1740,Staff!$A$2:$A$101,0)),"Unknown employee",IF(H1740="?","Unknown site",IF(G1740&lt;=0,"Check times",IF(G1740&gt;12,"Over 12h",IF(COUNTIFS($L$2:$L$2001,L1740)&gt;1,"Duplicate?",IF(A1740&gt;TODAY(),"Future date","OK"))))))))</f>
        <v/>
      </c>
      <c r="L1740">
        <f>IF(A1740="","",TEXT(A1740,"yyyy-mm-dd")&amp;"|"&amp;B1740&amp;"|"&amp;C1740)</f>
        <v/>
      </c>
    </row>
    <row r="1741">
      <c r="A1741" s="4" t="n"/>
      <c r="D1741" s="5" t="n"/>
      <c r="E1741" s="5" t="n"/>
      <c r="G1741" s="6">
        <f>IF(OR(A1741="",D1741="",E1741=""),"",ROUND(MOD(E1741-D1741,1)*24-N(F1741)/60,2))</f>
        <v/>
      </c>
      <c r="H1741" s="7">
        <f>IF(C1741="","",IFERROR(INDEX(Sites!$B$2:$B$501,MATCH(C1741,Sites!$A$2:$A$501,0)),"?"))</f>
        <v/>
      </c>
      <c r="I1741" s="8">
        <f>IF(A1741="","",A1741-WEEKDAY(A1741,3))</f>
        <v/>
      </c>
      <c r="K1741" s="7">
        <f>IF(A1741="","",IF(OR(B1741="",C1741="",D1741="",E1741=""),"Missing info",IF(ISNA(MATCH(B1741,Staff!$A$2:$A$101,0)),"Unknown employee",IF(H1741="?","Unknown site",IF(G1741&lt;=0,"Check times",IF(G1741&gt;12,"Over 12h",IF(COUNTIFS($L$2:$L$2001,L1741)&gt;1,"Duplicate?",IF(A1741&gt;TODAY(),"Future date","OK"))))))))</f>
        <v/>
      </c>
      <c r="L1741">
        <f>IF(A1741="","",TEXT(A1741,"yyyy-mm-dd")&amp;"|"&amp;B1741&amp;"|"&amp;C1741)</f>
        <v/>
      </c>
    </row>
    <row r="1742">
      <c r="A1742" s="4" t="n"/>
      <c r="D1742" s="5" t="n"/>
      <c r="E1742" s="5" t="n"/>
      <c r="G1742" s="6">
        <f>IF(OR(A1742="",D1742="",E1742=""),"",ROUND(MOD(E1742-D1742,1)*24-N(F1742)/60,2))</f>
        <v/>
      </c>
      <c r="H1742" s="7">
        <f>IF(C1742="","",IFERROR(INDEX(Sites!$B$2:$B$501,MATCH(C1742,Sites!$A$2:$A$501,0)),"?"))</f>
        <v/>
      </c>
      <c r="I1742" s="8">
        <f>IF(A1742="","",A1742-WEEKDAY(A1742,3))</f>
        <v/>
      </c>
      <c r="K1742" s="7">
        <f>IF(A1742="","",IF(OR(B1742="",C1742="",D1742="",E1742=""),"Missing info",IF(ISNA(MATCH(B1742,Staff!$A$2:$A$101,0)),"Unknown employee",IF(H1742="?","Unknown site",IF(G1742&lt;=0,"Check times",IF(G1742&gt;12,"Over 12h",IF(COUNTIFS($L$2:$L$2001,L1742)&gt;1,"Duplicate?",IF(A1742&gt;TODAY(),"Future date","OK"))))))))</f>
        <v/>
      </c>
      <c r="L1742">
        <f>IF(A1742="","",TEXT(A1742,"yyyy-mm-dd")&amp;"|"&amp;B1742&amp;"|"&amp;C1742)</f>
        <v/>
      </c>
    </row>
    <row r="1743">
      <c r="A1743" s="4" t="n"/>
      <c r="D1743" s="5" t="n"/>
      <c r="E1743" s="5" t="n"/>
      <c r="G1743" s="6">
        <f>IF(OR(A1743="",D1743="",E1743=""),"",ROUND(MOD(E1743-D1743,1)*24-N(F1743)/60,2))</f>
        <v/>
      </c>
      <c r="H1743" s="7">
        <f>IF(C1743="","",IFERROR(INDEX(Sites!$B$2:$B$501,MATCH(C1743,Sites!$A$2:$A$501,0)),"?"))</f>
        <v/>
      </c>
      <c r="I1743" s="8">
        <f>IF(A1743="","",A1743-WEEKDAY(A1743,3))</f>
        <v/>
      </c>
      <c r="K1743" s="7">
        <f>IF(A1743="","",IF(OR(B1743="",C1743="",D1743="",E1743=""),"Missing info",IF(ISNA(MATCH(B1743,Staff!$A$2:$A$101,0)),"Unknown employee",IF(H1743="?","Unknown site",IF(G1743&lt;=0,"Check times",IF(G1743&gt;12,"Over 12h",IF(COUNTIFS($L$2:$L$2001,L1743)&gt;1,"Duplicate?",IF(A1743&gt;TODAY(),"Future date","OK"))))))))</f>
        <v/>
      </c>
      <c r="L1743">
        <f>IF(A1743="","",TEXT(A1743,"yyyy-mm-dd")&amp;"|"&amp;B1743&amp;"|"&amp;C1743)</f>
        <v/>
      </c>
    </row>
    <row r="1744">
      <c r="A1744" s="4" t="n"/>
      <c r="D1744" s="5" t="n"/>
      <c r="E1744" s="5" t="n"/>
      <c r="G1744" s="6">
        <f>IF(OR(A1744="",D1744="",E1744=""),"",ROUND(MOD(E1744-D1744,1)*24-N(F1744)/60,2))</f>
        <v/>
      </c>
      <c r="H1744" s="7">
        <f>IF(C1744="","",IFERROR(INDEX(Sites!$B$2:$B$501,MATCH(C1744,Sites!$A$2:$A$501,0)),"?"))</f>
        <v/>
      </c>
      <c r="I1744" s="8">
        <f>IF(A1744="","",A1744-WEEKDAY(A1744,3))</f>
        <v/>
      </c>
      <c r="K1744" s="7">
        <f>IF(A1744="","",IF(OR(B1744="",C1744="",D1744="",E1744=""),"Missing info",IF(ISNA(MATCH(B1744,Staff!$A$2:$A$101,0)),"Unknown employee",IF(H1744="?","Unknown site",IF(G1744&lt;=0,"Check times",IF(G1744&gt;12,"Over 12h",IF(COUNTIFS($L$2:$L$2001,L1744)&gt;1,"Duplicate?",IF(A1744&gt;TODAY(),"Future date","OK"))))))))</f>
        <v/>
      </c>
      <c r="L1744">
        <f>IF(A1744="","",TEXT(A1744,"yyyy-mm-dd")&amp;"|"&amp;B1744&amp;"|"&amp;C1744)</f>
        <v/>
      </c>
    </row>
    <row r="1745">
      <c r="A1745" s="4" t="n"/>
      <c r="D1745" s="5" t="n"/>
      <c r="E1745" s="5" t="n"/>
      <c r="G1745" s="6">
        <f>IF(OR(A1745="",D1745="",E1745=""),"",ROUND(MOD(E1745-D1745,1)*24-N(F1745)/60,2))</f>
        <v/>
      </c>
      <c r="H1745" s="7">
        <f>IF(C1745="","",IFERROR(INDEX(Sites!$B$2:$B$501,MATCH(C1745,Sites!$A$2:$A$501,0)),"?"))</f>
        <v/>
      </c>
      <c r="I1745" s="8">
        <f>IF(A1745="","",A1745-WEEKDAY(A1745,3))</f>
        <v/>
      </c>
      <c r="K1745" s="7">
        <f>IF(A1745="","",IF(OR(B1745="",C1745="",D1745="",E1745=""),"Missing info",IF(ISNA(MATCH(B1745,Staff!$A$2:$A$101,0)),"Unknown employee",IF(H1745="?","Unknown site",IF(G1745&lt;=0,"Check times",IF(G1745&gt;12,"Over 12h",IF(COUNTIFS($L$2:$L$2001,L1745)&gt;1,"Duplicate?",IF(A1745&gt;TODAY(),"Future date","OK"))))))))</f>
        <v/>
      </c>
      <c r="L1745">
        <f>IF(A1745="","",TEXT(A1745,"yyyy-mm-dd")&amp;"|"&amp;B1745&amp;"|"&amp;C1745)</f>
        <v/>
      </c>
    </row>
    <row r="1746">
      <c r="A1746" s="4" t="n"/>
      <c r="D1746" s="5" t="n"/>
      <c r="E1746" s="5" t="n"/>
      <c r="G1746" s="6">
        <f>IF(OR(A1746="",D1746="",E1746=""),"",ROUND(MOD(E1746-D1746,1)*24-N(F1746)/60,2))</f>
        <v/>
      </c>
      <c r="H1746" s="7">
        <f>IF(C1746="","",IFERROR(INDEX(Sites!$B$2:$B$501,MATCH(C1746,Sites!$A$2:$A$501,0)),"?"))</f>
        <v/>
      </c>
      <c r="I1746" s="8">
        <f>IF(A1746="","",A1746-WEEKDAY(A1746,3))</f>
        <v/>
      </c>
      <c r="K1746" s="7">
        <f>IF(A1746="","",IF(OR(B1746="",C1746="",D1746="",E1746=""),"Missing info",IF(ISNA(MATCH(B1746,Staff!$A$2:$A$101,0)),"Unknown employee",IF(H1746="?","Unknown site",IF(G1746&lt;=0,"Check times",IF(G1746&gt;12,"Over 12h",IF(COUNTIFS($L$2:$L$2001,L1746)&gt;1,"Duplicate?",IF(A1746&gt;TODAY(),"Future date","OK"))))))))</f>
        <v/>
      </c>
      <c r="L1746">
        <f>IF(A1746="","",TEXT(A1746,"yyyy-mm-dd")&amp;"|"&amp;B1746&amp;"|"&amp;C1746)</f>
        <v/>
      </c>
    </row>
    <row r="1747">
      <c r="A1747" s="4" t="n"/>
      <c r="D1747" s="5" t="n"/>
      <c r="E1747" s="5" t="n"/>
      <c r="G1747" s="6">
        <f>IF(OR(A1747="",D1747="",E1747=""),"",ROUND(MOD(E1747-D1747,1)*24-N(F1747)/60,2))</f>
        <v/>
      </c>
      <c r="H1747" s="7">
        <f>IF(C1747="","",IFERROR(INDEX(Sites!$B$2:$B$501,MATCH(C1747,Sites!$A$2:$A$501,0)),"?"))</f>
        <v/>
      </c>
      <c r="I1747" s="8">
        <f>IF(A1747="","",A1747-WEEKDAY(A1747,3))</f>
        <v/>
      </c>
      <c r="K1747" s="7">
        <f>IF(A1747="","",IF(OR(B1747="",C1747="",D1747="",E1747=""),"Missing info",IF(ISNA(MATCH(B1747,Staff!$A$2:$A$101,0)),"Unknown employee",IF(H1747="?","Unknown site",IF(G1747&lt;=0,"Check times",IF(G1747&gt;12,"Over 12h",IF(COUNTIFS($L$2:$L$2001,L1747)&gt;1,"Duplicate?",IF(A1747&gt;TODAY(),"Future date","OK"))))))))</f>
        <v/>
      </c>
      <c r="L1747">
        <f>IF(A1747="","",TEXT(A1747,"yyyy-mm-dd")&amp;"|"&amp;B1747&amp;"|"&amp;C1747)</f>
        <v/>
      </c>
    </row>
    <row r="1748">
      <c r="A1748" s="4" t="n"/>
      <c r="D1748" s="5" t="n"/>
      <c r="E1748" s="5" t="n"/>
      <c r="G1748" s="6">
        <f>IF(OR(A1748="",D1748="",E1748=""),"",ROUND(MOD(E1748-D1748,1)*24-N(F1748)/60,2))</f>
        <v/>
      </c>
      <c r="H1748" s="7">
        <f>IF(C1748="","",IFERROR(INDEX(Sites!$B$2:$B$501,MATCH(C1748,Sites!$A$2:$A$501,0)),"?"))</f>
        <v/>
      </c>
      <c r="I1748" s="8">
        <f>IF(A1748="","",A1748-WEEKDAY(A1748,3))</f>
        <v/>
      </c>
      <c r="K1748" s="7">
        <f>IF(A1748="","",IF(OR(B1748="",C1748="",D1748="",E1748=""),"Missing info",IF(ISNA(MATCH(B1748,Staff!$A$2:$A$101,0)),"Unknown employee",IF(H1748="?","Unknown site",IF(G1748&lt;=0,"Check times",IF(G1748&gt;12,"Over 12h",IF(COUNTIFS($L$2:$L$2001,L1748)&gt;1,"Duplicate?",IF(A1748&gt;TODAY(),"Future date","OK"))))))))</f>
        <v/>
      </c>
      <c r="L1748">
        <f>IF(A1748="","",TEXT(A1748,"yyyy-mm-dd")&amp;"|"&amp;B1748&amp;"|"&amp;C1748)</f>
        <v/>
      </c>
    </row>
    <row r="1749">
      <c r="A1749" s="4" t="n"/>
      <c r="D1749" s="5" t="n"/>
      <c r="E1749" s="5" t="n"/>
      <c r="G1749" s="6">
        <f>IF(OR(A1749="",D1749="",E1749=""),"",ROUND(MOD(E1749-D1749,1)*24-N(F1749)/60,2))</f>
        <v/>
      </c>
      <c r="H1749" s="7">
        <f>IF(C1749="","",IFERROR(INDEX(Sites!$B$2:$B$501,MATCH(C1749,Sites!$A$2:$A$501,0)),"?"))</f>
        <v/>
      </c>
      <c r="I1749" s="8">
        <f>IF(A1749="","",A1749-WEEKDAY(A1749,3))</f>
        <v/>
      </c>
      <c r="K1749" s="7">
        <f>IF(A1749="","",IF(OR(B1749="",C1749="",D1749="",E1749=""),"Missing info",IF(ISNA(MATCH(B1749,Staff!$A$2:$A$101,0)),"Unknown employee",IF(H1749="?","Unknown site",IF(G1749&lt;=0,"Check times",IF(G1749&gt;12,"Over 12h",IF(COUNTIFS($L$2:$L$2001,L1749)&gt;1,"Duplicate?",IF(A1749&gt;TODAY(),"Future date","OK"))))))))</f>
        <v/>
      </c>
      <c r="L1749">
        <f>IF(A1749="","",TEXT(A1749,"yyyy-mm-dd")&amp;"|"&amp;B1749&amp;"|"&amp;C1749)</f>
        <v/>
      </c>
    </row>
    <row r="1750">
      <c r="A1750" s="4" t="n"/>
      <c r="D1750" s="5" t="n"/>
      <c r="E1750" s="5" t="n"/>
      <c r="G1750" s="6">
        <f>IF(OR(A1750="",D1750="",E1750=""),"",ROUND(MOD(E1750-D1750,1)*24-N(F1750)/60,2))</f>
        <v/>
      </c>
      <c r="H1750" s="7">
        <f>IF(C1750="","",IFERROR(INDEX(Sites!$B$2:$B$501,MATCH(C1750,Sites!$A$2:$A$501,0)),"?"))</f>
        <v/>
      </c>
      <c r="I1750" s="8">
        <f>IF(A1750="","",A1750-WEEKDAY(A1750,3))</f>
        <v/>
      </c>
      <c r="K1750" s="7">
        <f>IF(A1750="","",IF(OR(B1750="",C1750="",D1750="",E1750=""),"Missing info",IF(ISNA(MATCH(B1750,Staff!$A$2:$A$101,0)),"Unknown employee",IF(H1750="?","Unknown site",IF(G1750&lt;=0,"Check times",IF(G1750&gt;12,"Over 12h",IF(COUNTIFS($L$2:$L$2001,L1750)&gt;1,"Duplicate?",IF(A1750&gt;TODAY(),"Future date","OK"))))))))</f>
        <v/>
      </c>
      <c r="L1750">
        <f>IF(A1750="","",TEXT(A1750,"yyyy-mm-dd")&amp;"|"&amp;B1750&amp;"|"&amp;C1750)</f>
        <v/>
      </c>
    </row>
    <row r="1751">
      <c r="A1751" s="4" t="n"/>
      <c r="D1751" s="5" t="n"/>
      <c r="E1751" s="5" t="n"/>
      <c r="G1751" s="6">
        <f>IF(OR(A1751="",D1751="",E1751=""),"",ROUND(MOD(E1751-D1751,1)*24-N(F1751)/60,2))</f>
        <v/>
      </c>
      <c r="H1751" s="7">
        <f>IF(C1751="","",IFERROR(INDEX(Sites!$B$2:$B$501,MATCH(C1751,Sites!$A$2:$A$501,0)),"?"))</f>
        <v/>
      </c>
      <c r="I1751" s="8">
        <f>IF(A1751="","",A1751-WEEKDAY(A1751,3))</f>
        <v/>
      </c>
      <c r="K1751" s="7">
        <f>IF(A1751="","",IF(OR(B1751="",C1751="",D1751="",E1751=""),"Missing info",IF(ISNA(MATCH(B1751,Staff!$A$2:$A$101,0)),"Unknown employee",IF(H1751="?","Unknown site",IF(G1751&lt;=0,"Check times",IF(G1751&gt;12,"Over 12h",IF(COUNTIFS($L$2:$L$2001,L1751)&gt;1,"Duplicate?",IF(A1751&gt;TODAY(),"Future date","OK"))))))))</f>
        <v/>
      </c>
      <c r="L1751">
        <f>IF(A1751="","",TEXT(A1751,"yyyy-mm-dd")&amp;"|"&amp;B1751&amp;"|"&amp;C1751)</f>
        <v/>
      </c>
    </row>
    <row r="1752">
      <c r="A1752" s="4" t="n"/>
      <c r="D1752" s="5" t="n"/>
      <c r="E1752" s="5" t="n"/>
      <c r="G1752" s="6">
        <f>IF(OR(A1752="",D1752="",E1752=""),"",ROUND(MOD(E1752-D1752,1)*24-N(F1752)/60,2))</f>
        <v/>
      </c>
      <c r="H1752" s="7">
        <f>IF(C1752="","",IFERROR(INDEX(Sites!$B$2:$B$501,MATCH(C1752,Sites!$A$2:$A$501,0)),"?"))</f>
        <v/>
      </c>
      <c r="I1752" s="8">
        <f>IF(A1752="","",A1752-WEEKDAY(A1752,3))</f>
        <v/>
      </c>
      <c r="K1752" s="7">
        <f>IF(A1752="","",IF(OR(B1752="",C1752="",D1752="",E1752=""),"Missing info",IF(ISNA(MATCH(B1752,Staff!$A$2:$A$101,0)),"Unknown employee",IF(H1752="?","Unknown site",IF(G1752&lt;=0,"Check times",IF(G1752&gt;12,"Over 12h",IF(COUNTIFS($L$2:$L$2001,L1752)&gt;1,"Duplicate?",IF(A1752&gt;TODAY(),"Future date","OK"))))))))</f>
        <v/>
      </c>
      <c r="L1752">
        <f>IF(A1752="","",TEXT(A1752,"yyyy-mm-dd")&amp;"|"&amp;B1752&amp;"|"&amp;C1752)</f>
        <v/>
      </c>
    </row>
    <row r="1753">
      <c r="A1753" s="4" t="n"/>
      <c r="D1753" s="5" t="n"/>
      <c r="E1753" s="5" t="n"/>
      <c r="G1753" s="6">
        <f>IF(OR(A1753="",D1753="",E1753=""),"",ROUND(MOD(E1753-D1753,1)*24-N(F1753)/60,2))</f>
        <v/>
      </c>
      <c r="H1753" s="7">
        <f>IF(C1753="","",IFERROR(INDEX(Sites!$B$2:$B$501,MATCH(C1753,Sites!$A$2:$A$501,0)),"?"))</f>
        <v/>
      </c>
      <c r="I1753" s="8">
        <f>IF(A1753="","",A1753-WEEKDAY(A1753,3))</f>
        <v/>
      </c>
      <c r="K1753" s="7">
        <f>IF(A1753="","",IF(OR(B1753="",C1753="",D1753="",E1753=""),"Missing info",IF(ISNA(MATCH(B1753,Staff!$A$2:$A$101,0)),"Unknown employee",IF(H1753="?","Unknown site",IF(G1753&lt;=0,"Check times",IF(G1753&gt;12,"Over 12h",IF(COUNTIFS($L$2:$L$2001,L1753)&gt;1,"Duplicate?",IF(A1753&gt;TODAY(),"Future date","OK"))))))))</f>
        <v/>
      </c>
      <c r="L1753">
        <f>IF(A1753="","",TEXT(A1753,"yyyy-mm-dd")&amp;"|"&amp;B1753&amp;"|"&amp;C1753)</f>
        <v/>
      </c>
    </row>
    <row r="1754">
      <c r="A1754" s="4" t="n"/>
      <c r="D1754" s="5" t="n"/>
      <c r="E1754" s="5" t="n"/>
      <c r="G1754" s="6">
        <f>IF(OR(A1754="",D1754="",E1754=""),"",ROUND(MOD(E1754-D1754,1)*24-N(F1754)/60,2))</f>
        <v/>
      </c>
      <c r="H1754" s="7">
        <f>IF(C1754="","",IFERROR(INDEX(Sites!$B$2:$B$501,MATCH(C1754,Sites!$A$2:$A$501,0)),"?"))</f>
        <v/>
      </c>
      <c r="I1754" s="8">
        <f>IF(A1754="","",A1754-WEEKDAY(A1754,3))</f>
        <v/>
      </c>
      <c r="K1754" s="7">
        <f>IF(A1754="","",IF(OR(B1754="",C1754="",D1754="",E1754=""),"Missing info",IF(ISNA(MATCH(B1754,Staff!$A$2:$A$101,0)),"Unknown employee",IF(H1754="?","Unknown site",IF(G1754&lt;=0,"Check times",IF(G1754&gt;12,"Over 12h",IF(COUNTIFS($L$2:$L$2001,L1754)&gt;1,"Duplicate?",IF(A1754&gt;TODAY(),"Future date","OK"))))))))</f>
        <v/>
      </c>
      <c r="L1754">
        <f>IF(A1754="","",TEXT(A1754,"yyyy-mm-dd")&amp;"|"&amp;B1754&amp;"|"&amp;C1754)</f>
        <v/>
      </c>
    </row>
    <row r="1755">
      <c r="A1755" s="4" t="n"/>
      <c r="D1755" s="5" t="n"/>
      <c r="E1755" s="5" t="n"/>
      <c r="G1755" s="6">
        <f>IF(OR(A1755="",D1755="",E1755=""),"",ROUND(MOD(E1755-D1755,1)*24-N(F1755)/60,2))</f>
        <v/>
      </c>
      <c r="H1755" s="7">
        <f>IF(C1755="","",IFERROR(INDEX(Sites!$B$2:$B$501,MATCH(C1755,Sites!$A$2:$A$501,0)),"?"))</f>
        <v/>
      </c>
      <c r="I1755" s="8">
        <f>IF(A1755="","",A1755-WEEKDAY(A1755,3))</f>
        <v/>
      </c>
      <c r="K1755" s="7">
        <f>IF(A1755="","",IF(OR(B1755="",C1755="",D1755="",E1755=""),"Missing info",IF(ISNA(MATCH(B1755,Staff!$A$2:$A$101,0)),"Unknown employee",IF(H1755="?","Unknown site",IF(G1755&lt;=0,"Check times",IF(G1755&gt;12,"Over 12h",IF(COUNTIFS($L$2:$L$2001,L1755)&gt;1,"Duplicate?",IF(A1755&gt;TODAY(),"Future date","OK"))))))))</f>
        <v/>
      </c>
      <c r="L1755">
        <f>IF(A1755="","",TEXT(A1755,"yyyy-mm-dd")&amp;"|"&amp;B1755&amp;"|"&amp;C1755)</f>
        <v/>
      </c>
    </row>
    <row r="1756">
      <c r="A1756" s="4" t="n"/>
      <c r="D1756" s="5" t="n"/>
      <c r="E1756" s="5" t="n"/>
      <c r="G1756" s="6">
        <f>IF(OR(A1756="",D1756="",E1756=""),"",ROUND(MOD(E1756-D1756,1)*24-N(F1756)/60,2))</f>
        <v/>
      </c>
      <c r="H1756" s="7">
        <f>IF(C1756="","",IFERROR(INDEX(Sites!$B$2:$B$501,MATCH(C1756,Sites!$A$2:$A$501,0)),"?"))</f>
        <v/>
      </c>
      <c r="I1756" s="8">
        <f>IF(A1756="","",A1756-WEEKDAY(A1756,3))</f>
        <v/>
      </c>
      <c r="K1756" s="7">
        <f>IF(A1756="","",IF(OR(B1756="",C1756="",D1756="",E1756=""),"Missing info",IF(ISNA(MATCH(B1756,Staff!$A$2:$A$101,0)),"Unknown employee",IF(H1756="?","Unknown site",IF(G1756&lt;=0,"Check times",IF(G1756&gt;12,"Over 12h",IF(COUNTIFS($L$2:$L$2001,L1756)&gt;1,"Duplicate?",IF(A1756&gt;TODAY(),"Future date","OK"))))))))</f>
        <v/>
      </c>
      <c r="L1756">
        <f>IF(A1756="","",TEXT(A1756,"yyyy-mm-dd")&amp;"|"&amp;B1756&amp;"|"&amp;C1756)</f>
        <v/>
      </c>
    </row>
    <row r="1757">
      <c r="A1757" s="4" t="n"/>
      <c r="D1757" s="5" t="n"/>
      <c r="E1757" s="5" t="n"/>
      <c r="G1757" s="6">
        <f>IF(OR(A1757="",D1757="",E1757=""),"",ROUND(MOD(E1757-D1757,1)*24-N(F1757)/60,2))</f>
        <v/>
      </c>
      <c r="H1757" s="7">
        <f>IF(C1757="","",IFERROR(INDEX(Sites!$B$2:$B$501,MATCH(C1757,Sites!$A$2:$A$501,0)),"?"))</f>
        <v/>
      </c>
      <c r="I1757" s="8">
        <f>IF(A1757="","",A1757-WEEKDAY(A1757,3))</f>
        <v/>
      </c>
      <c r="K1757" s="7">
        <f>IF(A1757="","",IF(OR(B1757="",C1757="",D1757="",E1757=""),"Missing info",IF(ISNA(MATCH(B1757,Staff!$A$2:$A$101,0)),"Unknown employee",IF(H1757="?","Unknown site",IF(G1757&lt;=0,"Check times",IF(G1757&gt;12,"Over 12h",IF(COUNTIFS($L$2:$L$2001,L1757)&gt;1,"Duplicate?",IF(A1757&gt;TODAY(),"Future date","OK"))))))))</f>
        <v/>
      </c>
      <c r="L1757">
        <f>IF(A1757="","",TEXT(A1757,"yyyy-mm-dd")&amp;"|"&amp;B1757&amp;"|"&amp;C1757)</f>
        <v/>
      </c>
    </row>
    <row r="1758">
      <c r="A1758" s="4" t="n"/>
      <c r="D1758" s="5" t="n"/>
      <c r="E1758" s="5" t="n"/>
      <c r="G1758" s="6">
        <f>IF(OR(A1758="",D1758="",E1758=""),"",ROUND(MOD(E1758-D1758,1)*24-N(F1758)/60,2))</f>
        <v/>
      </c>
      <c r="H1758" s="7">
        <f>IF(C1758="","",IFERROR(INDEX(Sites!$B$2:$B$501,MATCH(C1758,Sites!$A$2:$A$501,0)),"?"))</f>
        <v/>
      </c>
      <c r="I1758" s="8">
        <f>IF(A1758="","",A1758-WEEKDAY(A1758,3))</f>
        <v/>
      </c>
      <c r="K1758" s="7">
        <f>IF(A1758="","",IF(OR(B1758="",C1758="",D1758="",E1758=""),"Missing info",IF(ISNA(MATCH(B1758,Staff!$A$2:$A$101,0)),"Unknown employee",IF(H1758="?","Unknown site",IF(G1758&lt;=0,"Check times",IF(G1758&gt;12,"Over 12h",IF(COUNTIFS($L$2:$L$2001,L1758)&gt;1,"Duplicate?",IF(A1758&gt;TODAY(),"Future date","OK"))))))))</f>
        <v/>
      </c>
      <c r="L1758">
        <f>IF(A1758="","",TEXT(A1758,"yyyy-mm-dd")&amp;"|"&amp;B1758&amp;"|"&amp;C1758)</f>
        <v/>
      </c>
    </row>
    <row r="1759">
      <c r="A1759" s="4" t="n"/>
      <c r="D1759" s="5" t="n"/>
      <c r="E1759" s="5" t="n"/>
      <c r="G1759" s="6">
        <f>IF(OR(A1759="",D1759="",E1759=""),"",ROUND(MOD(E1759-D1759,1)*24-N(F1759)/60,2))</f>
        <v/>
      </c>
      <c r="H1759" s="7">
        <f>IF(C1759="","",IFERROR(INDEX(Sites!$B$2:$B$501,MATCH(C1759,Sites!$A$2:$A$501,0)),"?"))</f>
        <v/>
      </c>
      <c r="I1759" s="8">
        <f>IF(A1759="","",A1759-WEEKDAY(A1759,3))</f>
        <v/>
      </c>
      <c r="K1759" s="7">
        <f>IF(A1759="","",IF(OR(B1759="",C1759="",D1759="",E1759=""),"Missing info",IF(ISNA(MATCH(B1759,Staff!$A$2:$A$101,0)),"Unknown employee",IF(H1759="?","Unknown site",IF(G1759&lt;=0,"Check times",IF(G1759&gt;12,"Over 12h",IF(COUNTIFS($L$2:$L$2001,L1759)&gt;1,"Duplicate?",IF(A1759&gt;TODAY(),"Future date","OK"))))))))</f>
        <v/>
      </c>
      <c r="L1759">
        <f>IF(A1759="","",TEXT(A1759,"yyyy-mm-dd")&amp;"|"&amp;B1759&amp;"|"&amp;C1759)</f>
        <v/>
      </c>
    </row>
    <row r="1760">
      <c r="A1760" s="4" t="n"/>
      <c r="D1760" s="5" t="n"/>
      <c r="E1760" s="5" t="n"/>
      <c r="G1760" s="6">
        <f>IF(OR(A1760="",D1760="",E1760=""),"",ROUND(MOD(E1760-D1760,1)*24-N(F1760)/60,2))</f>
        <v/>
      </c>
      <c r="H1760" s="7">
        <f>IF(C1760="","",IFERROR(INDEX(Sites!$B$2:$B$501,MATCH(C1760,Sites!$A$2:$A$501,0)),"?"))</f>
        <v/>
      </c>
      <c r="I1760" s="8">
        <f>IF(A1760="","",A1760-WEEKDAY(A1760,3))</f>
        <v/>
      </c>
      <c r="K1760" s="7">
        <f>IF(A1760="","",IF(OR(B1760="",C1760="",D1760="",E1760=""),"Missing info",IF(ISNA(MATCH(B1760,Staff!$A$2:$A$101,0)),"Unknown employee",IF(H1760="?","Unknown site",IF(G1760&lt;=0,"Check times",IF(G1760&gt;12,"Over 12h",IF(COUNTIFS($L$2:$L$2001,L1760)&gt;1,"Duplicate?",IF(A1760&gt;TODAY(),"Future date","OK"))))))))</f>
        <v/>
      </c>
      <c r="L1760">
        <f>IF(A1760="","",TEXT(A1760,"yyyy-mm-dd")&amp;"|"&amp;B1760&amp;"|"&amp;C1760)</f>
        <v/>
      </c>
    </row>
    <row r="1761">
      <c r="A1761" s="4" t="n"/>
      <c r="D1761" s="5" t="n"/>
      <c r="E1761" s="5" t="n"/>
      <c r="G1761" s="6">
        <f>IF(OR(A1761="",D1761="",E1761=""),"",ROUND(MOD(E1761-D1761,1)*24-N(F1761)/60,2))</f>
        <v/>
      </c>
      <c r="H1761" s="7">
        <f>IF(C1761="","",IFERROR(INDEX(Sites!$B$2:$B$501,MATCH(C1761,Sites!$A$2:$A$501,0)),"?"))</f>
        <v/>
      </c>
      <c r="I1761" s="8">
        <f>IF(A1761="","",A1761-WEEKDAY(A1761,3))</f>
        <v/>
      </c>
      <c r="K1761" s="7">
        <f>IF(A1761="","",IF(OR(B1761="",C1761="",D1761="",E1761=""),"Missing info",IF(ISNA(MATCH(B1761,Staff!$A$2:$A$101,0)),"Unknown employee",IF(H1761="?","Unknown site",IF(G1761&lt;=0,"Check times",IF(G1761&gt;12,"Over 12h",IF(COUNTIFS($L$2:$L$2001,L1761)&gt;1,"Duplicate?",IF(A1761&gt;TODAY(),"Future date","OK"))))))))</f>
        <v/>
      </c>
      <c r="L1761">
        <f>IF(A1761="","",TEXT(A1761,"yyyy-mm-dd")&amp;"|"&amp;B1761&amp;"|"&amp;C1761)</f>
        <v/>
      </c>
    </row>
    <row r="1762">
      <c r="A1762" s="4" t="n"/>
      <c r="D1762" s="5" t="n"/>
      <c r="E1762" s="5" t="n"/>
      <c r="G1762" s="6">
        <f>IF(OR(A1762="",D1762="",E1762=""),"",ROUND(MOD(E1762-D1762,1)*24-N(F1762)/60,2))</f>
        <v/>
      </c>
      <c r="H1762" s="7">
        <f>IF(C1762="","",IFERROR(INDEX(Sites!$B$2:$B$501,MATCH(C1762,Sites!$A$2:$A$501,0)),"?"))</f>
        <v/>
      </c>
      <c r="I1762" s="8">
        <f>IF(A1762="","",A1762-WEEKDAY(A1762,3))</f>
        <v/>
      </c>
      <c r="K1762" s="7">
        <f>IF(A1762="","",IF(OR(B1762="",C1762="",D1762="",E1762=""),"Missing info",IF(ISNA(MATCH(B1762,Staff!$A$2:$A$101,0)),"Unknown employee",IF(H1762="?","Unknown site",IF(G1762&lt;=0,"Check times",IF(G1762&gt;12,"Over 12h",IF(COUNTIFS($L$2:$L$2001,L1762)&gt;1,"Duplicate?",IF(A1762&gt;TODAY(),"Future date","OK"))))))))</f>
        <v/>
      </c>
      <c r="L1762">
        <f>IF(A1762="","",TEXT(A1762,"yyyy-mm-dd")&amp;"|"&amp;B1762&amp;"|"&amp;C1762)</f>
        <v/>
      </c>
    </row>
    <row r="1763">
      <c r="A1763" s="4" t="n"/>
      <c r="D1763" s="5" t="n"/>
      <c r="E1763" s="5" t="n"/>
      <c r="G1763" s="6">
        <f>IF(OR(A1763="",D1763="",E1763=""),"",ROUND(MOD(E1763-D1763,1)*24-N(F1763)/60,2))</f>
        <v/>
      </c>
      <c r="H1763" s="7">
        <f>IF(C1763="","",IFERROR(INDEX(Sites!$B$2:$B$501,MATCH(C1763,Sites!$A$2:$A$501,0)),"?"))</f>
        <v/>
      </c>
      <c r="I1763" s="8">
        <f>IF(A1763="","",A1763-WEEKDAY(A1763,3))</f>
        <v/>
      </c>
      <c r="K1763" s="7">
        <f>IF(A1763="","",IF(OR(B1763="",C1763="",D1763="",E1763=""),"Missing info",IF(ISNA(MATCH(B1763,Staff!$A$2:$A$101,0)),"Unknown employee",IF(H1763="?","Unknown site",IF(G1763&lt;=0,"Check times",IF(G1763&gt;12,"Over 12h",IF(COUNTIFS($L$2:$L$2001,L1763)&gt;1,"Duplicate?",IF(A1763&gt;TODAY(),"Future date","OK"))))))))</f>
        <v/>
      </c>
      <c r="L1763">
        <f>IF(A1763="","",TEXT(A1763,"yyyy-mm-dd")&amp;"|"&amp;B1763&amp;"|"&amp;C1763)</f>
        <v/>
      </c>
    </row>
    <row r="1764">
      <c r="A1764" s="4" t="n"/>
      <c r="D1764" s="5" t="n"/>
      <c r="E1764" s="5" t="n"/>
      <c r="G1764" s="6">
        <f>IF(OR(A1764="",D1764="",E1764=""),"",ROUND(MOD(E1764-D1764,1)*24-N(F1764)/60,2))</f>
        <v/>
      </c>
      <c r="H1764" s="7">
        <f>IF(C1764="","",IFERROR(INDEX(Sites!$B$2:$B$501,MATCH(C1764,Sites!$A$2:$A$501,0)),"?"))</f>
        <v/>
      </c>
      <c r="I1764" s="8">
        <f>IF(A1764="","",A1764-WEEKDAY(A1764,3))</f>
        <v/>
      </c>
      <c r="K1764" s="7">
        <f>IF(A1764="","",IF(OR(B1764="",C1764="",D1764="",E1764=""),"Missing info",IF(ISNA(MATCH(B1764,Staff!$A$2:$A$101,0)),"Unknown employee",IF(H1764="?","Unknown site",IF(G1764&lt;=0,"Check times",IF(G1764&gt;12,"Over 12h",IF(COUNTIFS($L$2:$L$2001,L1764)&gt;1,"Duplicate?",IF(A1764&gt;TODAY(),"Future date","OK"))))))))</f>
        <v/>
      </c>
      <c r="L1764">
        <f>IF(A1764="","",TEXT(A1764,"yyyy-mm-dd")&amp;"|"&amp;B1764&amp;"|"&amp;C1764)</f>
        <v/>
      </c>
    </row>
    <row r="1765">
      <c r="A1765" s="4" t="n"/>
      <c r="D1765" s="5" t="n"/>
      <c r="E1765" s="5" t="n"/>
      <c r="G1765" s="6">
        <f>IF(OR(A1765="",D1765="",E1765=""),"",ROUND(MOD(E1765-D1765,1)*24-N(F1765)/60,2))</f>
        <v/>
      </c>
      <c r="H1765" s="7">
        <f>IF(C1765="","",IFERROR(INDEX(Sites!$B$2:$B$501,MATCH(C1765,Sites!$A$2:$A$501,0)),"?"))</f>
        <v/>
      </c>
      <c r="I1765" s="8">
        <f>IF(A1765="","",A1765-WEEKDAY(A1765,3))</f>
        <v/>
      </c>
      <c r="K1765" s="7">
        <f>IF(A1765="","",IF(OR(B1765="",C1765="",D1765="",E1765=""),"Missing info",IF(ISNA(MATCH(B1765,Staff!$A$2:$A$101,0)),"Unknown employee",IF(H1765="?","Unknown site",IF(G1765&lt;=0,"Check times",IF(G1765&gt;12,"Over 12h",IF(COUNTIFS($L$2:$L$2001,L1765)&gt;1,"Duplicate?",IF(A1765&gt;TODAY(),"Future date","OK"))))))))</f>
        <v/>
      </c>
      <c r="L1765">
        <f>IF(A1765="","",TEXT(A1765,"yyyy-mm-dd")&amp;"|"&amp;B1765&amp;"|"&amp;C1765)</f>
        <v/>
      </c>
    </row>
    <row r="1766">
      <c r="A1766" s="4" t="n"/>
      <c r="D1766" s="5" t="n"/>
      <c r="E1766" s="5" t="n"/>
      <c r="G1766" s="6">
        <f>IF(OR(A1766="",D1766="",E1766=""),"",ROUND(MOD(E1766-D1766,1)*24-N(F1766)/60,2))</f>
        <v/>
      </c>
      <c r="H1766" s="7">
        <f>IF(C1766="","",IFERROR(INDEX(Sites!$B$2:$B$501,MATCH(C1766,Sites!$A$2:$A$501,0)),"?"))</f>
        <v/>
      </c>
      <c r="I1766" s="8">
        <f>IF(A1766="","",A1766-WEEKDAY(A1766,3))</f>
        <v/>
      </c>
      <c r="K1766" s="7">
        <f>IF(A1766="","",IF(OR(B1766="",C1766="",D1766="",E1766=""),"Missing info",IF(ISNA(MATCH(B1766,Staff!$A$2:$A$101,0)),"Unknown employee",IF(H1766="?","Unknown site",IF(G1766&lt;=0,"Check times",IF(G1766&gt;12,"Over 12h",IF(COUNTIFS($L$2:$L$2001,L1766)&gt;1,"Duplicate?",IF(A1766&gt;TODAY(),"Future date","OK"))))))))</f>
        <v/>
      </c>
      <c r="L1766">
        <f>IF(A1766="","",TEXT(A1766,"yyyy-mm-dd")&amp;"|"&amp;B1766&amp;"|"&amp;C1766)</f>
        <v/>
      </c>
    </row>
    <row r="1767">
      <c r="A1767" s="4" t="n"/>
      <c r="D1767" s="5" t="n"/>
      <c r="E1767" s="5" t="n"/>
      <c r="G1767" s="6">
        <f>IF(OR(A1767="",D1767="",E1767=""),"",ROUND(MOD(E1767-D1767,1)*24-N(F1767)/60,2))</f>
        <v/>
      </c>
      <c r="H1767" s="7">
        <f>IF(C1767="","",IFERROR(INDEX(Sites!$B$2:$B$501,MATCH(C1767,Sites!$A$2:$A$501,0)),"?"))</f>
        <v/>
      </c>
      <c r="I1767" s="8">
        <f>IF(A1767="","",A1767-WEEKDAY(A1767,3))</f>
        <v/>
      </c>
      <c r="K1767" s="7">
        <f>IF(A1767="","",IF(OR(B1767="",C1767="",D1767="",E1767=""),"Missing info",IF(ISNA(MATCH(B1767,Staff!$A$2:$A$101,0)),"Unknown employee",IF(H1767="?","Unknown site",IF(G1767&lt;=0,"Check times",IF(G1767&gt;12,"Over 12h",IF(COUNTIFS($L$2:$L$2001,L1767)&gt;1,"Duplicate?",IF(A1767&gt;TODAY(),"Future date","OK"))))))))</f>
        <v/>
      </c>
      <c r="L1767">
        <f>IF(A1767="","",TEXT(A1767,"yyyy-mm-dd")&amp;"|"&amp;B1767&amp;"|"&amp;C1767)</f>
        <v/>
      </c>
    </row>
    <row r="1768">
      <c r="A1768" s="4" t="n"/>
      <c r="D1768" s="5" t="n"/>
      <c r="E1768" s="5" t="n"/>
      <c r="G1768" s="6">
        <f>IF(OR(A1768="",D1768="",E1768=""),"",ROUND(MOD(E1768-D1768,1)*24-N(F1768)/60,2))</f>
        <v/>
      </c>
      <c r="H1768" s="7">
        <f>IF(C1768="","",IFERROR(INDEX(Sites!$B$2:$B$501,MATCH(C1768,Sites!$A$2:$A$501,0)),"?"))</f>
        <v/>
      </c>
      <c r="I1768" s="8">
        <f>IF(A1768="","",A1768-WEEKDAY(A1768,3))</f>
        <v/>
      </c>
      <c r="K1768" s="7">
        <f>IF(A1768="","",IF(OR(B1768="",C1768="",D1768="",E1768=""),"Missing info",IF(ISNA(MATCH(B1768,Staff!$A$2:$A$101,0)),"Unknown employee",IF(H1768="?","Unknown site",IF(G1768&lt;=0,"Check times",IF(G1768&gt;12,"Over 12h",IF(COUNTIFS($L$2:$L$2001,L1768)&gt;1,"Duplicate?",IF(A1768&gt;TODAY(),"Future date","OK"))))))))</f>
        <v/>
      </c>
      <c r="L1768">
        <f>IF(A1768="","",TEXT(A1768,"yyyy-mm-dd")&amp;"|"&amp;B1768&amp;"|"&amp;C1768)</f>
        <v/>
      </c>
    </row>
    <row r="1769">
      <c r="A1769" s="4" t="n"/>
      <c r="D1769" s="5" t="n"/>
      <c r="E1769" s="5" t="n"/>
      <c r="G1769" s="6">
        <f>IF(OR(A1769="",D1769="",E1769=""),"",ROUND(MOD(E1769-D1769,1)*24-N(F1769)/60,2))</f>
        <v/>
      </c>
      <c r="H1769" s="7">
        <f>IF(C1769="","",IFERROR(INDEX(Sites!$B$2:$B$501,MATCH(C1769,Sites!$A$2:$A$501,0)),"?"))</f>
        <v/>
      </c>
      <c r="I1769" s="8">
        <f>IF(A1769="","",A1769-WEEKDAY(A1769,3))</f>
        <v/>
      </c>
      <c r="K1769" s="7">
        <f>IF(A1769="","",IF(OR(B1769="",C1769="",D1769="",E1769=""),"Missing info",IF(ISNA(MATCH(B1769,Staff!$A$2:$A$101,0)),"Unknown employee",IF(H1769="?","Unknown site",IF(G1769&lt;=0,"Check times",IF(G1769&gt;12,"Over 12h",IF(COUNTIFS($L$2:$L$2001,L1769)&gt;1,"Duplicate?",IF(A1769&gt;TODAY(),"Future date","OK"))))))))</f>
        <v/>
      </c>
      <c r="L1769">
        <f>IF(A1769="","",TEXT(A1769,"yyyy-mm-dd")&amp;"|"&amp;B1769&amp;"|"&amp;C1769)</f>
        <v/>
      </c>
    </row>
    <row r="1770">
      <c r="A1770" s="4" t="n"/>
      <c r="D1770" s="5" t="n"/>
      <c r="E1770" s="5" t="n"/>
      <c r="G1770" s="6">
        <f>IF(OR(A1770="",D1770="",E1770=""),"",ROUND(MOD(E1770-D1770,1)*24-N(F1770)/60,2))</f>
        <v/>
      </c>
      <c r="H1770" s="7">
        <f>IF(C1770="","",IFERROR(INDEX(Sites!$B$2:$B$501,MATCH(C1770,Sites!$A$2:$A$501,0)),"?"))</f>
        <v/>
      </c>
      <c r="I1770" s="8">
        <f>IF(A1770="","",A1770-WEEKDAY(A1770,3))</f>
        <v/>
      </c>
      <c r="K1770" s="7">
        <f>IF(A1770="","",IF(OR(B1770="",C1770="",D1770="",E1770=""),"Missing info",IF(ISNA(MATCH(B1770,Staff!$A$2:$A$101,0)),"Unknown employee",IF(H1770="?","Unknown site",IF(G1770&lt;=0,"Check times",IF(G1770&gt;12,"Over 12h",IF(COUNTIFS($L$2:$L$2001,L1770)&gt;1,"Duplicate?",IF(A1770&gt;TODAY(),"Future date","OK"))))))))</f>
        <v/>
      </c>
      <c r="L1770">
        <f>IF(A1770="","",TEXT(A1770,"yyyy-mm-dd")&amp;"|"&amp;B1770&amp;"|"&amp;C1770)</f>
        <v/>
      </c>
    </row>
    <row r="1771">
      <c r="A1771" s="4" t="n"/>
      <c r="D1771" s="5" t="n"/>
      <c r="E1771" s="5" t="n"/>
      <c r="G1771" s="6">
        <f>IF(OR(A1771="",D1771="",E1771=""),"",ROUND(MOD(E1771-D1771,1)*24-N(F1771)/60,2))</f>
        <v/>
      </c>
      <c r="H1771" s="7">
        <f>IF(C1771="","",IFERROR(INDEX(Sites!$B$2:$B$501,MATCH(C1771,Sites!$A$2:$A$501,0)),"?"))</f>
        <v/>
      </c>
      <c r="I1771" s="8">
        <f>IF(A1771="","",A1771-WEEKDAY(A1771,3))</f>
        <v/>
      </c>
      <c r="K1771" s="7">
        <f>IF(A1771="","",IF(OR(B1771="",C1771="",D1771="",E1771=""),"Missing info",IF(ISNA(MATCH(B1771,Staff!$A$2:$A$101,0)),"Unknown employee",IF(H1771="?","Unknown site",IF(G1771&lt;=0,"Check times",IF(G1771&gt;12,"Over 12h",IF(COUNTIFS($L$2:$L$2001,L1771)&gt;1,"Duplicate?",IF(A1771&gt;TODAY(),"Future date","OK"))))))))</f>
        <v/>
      </c>
      <c r="L1771">
        <f>IF(A1771="","",TEXT(A1771,"yyyy-mm-dd")&amp;"|"&amp;B1771&amp;"|"&amp;C1771)</f>
        <v/>
      </c>
    </row>
    <row r="1772">
      <c r="A1772" s="4" t="n"/>
      <c r="D1772" s="5" t="n"/>
      <c r="E1772" s="5" t="n"/>
      <c r="G1772" s="6">
        <f>IF(OR(A1772="",D1772="",E1772=""),"",ROUND(MOD(E1772-D1772,1)*24-N(F1772)/60,2))</f>
        <v/>
      </c>
      <c r="H1772" s="7">
        <f>IF(C1772="","",IFERROR(INDEX(Sites!$B$2:$B$501,MATCH(C1772,Sites!$A$2:$A$501,0)),"?"))</f>
        <v/>
      </c>
      <c r="I1772" s="8">
        <f>IF(A1772="","",A1772-WEEKDAY(A1772,3))</f>
        <v/>
      </c>
      <c r="K1772" s="7">
        <f>IF(A1772="","",IF(OR(B1772="",C1772="",D1772="",E1772=""),"Missing info",IF(ISNA(MATCH(B1772,Staff!$A$2:$A$101,0)),"Unknown employee",IF(H1772="?","Unknown site",IF(G1772&lt;=0,"Check times",IF(G1772&gt;12,"Over 12h",IF(COUNTIFS($L$2:$L$2001,L1772)&gt;1,"Duplicate?",IF(A1772&gt;TODAY(),"Future date","OK"))))))))</f>
        <v/>
      </c>
      <c r="L1772">
        <f>IF(A1772="","",TEXT(A1772,"yyyy-mm-dd")&amp;"|"&amp;B1772&amp;"|"&amp;C1772)</f>
        <v/>
      </c>
    </row>
    <row r="1773">
      <c r="A1773" s="4" t="n"/>
      <c r="D1773" s="5" t="n"/>
      <c r="E1773" s="5" t="n"/>
      <c r="G1773" s="6">
        <f>IF(OR(A1773="",D1773="",E1773=""),"",ROUND(MOD(E1773-D1773,1)*24-N(F1773)/60,2))</f>
        <v/>
      </c>
      <c r="H1773" s="7">
        <f>IF(C1773="","",IFERROR(INDEX(Sites!$B$2:$B$501,MATCH(C1773,Sites!$A$2:$A$501,0)),"?"))</f>
        <v/>
      </c>
      <c r="I1773" s="8">
        <f>IF(A1773="","",A1773-WEEKDAY(A1773,3))</f>
        <v/>
      </c>
      <c r="K1773" s="7">
        <f>IF(A1773="","",IF(OR(B1773="",C1773="",D1773="",E1773=""),"Missing info",IF(ISNA(MATCH(B1773,Staff!$A$2:$A$101,0)),"Unknown employee",IF(H1773="?","Unknown site",IF(G1773&lt;=0,"Check times",IF(G1773&gt;12,"Over 12h",IF(COUNTIFS($L$2:$L$2001,L1773)&gt;1,"Duplicate?",IF(A1773&gt;TODAY(),"Future date","OK"))))))))</f>
        <v/>
      </c>
      <c r="L1773">
        <f>IF(A1773="","",TEXT(A1773,"yyyy-mm-dd")&amp;"|"&amp;B1773&amp;"|"&amp;C1773)</f>
        <v/>
      </c>
    </row>
    <row r="1774">
      <c r="A1774" s="4" t="n"/>
      <c r="D1774" s="5" t="n"/>
      <c r="E1774" s="5" t="n"/>
      <c r="G1774" s="6">
        <f>IF(OR(A1774="",D1774="",E1774=""),"",ROUND(MOD(E1774-D1774,1)*24-N(F1774)/60,2))</f>
        <v/>
      </c>
      <c r="H1774" s="7">
        <f>IF(C1774="","",IFERROR(INDEX(Sites!$B$2:$B$501,MATCH(C1774,Sites!$A$2:$A$501,0)),"?"))</f>
        <v/>
      </c>
      <c r="I1774" s="8">
        <f>IF(A1774="","",A1774-WEEKDAY(A1774,3))</f>
        <v/>
      </c>
      <c r="K1774" s="7">
        <f>IF(A1774="","",IF(OR(B1774="",C1774="",D1774="",E1774=""),"Missing info",IF(ISNA(MATCH(B1774,Staff!$A$2:$A$101,0)),"Unknown employee",IF(H1774="?","Unknown site",IF(G1774&lt;=0,"Check times",IF(G1774&gt;12,"Over 12h",IF(COUNTIFS($L$2:$L$2001,L1774)&gt;1,"Duplicate?",IF(A1774&gt;TODAY(),"Future date","OK"))))))))</f>
        <v/>
      </c>
      <c r="L1774">
        <f>IF(A1774="","",TEXT(A1774,"yyyy-mm-dd")&amp;"|"&amp;B1774&amp;"|"&amp;C1774)</f>
        <v/>
      </c>
    </row>
    <row r="1775">
      <c r="A1775" s="4" t="n"/>
      <c r="D1775" s="5" t="n"/>
      <c r="E1775" s="5" t="n"/>
      <c r="G1775" s="6">
        <f>IF(OR(A1775="",D1775="",E1775=""),"",ROUND(MOD(E1775-D1775,1)*24-N(F1775)/60,2))</f>
        <v/>
      </c>
      <c r="H1775" s="7">
        <f>IF(C1775="","",IFERROR(INDEX(Sites!$B$2:$B$501,MATCH(C1775,Sites!$A$2:$A$501,0)),"?"))</f>
        <v/>
      </c>
      <c r="I1775" s="8">
        <f>IF(A1775="","",A1775-WEEKDAY(A1775,3))</f>
        <v/>
      </c>
      <c r="K1775" s="7">
        <f>IF(A1775="","",IF(OR(B1775="",C1775="",D1775="",E1775=""),"Missing info",IF(ISNA(MATCH(B1775,Staff!$A$2:$A$101,0)),"Unknown employee",IF(H1775="?","Unknown site",IF(G1775&lt;=0,"Check times",IF(G1775&gt;12,"Over 12h",IF(COUNTIFS($L$2:$L$2001,L1775)&gt;1,"Duplicate?",IF(A1775&gt;TODAY(),"Future date","OK"))))))))</f>
        <v/>
      </c>
      <c r="L1775">
        <f>IF(A1775="","",TEXT(A1775,"yyyy-mm-dd")&amp;"|"&amp;B1775&amp;"|"&amp;C1775)</f>
        <v/>
      </c>
    </row>
    <row r="1776">
      <c r="A1776" s="4" t="n"/>
      <c r="D1776" s="5" t="n"/>
      <c r="E1776" s="5" t="n"/>
      <c r="G1776" s="6">
        <f>IF(OR(A1776="",D1776="",E1776=""),"",ROUND(MOD(E1776-D1776,1)*24-N(F1776)/60,2))</f>
        <v/>
      </c>
      <c r="H1776" s="7">
        <f>IF(C1776="","",IFERROR(INDEX(Sites!$B$2:$B$501,MATCH(C1776,Sites!$A$2:$A$501,0)),"?"))</f>
        <v/>
      </c>
      <c r="I1776" s="8">
        <f>IF(A1776="","",A1776-WEEKDAY(A1776,3))</f>
        <v/>
      </c>
      <c r="K1776" s="7">
        <f>IF(A1776="","",IF(OR(B1776="",C1776="",D1776="",E1776=""),"Missing info",IF(ISNA(MATCH(B1776,Staff!$A$2:$A$101,0)),"Unknown employee",IF(H1776="?","Unknown site",IF(G1776&lt;=0,"Check times",IF(G1776&gt;12,"Over 12h",IF(COUNTIFS($L$2:$L$2001,L1776)&gt;1,"Duplicate?",IF(A1776&gt;TODAY(),"Future date","OK"))))))))</f>
        <v/>
      </c>
      <c r="L1776">
        <f>IF(A1776="","",TEXT(A1776,"yyyy-mm-dd")&amp;"|"&amp;B1776&amp;"|"&amp;C1776)</f>
        <v/>
      </c>
    </row>
    <row r="1777">
      <c r="A1777" s="4" t="n"/>
      <c r="D1777" s="5" t="n"/>
      <c r="E1777" s="5" t="n"/>
      <c r="G1777" s="6">
        <f>IF(OR(A1777="",D1777="",E1777=""),"",ROUND(MOD(E1777-D1777,1)*24-N(F1777)/60,2))</f>
        <v/>
      </c>
      <c r="H1777" s="7">
        <f>IF(C1777="","",IFERROR(INDEX(Sites!$B$2:$B$501,MATCH(C1777,Sites!$A$2:$A$501,0)),"?"))</f>
        <v/>
      </c>
      <c r="I1777" s="8">
        <f>IF(A1777="","",A1777-WEEKDAY(A1777,3))</f>
        <v/>
      </c>
      <c r="K1777" s="7">
        <f>IF(A1777="","",IF(OR(B1777="",C1777="",D1777="",E1777=""),"Missing info",IF(ISNA(MATCH(B1777,Staff!$A$2:$A$101,0)),"Unknown employee",IF(H1777="?","Unknown site",IF(G1777&lt;=0,"Check times",IF(G1777&gt;12,"Over 12h",IF(COUNTIFS($L$2:$L$2001,L1777)&gt;1,"Duplicate?",IF(A1777&gt;TODAY(),"Future date","OK"))))))))</f>
        <v/>
      </c>
      <c r="L1777">
        <f>IF(A1777="","",TEXT(A1777,"yyyy-mm-dd")&amp;"|"&amp;B1777&amp;"|"&amp;C1777)</f>
        <v/>
      </c>
    </row>
    <row r="1778">
      <c r="A1778" s="4" t="n"/>
      <c r="D1778" s="5" t="n"/>
      <c r="E1778" s="5" t="n"/>
      <c r="G1778" s="6">
        <f>IF(OR(A1778="",D1778="",E1778=""),"",ROUND(MOD(E1778-D1778,1)*24-N(F1778)/60,2))</f>
        <v/>
      </c>
      <c r="H1778" s="7">
        <f>IF(C1778="","",IFERROR(INDEX(Sites!$B$2:$B$501,MATCH(C1778,Sites!$A$2:$A$501,0)),"?"))</f>
        <v/>
      </c>
      <c r="I1778" s="8">
        <f>IF(A1778="","",A1778-WEEKDAY(A1778,3))</f>
        <v/>
      </c>
      <c r="K1778" s="7">
        <f>IF(A1778="","",IF(OR(B1778="",C1778="",D1778="",E1778=""),"Missing info",IF(ISNA(MATCH(B1778,Staff!$A$2:$A$101,0)),"Unknown employee",IF(H1778="?","Unknown site",IF(G1778&lt;=0,"Check times",IF(G1778&gt;12,"Over 12h",IF(COUNTIFS($L$2:$L$2001,L1778)&gt;1,"Duplicate?",IF(A1778&gt;TODAY(),"Future date","OK"))))))))</f>
        <v/>
      </c>
      <c r="L1778">
        <f>IF(A1778="","",TEXT(A1778,"yyyy-mm-dd")&amp;"|"&amp;B1778&amp;"|"&amp;C1778)</f>
        <v/>
      </c>
    </row>
    <row r="1779">
      <c r="A1779" s="4" t="n"/>
      <c r="D1779" s="5" t="n"/>
      <c r="E1779" s="5" t="n"/>
      <c r="G1779" s="6">
        <f>IF(OR(A1779="",D1779="",E1779=""),"",ROUND(MOD(E1779-D1779,1)*24-N(F1779)/60,2))</f>
        <v/>
      </c>
      <c r="H1779" s="7">
        <f>IF(C1779="","",IFERROR(INDEX(Sites!$B$2:$B$501,MATCH(C1779,Sites!$A$2:$A$501,0)),"?"))</f>
        <v/>
      </c>
      <c r="I1779" s="8">
        <f>IF(A1779="","",A1779-WEEKDAY(A1779,3))</f>
        <v/>
      </c>
      <c r="K1779" s="7">
        <f>IF(A1779="","",IF(OR(B1779="",C1779="",D1779="",E1779=""),"Missing info",IF(ISNA(MATCH(B1779,Staff!$A$2:$A$101,0)),"Unknown employee",IF(H1779="?","Unknown site",IF(G1779&lt;=0,"Check times",IF(G1779&gt;12,"Over 12h",IF(COUNTIFS($L$2:$L$2001,L1779)&gt;1,"Duplicate?",IF(A1779&gt;TODAY(),"Future date","OK"))))))))</f>
        <v/>
      </c>
      <c r="L1779">
        <f>IF(A1779="","",TEXT(A1779,"yyyy-mm-dd")&amp;"|"&amp;B1779&amp;"|"&amp;C1779)</f>
        <v/>
      </c>
    </row>
    <row r="1780">
      <c r="A1780" s="4" t="n"/>
      <c r="D1780" s="5" t="n"/>
      <c r="E1780" s="5" t="n"/>
      <c r="G1780" s="6">
        <f>IF(OR(A1780="",D1780="",E1780=""),"",ROUND(MOD(E1780-D1780,1)*24-N(F1780)/60,2))</f>
        <v/>
      </c>
      <c r="H1780" s="7">
        <f>IF(C1780="","",IFERROR(INDEX(Sites!$B$2:$B$501,MATCH(C1780,Sites!$A$2:$A$501,0)),"?"))</f>
        <v/>
      </c>
      <c r="I1780" s="8">
        <f>IF(A1780="","",A1780-WEEKDAY(A1780,3))</f>
        <v/>
      </c>
      <c r="K1780" s="7">
        <f>IF(A1780="","",IF(OR(B1780="",C1780="",D1780="",E1780=""),"Missing info",IF(ISNA(MATCH(B1780,Staff!$A$2:$A$101,0)),"Unknown employee",IF(H1780="?","Unknown site",IF(G1780&lt;=0,"Check times",IF(G1780&gt;12,"Over 12h",IF(COUNTIFS($L$2:$L$2001,L1780)&gt;1,"Duplicate?",IF(A1780&gt;TODAY(),"Future date","OK"))))))))</f>
        <v/>
      </c>
      <c r="L1780">
        <f>IF(A1780="","",TEXT(A1780,"yyyy-mm-dd")&amp;"|"&amp;B1780&amp;"|"&amp;C1780)</f>
        <v/>
      </c>
    </row>
    <row r="1781">
      <c r="A1781" s="4" t="n"/>
      <c r="D1781" s="5" t="n"/>
      <c r="E1781" s="5" t="n"/>
      <c r="G1781" s="6">
        <f>IF(OR(A1781="",D1781="",E1781=""),"",ROUND(MOD(E1781-D1781,1)*24-N(F1781)/60,2))</f>
        <v/>
      </c>
      <c r="H1781" s="7">
        <f>IF(C1781="","",IFERROR(INDEX(Sites!$B$2:$B$501,MATCH(C1781,Sites!$A$2:$A$501,0)),"?"))</f>
        <v/>
      </c>
      <c r="I1781" s="8">
        <f>IF(A1781="","",A1781-WEEKDAY(A1781,3))</f>
        <v/>
      </c>
      <c r="K1781" s="7">
        <f>IF(A1781="","",IF(OR(B1781="",C1781="",D1781="",E1781=""),"Missing info",IF(ISNA(MATCH(B1781,Staff!$A$2:$A$101,0)),"Unknown employee",IF(H1781="?","Unknown site",IF(G1781&lt;=0,"Check times",IF(G1781&gt;12,"Over 12h",IF(COUNTIFS($L$2:$L$2001,L1781)&gt;1,"Duplicate?",IF(A1781&gt;TODAY(),"Future date","OK"))))))))</f>
        <v/>
      </c>
      <c r="L1781">
        <f>IF(A1781="","",TEXT(A1781,"yyyy-mm-dd")&amp;"|"&amp;B1781&amp;"|"&amp;C1781)</f>
        <v/>
      </c>
    </row>
    <row r="1782">
      <c r="A1782" s="4" t="n"/>
      <c r="D1782" s="5" t="n"/>
      <c r="E1782" s="5" t="n"/>
      <c r="G1782" s="6">
        <f>IF(OR(A1782="",D1782="",E1782=""),"",ROUND(MOD(E1782-D1782,1)*24-N(F1782)/60,2))</f>
        <v/>
      </c>
      <c r="H1782" s="7">
        <f>IF(C1782="","",IFERROR(INDEX(Sites!$B$2:$B$501,MATCH(C1782,Sites!$A$2:$A$501,0)),"?"))</f>
        <v/>
      </c>
      <c r="I1782" s="8">
        <f>IF(A1782="","",A1782-WEEKDAY(A1782,3))</f>
        <v/>
      </c>
      <c r="K1782" s="7">
        <f>IF(A1782="","",IF(OR(B1782="",C1782="",D1782="",E1782=""),"Missing info",IF(ISNA(MATCH(B1782,Staff!$A$2:$A$101,0)),"Unknown employee",IF(H1782="?","Unknown site",IF(G1782&lt;=0,"Check times",IF(G1782&gt;12,"Over 12h",IF(COUNTIFS($L$2:$L$2001,L1782)&gt;1,"Duplicate?",IF(A1782&gt;TODAY(),"Future date","OK"))))))))</f>
        <v/>
      </c>
      <c r="L1782">
        <f>IF(A1782="","",TEXT(A1782,"yyyy-mm-dd")&amp;"|"&amp;B1782&amp;"|"&amp;C1782)</f>
        <v/>
      </c>
    </row>
    <row r="1783">
      <c r="A1783" s="4" t="n"/>
      <c r="D1783" s="5" t="n"/>
      <c r="E1783" s="5" t="n"/>
      <c r="G1783" s="6">
        <f>IF(OR(A1783="",D1783="",E1783=""),"",ROUND(MOD(E1783-D1783,1)*24-N(F1783)/60,2))</f>
        <v/>
      </c>
      <c r="H1783" s="7">
        <f>IF(C1783="","",IFERROR(INDEX(Sites!$B$2:$B$501,MATCH(C1783,Sites!$A$2:$A$501,0)),"?"))</f>
        <v/>
      </c>
      <c r="I1783" s="8">
        <f>IF(A1783="","",A1783-WEEKDAY(A1783,3))</f>
        <v/>
      </c>
      <c r="K1783" s="7">
        <f>IF(A1783="","",IF(OR(B1783="",C1783="",D1783="",E1783=""),"Missing info",IF(ISNA(MATCH(B1783,Staff!$A$2:$A$101,0)),"Unknown employee",IF(H1783="?","Unknown site",IF(G1783&lt;=0,"Check times",IF(G1783&gt;12,"Over 12h",IF(COUNTIFS($L$2:$L$2001,L1783)&gt;1,"Duplicate?",IF(A1783&gt;TODAY(),"Future date","OK"))))))))</f>
        <v/>
      </c>
      <c r="L1783">
        <f>IF(A1783="","",TEXT(A1783,"yyyy-mm-dd")&amp;"|"&amp;B1783&amp;"|"&amp;C1783)</f>
        <v/>
      </c>
    </row>
    <row r="1784">
      <c r="A1784" s="4" t="n"/>
      <c r="D1784" s="5" t="n"/>
      <c r="E1784" s="5" t="n"/>
      <c r="G1784" s="6">
        <f>IF(OR(A1784="",D1784="",E1784=""),"",ROUND(MOD(E1784-D1784,1)*24-N(F1784)/60,2))</f>
        <v/>
      </c>
      <c r="H1784" s="7">
        <f>IF(C1784="","",IFERROR(INDEX(Sites!$B$2:$B$501,MATCH(C1784,Sites!$A$2:$A$501,0)),"?"))</f>
        <v/>
      </c>
      <c r="I1784" s="8">
        <f>IF(A1784="","",A1784-WEEKDAY(A1784,3))</f>
        <v/>
      </c>
      <c r="K1784" s="7">
        <f>IF(A1784="","",IF(OR(B1784="",C1784="",D1784="",E1784=""),"Missing info",IF(ISNA(MATCH(B1784,Staff!$A$2:$A$101,0)),"Unknown employee",IF(H1784="?","Unknown site",IF(G1784&lt;=0,"Check times",IF(G1784&gt;12,"Over 12h",IF(COUNTIFS($L$2:$L$2001,L1784)&gt;1,"Duplicate?",IF(A1784&gt;TODAY(),"Future date","OK"))))))))</f>
        <v/>
      </c>
      <c r="L1784">
        <f>IF(A1784="","",TEXT(A1784,"yyyy-mm-dd")&amp;"|"&amp;B1784&amp;"|"&amp;C1784)</f>
        <v/>
      </c>
    </row>
    <row r="1785">
      <c r="A1785" s="4" t="n"/>
      <c r="D1785" s="5" t="n"/>
      <c r="E1785" s="5" t="n"/>
      <c r="G1785" s="6">
        <f>IF(OR(A1785="",D1785="",E1785=""),"",ROUND(MOD(E1785-D1785,1)*24-N(F1785)/60,2))</f>
        <v/>
      </c>
      <c r="H1785" s="7">
        <f>IF(C1785="","",IFERROR(INDEX(Sites!$B$2:$B$501,MATCH(C1785,Sites!$A$2:$A$501,0)),"?"))</f>
        <v/>
      </c>
      <c r="I1785" s="8">
        <f>IF(A1785="","",A1785-WEEKDAY(A1785,3))</f>
        <v/>
      </c>
      <c r="K1785" s="7">
        <f>IF(A1785="","",IF(OR(B1785="",C1785="",D1785="",E1785=""),"Missing info",IF(ISNA(MATCH(B1785,Staff!$A$2:$A$101,0)),"Unknown employee",IF(H1785="?","Unknown site",IF(G1785&lt;=0,"Check times",IF(G1785&gt;12,"Over 12h",IF(COUNTIFS($L$2:$L$2001,L1785)&gt;1,"Duplicate?",IF(A1785&gt;TODAY(),"Future date","OK"))))))))</f>
        <v/>
      </c>
      <c r="L1785">
        <f>IF(A1785="","",TEXT(A1785,"yyyy-mm-dd")&amp;"|"&amp;B1785&amp;"|"&amp;C1785)</f>
        <v/>
      </c>
    </row>
    <row r="1786">
      <c r="A1786" s="4" t="n"/>
      <c r="D1786" s="5" t="n"/>
      <c r="E1786" s="5" t="n"/>
      <c r="G1786" s="6">
        <f>IF(OR(A1786="",D1786="",E1786=""),"",ROUND(MOD(E1786-D1786,1)*24-N(F1786)/60,2))</f>
        <v/>
      </c>
      <c r="H1786" s="7">
        <f>IF(C1786="","",IFERROR(INDEX(Sites!$B$2:$B$501,MATCH(C1786,Sites!$A$2:$A$501,0)),"?"))</f>
        <v/>
      </c>
      <c r="I1786" s="8">
        <f>IF(A1786="","",A1786-WEEKDAY(A1786,3))</f>
        <v/>
      </c>
      <c r="K1786" s="7">
        <f>IF(A1786="","",IF(OR(B1786="",C1786="",D1786="",E1786=""),"Missing info",IF(ISNA(MATCH(B1786,Staff!$A$2:$A$101,0)),"Unknown employee",IF(H1786="?","Unknown site",IF(G1786&lt;=0,"Check times",IF(G1786&gt;12,"Over 12h",IF(COUNTIFS($L$2:$L$2001,L1786)&gt;1,"Duplicate?",IF(A1786&gt;TODAY(),"Future date","OK"))))))))</f>
        <v/>
      </c>
      <c r="L1786">
        <f>IF(A1786="","",TEXT(A1786,"yyyy-mm-dd")&amp;"|"&amp;B1786&amp;"|"&amp;C1786)</f>
        <v/>
      </c>
    </row>
    <row r="1787">
      <c r="A1787" s="4" t="n"/>
      <c r="D1787" s="5" t="n"/>
      <c r="E1787" s="5" t="n"/>
      <c r="G1787" s="6">
        <f>IF(OR(A1787="",D1787="",E1787=""),"",ROUND(MOD(E1787-D1787,1)*24-N(F1787)/60,2))</f>
        <v/>
      </c>
      <c r="H1787" s="7">
        <f>IF(C1787="","",IFERROR(INDEX(Sites!$B$2:$B$501,MATCH(C1787,Sites!$A$2:$A$501,0)),"?"))</f>
        <v/>
      </c>
      <c r="I1787" s="8">
        <f>IF(A1787="","",A1787-WEEKDAY(A1787,3))</f>
        <v/>
      </c>
      <c r="K1787" s="7">
        <f>IF(A1787="","",IF(OR(B1787="",C1787="",D1787="",E1787=""),"Missing info",IF(ISNA(MATCH(B1787,Staff!$A$2:$A$101,0)),"Unknown employee",IF(H1787="?","Unknown site",IF(G1787&lt;=0,"Check times",IF(G1787&gt;12,"Over 12h",IF(COUNTIFS($L$2:$L$2001,L1787)&gt;1,"Duplicate?",IF(A1787&gt;TODAY(),"Future date","OK"))))))))</f>
        <v/>
      </c>
      <c r="L1787">
        <f>IF(A1787="","",TEXT(A1787,"yyyy-mm-dd")&amp;"|"&amp;B1787&amp;"|"&amp;C1787)</f>
        <v/>
      </c>
    </row>
    <row r="1788">
      <c r="A1788" s="4" t="n"/>
      <c r="D1788" s="5" t="n"/>
      <c r="E1788" s="5" t="n"/>
      <c r="G1788" s="6">
        <f>IF(OR(A1788="",D1788="",E1788=""),"",ROUND(MOD(E1788-D1788,1)*24-N(F1788)/60,2))</f>
        <v/>
      </c>
      <c r="H1788" s="7">
        <f>IF(C1788="","",IFERROR(INDEX(Sites!$B$2:$B$501,MATCH(C1788,Sites!$A$2:$A$501,0)),"?"))</f>
        <v/>
      </c>
      <c r="I1788" s="8">
        <f>IF(A1788="","",A1788-WEEKDAY(A1788,3))</f>
        <v/>
      </c>
      <c r="K1788" s="7">
        <f>IF(A1788="","",IF(OR(B1788="",C1788="",D1788="",E1788=""),"Missing info",IF(ISNA(MATCH(B1788,Staff!$A$2:$A$101,0)),"Unknown employee",IF(H1788="?","Unknown site",IF(G1788&lt;=0,"Check times",IF(G1788&gt;12,"Over 12h",IF(COUNTIFS($L$2:$L$2001,L1788)&gt;1,"Duplicate?",IF(A1788&gt;TODAY(),"Future date","OK"))))))))</f>
        <v/>
      </c>
      <c r="L1788">
        <f>IF(A1788="","",TEXT(A1788,"yyyy-mm-dd")&amp;"|"&amp;B1788&amp;"|"&amp;C1788)</f>
        <v/>
      </c>
    </row>
    <row r="1789">
      <c r="A1789" s="4" t="n"/>
      <c r="D1789" s="5" t="n"/>
      <c r="E1789" s="5" t="n"/>
      <c r="G1789" s="6">
        <f>IF(OR(A1789="",D1789="",E1789=""),"",ROUND(MOD(E1789-D1789,1)*24-N(F1789)/60,2))</f>
        <v/>
      </c>
      <c r="H1789" s="7">
        <f>IF(C1789="","",IFERROR(INDEX(Sites!$B$2:$B$501,MATCH(C1789,Sites!$A$2:$A$501,0)),"?"))</f>
        <v/>
      </c>
      <c r="I1789" s="8">
        <f>IF(A1789="","",A1789-WEEKDAY(A1789,3))</f>
        <v/>
      </c>
      <c r="K1789" s="7">
        <f>IF(A1789="","",IF(OR(B1789="",C1789="",D1789="",E1789=""),"Missing info",IF(ISNA(MATCH(B1789,Staff!$A$2:$A$101,0)),"Unknown employee",IF(H1789="?","Unknown site",IF(G1789&lt;=0,"Check times",IF(G1789&gt;12,"Over 12h",IF(COUNTIFS($L$2:$L$2001,L1789)&gt;1,"Duplicate?",IF(A1789&gt;TODAY(),"Future date","OK"))))))))</f>
        <v/>
      </c>
      <c r="L1789">
        <f>IF(A1789="","",TEXT(A1789,"yyyy-mm-dd")&amp;"|"&amp;B1789&amp;"|"&amp;C1789)</f>
        <v/>
      </c>
    </row>
    <row r="1790">
      <c r="A1790" s="4" t="n"/>
      <c r="D1790" s="5" t="n"/>
      <c r="E1790" s="5" t="n"/>
      <c r="G1790" s="6">
        <f>IF(OR(A1790="",D1790="",E1790=""),"",ROUND(MOD(E1790-D1790,1)*24-N(F1790)/60,2))</f>
        <v/>
      </c>
      <c r="H1790" s="7">
        <f>IF(C1790="","",IFERROR(INDEX(Sites!$B$2:$B$501,MATCH(C1790,Sites!$A$2:$A$501,0)),"?"))</f>
        <v/>
      </c>
      <c r="I1790" s="8">
        <f>IF(A1790="","",A1790-WEEKDAY(A1790,3))</f>
        <v/>
      </c>
      <c r="K1790" s="7">
        <f>IF(A1790="","",IF(OR(B1790="",C1790="",D1790="",E1790=""),"Missing info",IF(ISNA(MATCH(B1790,Staff!$A$2:$A$101,0)),"Unknown employee",IF(H1790="?","Unknown site",IF(G1790&lt;=0,"Check times",IF(G1790&gt;12,"Over 12h",IF(COUNTIFS($L$2:$L$2001,L1790)&gt;1,"Duplicate?",IF(A1790&gt;TODAY(),"Future date","OK"))))))))</f>
        <v/>
      </c>
      <c r="L1790">
        <f>IF(A1790="","",TEXT(A1790,"yyyy-mm-dd")&amp;"|"&amp;B1790&amp;"|"&amp;C1790)</f>
        <v/>
      </c>
    </row>
    <row r="1791">
      <c r="A1791" s="4" t="n"/>
      <c r="D1791" s="5" t="n"/>
      <c r="E1791" s="5" t="n"/>
      <c r="G1791" s="6">
        <f>IF(OR(A1791="",D1791="",E1791=""),"",ROUND(MOD(E1791-D1791,1)*24-N(F1791)/60,2))</f>
        <v/>
      </c>
      <c r="H1791" s="7">
        <f>IF(C1791="","",IFERROR(INDEX(Sites!$B$2:$B$501,MATCH(C1791,Sites!$A$2:$A$501,0)),"?"))</f>
        <v/>
      </c>
      <c r="I1791" s="8">
        <f>IF(A1791="","",A1791-WEEKDAY(A1791,3))</f>
        <v/>
      </c>
      <c r="K1791" s="7">
        <f>IF(A1791="","",IF(OR(B1791="",C1791="",D1791="",E1791=""),"Missing info",IF(ISNA(MATCH(B1791,Staff!$A$2:$A$101,0)),"Unknown employee",IF(H1791="?","Unknown site",IF(G1791&lt;=0,"Check times",IF(G1791&gt;12,"Over 12h",IF(COUNTIFS($L$2:$L$2001,L1791)&gt;1,"Duplicate?",IF(A1791&gt;TODAY(),"Future date","OK"))))))))</f>
        <v/>
      </c>
      <c r="L1791">
        <f>IF(A1791="","",TEXT(A1791,"yyyy-mm-dd")&amp;"|"&amp;B1791&amp;"|"&amp;C1791)</f>
        <v/>
      </c>
    </row>
    <row r="1792">
      <c r="A1792" s="4" t="n"/>
      <c r="D1792" s="5" t="n"/>
      <c r="E1792" s="5" t="n"/>
      <c r="G1792" s="6">
        <f>IF(OR(A1792="",D1792="",E1792=""),"",ROUND(MOD(E1792-D1792,1)*24-N(F1792)/60,2))</f>
        <v/>
      </c>
      <c r="H1792" s="7">
        <f>IF(C1792="","",IFERROR(INDEX(Sites!$B$2:$B$501,MATCH(C1792,Sites!$A$2:$A$501,0)),"?"))</f>
        <v/>
      </c>
      <c r="I1792" s="8">
        <f>IF(A1792="","",A1792-WEEKDAY(A1792,3))</f>
        <v/>
      </c>
      <c r="K1792" s="7">
        <f>IF(A1792="","",IF(OR(B1792="",C1792="",D1792="",E1792=""),"Missing info",IF(ISNA(MATCH(B1792,Staff!$A$2:$A$101,0)),"Unknown employee",IF(H1792="?","Unknown site",IF(G1792&lt;=0,"Check times",IF(G1792&gt;12,"Over 12h",IF(COUNTIFS($L$2:$L$2001,L1792)&gt;1,"Duplicate?",IF(A1792&gt;TODAY(),"Future date","OK"))))))))</f>
        <v/>
      </c>
      <c r="L1792">
        <f>IF(A1792="","",TEXT(A1792,"yyyy-mm-dd")&amp;"|"&amp;B1792&amp;"|"&amp;C1792)</f>
        <v/>
      </c>
    </row>
    <row r="1793">
      <c r="A1793" s="4" t="n"/>
      <c r="D1793" s="5" t="n"/>
      <c r="E1793" s="5" t="n"/>
      <c r="G1793" s="6">
        <f>IF(OR(A1793="",D1793="",E1793=""),"",ROUND(MOD(E1793-D1793,1)*24-N(F1793)/60,2))</f>
        <v/>
      </c>
      <c r="H1793" s="7">
        <f>IF(C1793="","",IFERROR(INDEX(Sites!$B$2:$B$501,MATCH(C1793,Sites!$A$2:$A$501,0)),"?"))</f>
        <v/>
      </c>
      <c r="I1793" s="8">
        <f>IF(A1793="","",A1793-WEEKDAY(A1793,3))</f>
        <v/>
      </c>
      <c r="K1793" s="7">
        <f>IF(A1793="","",IF(OR(B1793="",C1793="",D1793="",E1793=""),"Missing info",IF(ISNA(MATCH(B1793,Staff!$A$2:$A$101,0)),"Unknown employee",IF(H1793="?","Unknown site",IF(G1793&lt;=0,"Check times",IF(G1793&gt;12,"Over 12h",IF(COUNTIFS($L$2:$L$2001,L1793)&gt;1,"Duplicate?",IF(A1793&gt;TODAY(),"Future date","OK"))))))))</f>
        <v/>
      </c>
      <c r="L1793">
        <f>IF(A1793="","",TEXT(A1793,"yyyy-mm-dd")&amp;"|"&amp;B1793&amp;"|"&amp;C1793)</f>
        <v/>
      </c>
    </row>
    <row r="1794">
      <c r="A1794" s="4" t="n"/>
      <c r="D1794" s="5" t="n"/>
      <c r="E1794" s="5" t="n"/>
      <c r="G1794" s="6">
        <f>IF(OR(A1794="",D1794="",E1794=""),"",ROUND(MOD(E1794-D1794,1)*24-N(F1794)/60,2))</f>
        <v/>
      </c>
      <c r="H1794" s="7">
        <f>IF(C1794="","",IFERROR(INDEX(Sites!$B$2:$B$501,MATCH(C1794,Sites!$A$2:$A$501,0)),"?"))</f>
        <v/>
      </c>
      <c r="I1794" s="8">
        <f>IF(A1794="","",A1794-WEEKDAY(A1794,3))</f>
        <v/>
      </c>
      <c r="K1794" s="7">
        <f>IF(A1794="","",IF(OR(B1794="",C1794="",D1794="",E1794=""),"Missing info",IF(ISNA(MATCH(B1794,Staff!$A$2:$A$101,0)),"Unknown employee",IF(H1794="?","Unknown site",IF(G1794&lt;=0,"Check times",IF(G1794&gt;12,"Over 12h",IF(COUNTIFS($L$2:$L$2001,L1794)&gt;1,"Duplicate?",IF(A1794&gt;TODAY(),"Future date","OK"))))))))</f>
        <v/>
      </c>
      <c r="L1794">
        <f>IF(A1794="","",TEXT(A1794,"yyyy-mm-dd")&amp;"|"&amp;B1794&amp;"|"&amp;C1794)</f>
        <v/>
      </c>
    </row>
    <row r="1795">
      <c r="A1795" s="4" t="n"/>
      <c r="D1795" s="5" t="n"/>
      <c r="E1795" s="5" t="n"/>
      <c r="G1795" s="6">
        <f>IF(OR(A1795="",D1795="",E1795=""),"",ROUND(MOD(E1795-D1795,1)*24-N(F1795)/60,2))</f>
        <v/>
      </c>
      <c r="H1795" s="7">
        <f>IF(C1795="","",IFERROR(INDEX(Sites!$B$2:$B$501,MATCH(C1795,Sites!$A$2:$A$501,0)),"?"))</f>
        <v/>
      </c>
      <c r="I1795" s="8">
        <f>IF(A1795="","",A1795-WEEKDAY(A1795,3))</f>
        <v/>
      </c>
      <c r="K1795" s="7">
        <f>IF(A1795="","",IF(OR(B1795="",C1795="",D1795="",E1795=""),"Missing info",IF(ISNA(MATCH(B1795,Staff!$A$2:$A$101,0)),"Unknown employee",IF(H1795="?","Unknown site",IF(G1795&lt;=0,"Check times",IF(G1795&gt;12,"Over 12h",IF(COUNTIFS($L$2:$L$2001,L1795)&gt;1,"Duplicate?",IF(A1795&gt;TODAY(),"Future date","OK"))))))))</f>
        <v/>
      </c>
      <c r="L1795">
        <f>IF(A1795="","",TEXT(A1795,"yyyy-mm-dd")&amp;"|"&amp;B1795&amp;"|"&amp;C1795)</f>
        <v/>
      </c>
    </row>
    <row r="1796">
      <c r="A1796" s="4" t="n"/>
      <c r="D1796" s="5" t="n"/>
      <c r="E1796" s="5" t="n"/>
      <c r="G1796" s="6">
        <f>IF(OR(A1796="",D1796="",E1796=""),"",ROUND(MOD(E1796-D1796,1)*24-N(F1796)/60,2))</f>
        <v/>
      </c>
      <c r="H1796" s="7">
        <f>IF(C1796="","",IFERROR(INDEX(Sites!$B$2:$B$501,MATCH(C1796,Sites!$A$2:$A$501,0)),"?"))</f>
        <v/>
      </c>
      <c r="I1796" s="8">
        <f>IF(A1796="","",A1796-WEEKDAY(A1796,3))</f>
        <v/>
      </c>
      <c r="K1796" s="7">
        <f>IF(A1796="","",IF(OR(B1796="",C1796="",D1796="",E1796=""),"Missing info",IF(ISNA(MATCH(B1796,Staff!$A$2:$A$101,0)),"Unknown employee",IF(H1796="?","Unknown site",IF(G1796&lt;=0,"Check times",IF(G1796&gt;12,"Over 12h",IF(COUNTIFS($L$2:$L$2001,L1796)&gt;1,"Duplicate?",IF(A1796&gt;TODAY(),"Future date","OK"))))))))</f>
        <v/>
      </c>
      <c r="L1796">
        <f>IF(A1796="","",TEXT(A1796,"yyyy-mm-dd")&amp;"|"&amp;B1796&amp;"|"&amp;C1796)</f>
        <v/>
      </c>
    </row>
    <row r="1797">
      <c r="A1797" s="4" t="n"/>
      <c r="D1797" s="5" t="n"/>
      <c r="E1797" s="5" t="n"/>
      <c r="G1797" s="6">
        <f>IF(OR(A1797="",D1797="",E1797=""),"",ROUND(MOD(E1797-D1797,1)*24-N(F1797)/60,2))</f>
        <v/>
      </c>
      <c r="H1797" s="7">
        <f>IF(C1797="","",IFERROR(INDEX(Sites!$B$2:$B$501,MATCH(C1797,Sites!$A$2:$A$501,0)),"?"))</f>
        <v/>
      </c>
      <c r="I1797" s="8">
        <f>IF(A1797="","",A1797-WEEKDAY(A1797,3))</f>
        <v/>
      </c>
      <c r="K1797" s="7">
        <f>IF(A1797="","",IF(OR(B1797="",C1797="",D1797="",E1797=""),"Missing info",IF(ISNA(MATCH(B1797,Staff!$A$2:$A$101,0)),"Unknown employee",IF(H1797="?","Unknown site",IF(G1797&lt;=0,"Check times",IF(G1797&gt;12,"Over 12h",IF(COUNTIFS($L$2:$L$2001,L1797)&gt;1,"Duplicate?",IF(A1797&gt;TODAY(),"Future date","OK"))))))))</f>
        <v/>
      </c>
      <c r="L1797">
        <f>IF(A1797="","",TEXT(A1797,"yyyy-mm-dd")&amp;"|"&amp;B1797&amp;"|"&amp;C1797)</f>
        <v/>
      </c>
    </row>
    <row r="1798">
      <c r="A1798" s="4" t="n"/>
      <c r="D1798" s="5" t="n"/>
      <c r="E1798" s="5" t="n"/>
      <c r="G1798" s="6">
        <f>IF(OR(A1798="",D1798="",E1798=""),"",ROUND(MOD(E1798-D1798,1)*24-N(F1798)/60,2))</f>
        <v/>
      </c>
      <c r="H1798" s="7">
        <f>IF(C1798="","",IFERROR(INDEX(Sites!$B$2:$B$501,MATCH(C1798,Sites!$A$2:$A$501,0)),"?"))</f>
        <v/>
      </c>
      <c r="I1798" s="8">
        <f>IF(A1798="","",A1798-WEEKDAY(A1798,3))</f>
        <v/>
      </c>
      <c r="K1798" s="7">
        <f>IF(A1798="","",IF(OR(B1798="",C1798="",D1798="",E1798=""),"Missing info",IF(ISNA(MATCH(B1798,Staff!$A$2:$A$101,0)),"Unknown employee",IF(H1798="?","Unknown site",IF(G1798&lt;=0,"Check times",IF(G1798&gt;12,"Over 12h",IF(COUNTIFS($L$2:$L$2001,L1798)&gt;1,"Duplicate?",IF(A1798&gt;TODAY(),"Future date","OK"))))))))</f>
        <v/>
      </c>
      <c r="L1798">
        <f>IF(A1798="","",TEXT(A1798,"yyyy-mm-dd")&amp;"|"&amp;B1798&amp;"|"&amp;C1798)</f>
        <v/>
      </c>
    </row>
    <row r="1799">
      <c r="A1799" s="4" t="n"/>
      <c r="D1799" s="5" t="n"/>
      <c r="E1799" s="5" t="n"/>
      <c r="G1799" s="6">
        <f>IF(OR(A1799="",D1799="",E1799=""),"",ROUND(MOD(E1799-D1799,1)*24-N(F1799)/60,2))</f>
        <v/>
      </c>
      <c r="H1799" s="7">
        <f>IF(C1799="","",IFERROR(INDEX(Sites!$B$2:$B$501,MATCH(C1799,Sites!$A$2:$A$501,0)),"?"))</f>
        <v/>
      </c>
      <c r="I1799" s="8">
        <f>IF(A1799="","",A1799-WEEKDAY(A1799,3))</f>
        <v/>
      </c>
      <c r="K1799" s="7">
        <f>IF(A1799="","",IF(OR(B1799="",C1799="",D1799="",E1799=""),"Missing info",IF(ISNA(MATCH(B1799,Staff!$A$2:$A$101,0)),"Unknown employee",IF(H1799="?","Unknown site",IF(G1799&lt;=0,"Check times",IF(G1799&gt;12,"Over 12h",IF(COUNTIFS($L$2:$L$2001,L1799)&gt;1,"Duplicate?",IF(A1799&gt;TODAY(),"Future date","OK"))))))))</f>
        <v/>
      </c>
      <c r="L1799">
        <f>IF(A1799="","",TEXT(A1799,"yyyy-mm-dd")&amp;"|"&amp;B1799&amp;"|"&amp;C1799)</f>
        <v/>
      </c>
    </row>
    <row r="1800">
      <c r="A1800" s="4" t="n"/>
      <c r="D1800" s="5" t="n"/>
      <c r="E1800" s="5" t="n"/>
      <c r="G1800" s="6">
        <f>IF(OR(A1800="",D1800="",E1800=""),"",ROUND(MOD(E1800-D1800,1)*24-N(F1800)/60,2))</f>
        <v/>
      </c>
      <c r="H1800" s="7">
        <f>IF(C1800="","",IFERROR(INDEX(Sites!$B$2:$B$501,MATCH(C1800,Sites!$A$2:$A$501,0)),"?"))</f>
        <v/>
      </c>
      <c r="I1800" s="8">
        <f>IF(A1800="","",A1800-WEEKDAY(A1800,3))</f>
        <v/>
      </c>
      <c r="K1800" s="7">
        <f>IF(A1800="","",IF(OR(B1800="",C1800="",D1800="",E1800=""),"Missing info",IF(ISNA(MATCH(B1800,Staff!$A$2:$A$101,0)),"Unknown employee",IF(H1800="?","Unknown site",IF(G1800&lt;=0,"Check times",IF(G1800&gt;12,"Over 12h",IF(COUNTIFS($L$2:$L$2001,L1800)&gt;1,"Duplicate?",IF(A1800&gt;TODAY(),"Future date","OK"))))))))</f>
        <v/>
      </c>
      <c r="L1800">
        <f>IF(A1800="","",TEXT(A1800,"yyyy-mm-dd")&amp;"|"&amp;B1800&amp;"|"&amp;C1800)</f>
        <v/>
      </c>
    </row>
    <row r="1801">
      <c r="A1801" s="4" t="n"/>
      <c r="D1801" s="5" t="n"/>
      <c r="E1801" s="5" t="n"/>
      <c r="G1801" s="6">
        <f>IF(OR(A1801="",D1801="",E1801=""),"",ROUND(MOD(E1801-D1801,1)*24-N(F1801)/60,2))</f>
        <v/>
      </c>
      <c r="H1801" s="7">
        <f>IF(C1801="","",IFERROR(INDEX(Sites!$B$2:$B$501,MATCH(C1801,Sites!$A$2:$A$501,0)),"?"))</f>
        <v/>
      </c>
      <c r="I1801" s="8">
        <f>IF(A1801="","",A1801-WEEKDAY(A1801,3))</f>
        <v/>
      </c>
      <c r="K1801" s="7">
        <f>IF(A1801="","",IF(OR(B1801="",C1801="",D1801="",E1801=""),"Missing info",IF(ISNA(MATCH(B1801,Staff!$A$2:$A$101,0)),"Unknown employee",IF(H1801="?","Unknown site",IF(G1801&lt;=0,"Check times",IF(G1801&gt;12,"Over 12h",IF(COUNTIFS($L$2:$L$2001,L1801)&gt;1,"Duplicate?",IF(A1801&gt;TODAY(),"Future date","OK"))))))))</f>
        <v/>
      </c>
      <c r="L1801">
        <f>IF(A1801="","",TEXT(A1801,"yyyy-mm-dd")&amp;"|"&amp;B1801&amp;"|"&amp;C1801)</f>
        <v/>
      </c>
    </row>
    <row r="1802">
      <c r="A1802" s="4" t="n"/>
      <c r="D1802" s="5" t="n"/>
      <c r="E1802" s="5" t="n"/>
      <c r="G1802" s="6">
        <f>IF(OR(A1802="",D1802="",E1802=""),"",ROUND(MOD(E1802-D1802,1)*24-N(F1802)/60,2))</f>
        <v/>
      </c>
      <c r="H1802" s="7">
        <f>IF(C1802="","",IFERROR(INDEX(Sites!$B$2:$B$501,MATCH(C1802,Sites!$A$2:$A$501,0)),"?"))</f>
        <v/>
      </c>
      <c r="I1802" s="8">
        <f>IF(A1802="","",A1802-WEEKDAY(A1802,3))</f>
        <v/>
      </c>
      <c r="K1802" s="7">
        <f>IF(A1802="","",IF(OR(B1802="",C1802="",D1802="",E1802=""),"Missing info",IF(ISNA(MATCH(B1802,Staff!$A$2:$A$101,0)),"Unknown employee",IF(H1802="?","Unknown site",IF(G1802&lt;=0,"Check times",IF(G1802&gt;12,"Over 12h",IF(COUNTIFS($L$2:$L$2001,L1802)&gt;1,"Duplicate?",IF(A1802&gt;TODAY(),"Future date","OK"))))))))</f>
        <v/>
      </c>
      <c r="L1802">
        <f>IF(A1802="","",TEXT(A1802,"yyyy-mm-dd")&amp;"|"&amp;B1802&amp;"|"&amp;C1802)</f>
        <v/>
      </c>
    </row>
    <row r="1803">
      <c r="A1803" s="4" t="n"/>
      <c r="D1803" s="5" t="n"/>
      <c r="E1803" s="5" t="n"/>
      <c r="G1803" s="6">
        <f>IF(OR(A1803="",D1803="",E1803=""),"",ROUND(MOD(E1803-D1803,1)*24-N(F1803)/60,2))</f>
        <v/>
      </c>
      <c r="H1803" s="7">
        <f>IF(C1803="","",IFERROR(INDEX(Sites!$B$2:$B$501,MATCH(C1803,Sites!$A$2:$A$501,0)),"?"))</f>
        <v/>
      </c>
      <c r="I1803" s="8">
        <f>IF(A1803="","",A1803-WEEKDAY(A1803,3))</f>
        <v/>
      </c>
      <c r="K1803" s="7">
        <f>IF(A1803="","",IF(OR(B1803="",C1803="",D1803="",E1803=""),"Missing info",IF(ISNA(MATCH(B1803,Staff!$A$2:$A$101,0)),"Unknown employee",IF(H1803="?","Unknown site",IF(G1803&lt;=0,"Check times",IF(G1803&gt;12,"Over 12h",IF(COUNTIFS($L$2:$L$2001,L1803)&gt;1,"Duplicate?",IF(A1803&gt;TODAY(),"Future date","OK"))))))))</f>
        <v/>
      </c>
      <c r="L1803">
        <f>IF(A1803="","",TEXT(A1803,"yyyy-mm-dd")&amp;"|"&amp;B1803&amp;"|"&amp;C1803)</f>
        <v/>
      </c>
    </row>
    <row r="1804">
      <c r="A1804" s="4" t="n"/>
      <c r="D1804" s="5" t="n"/>
      <c r="E1804" s="5" t="n"/>
      <c r="G1804" s="6">
        <f>IF(OR(A1804="",D1804="",E1804=""),"",ROUND(MOD(E1804-D1804,1)*24-N(F1804)/60,2))</f>
        <v/>
      </c>
      <c r="H1804" s="7">
        <f>IF(C1804="","",IFERROR(INDEX(Sites!$B$2:$B$501,MATCH(C1804,Sites!$A$2:$A$501,0)),"?"))</f>
        <v/>
      </c>
      <c r="I1804" s="8">
        <f>IF(A1804="","",A1804-WEEKDAY(A1804,3))</f>
        <v/>
      </c>
      <c r="K1804" s="7">
        <f>IF(A1804="","",IF(OR(B1804="",C1804="",D1804="",E1804=""),"Missing info",IF(ISNA(MATCH(B1804,Staff!$A$2:$A$101,0)),"Unknown employee",IF(H1804="?","Unknown site",IF(G1804&lt;=0,"Check times",IF(G1804&gt;12,"Over 12h",IF(COUNTIFS($L$2:$L$2001,L1804)&gt;1,"Duplicate?",IF(A1804&gt;TODAY(),"Future date","OK"))))))))</f>
        <v/>
      </c>
      <c r="L1804">
        <f>IF(A1804="","",TEXT(A1804,"yyyy-mm-dd")&amp;"|"&amp;B1804&amp;"|"&amp;C1804)</f>
        <v/>
      </c>
    </row>
    <row r="1805">
      <c r="A1805" s="4" t="n"/>
      <c r="D1805" s="5" t="n"/>
      <c r="E1805" s="5" t="n"/>
      <c r="G1805" s="6">
        <f>IF(OR(A1805="",D1805="",E1805=""),"",ROUND(MOD(E1805-D1805,1)*24-N(F1805)/60,2))</f>
        <v/>
      </c>
      <c r="H1805" s="7">
        <f>IF(C1805="","",IFERROR(INDEX(Sites!$B$2:$B$501,MATCH(C1805,Sites!$A$2:$A$501,0)),"?"))</f>
        <v/>
      </c>
      <c r="I1805" s="8">
        <f>IF(A1805="","",A1805-WEEKDAY(A1805,3))</f>
        <v/>
      </c>
      <c r="K1805" s="7">
        <f>IF(A1805="","",IF(OR(B1805="",C1805="",D1805="",E1805=""),"Missing info",IF(ISNA(MATCH(B1805,Staff!$A$2:$A$101,0)),"Unknown employee",IF(H1805="?","Unknown site",IF(G1805&lt;=0,"Check times",IF(G1805&gt;12,"Over 12h",IF(COUNTIFS($L$2:$L$2001,L1805)&gt;1,"Duplicate?",IF(A1805&gt;TODAY(),"Future date","OK"))))))))</f>
        <v/>
      </c>
      <c r="L1805">
        <f>IF(A1805="","",TEXT(A1805,"yyyy-mm-dd")&amp;"|"&amp;B1805&amp;"|"&amp;C1805)</f>
        <v/>
      </c>
    </row>
    <row r="1806">
      <c r="A1806" s="4" t="n"/>
      <c r="D1806" s="5" t="n"/>
      <c r="E1806" s="5" t="n"/>
      <c r="G1806" s="6">
        <f>IF(OR(A1806="",D1806="",E1806=""),"",ROUND(MOD(E1806-D1806,1)*24-N(F1806)/60,2))</f>
        <v/>
      </c>
      <c r="H1806" s="7">
        <f>IF(C1806="","",IFERROR(INDEX(Sites!$B$2:$B$501,MATCH(C1806,Sites!$A$2:$A$501,0)),"?"))</f>
        <v/>
      </c>
      <c r="I1806" s="8">
        <f>IF(A1806="","",A1806-WEEKDAY(A1806,3))</f>
        <v/>
      </c>
      <c r="K1806" s="7">
        <f>IF(A1806="","",IF(OR(B1806="",C1806="",D1806="",E1806=""),"Missing info",IF(ISNA(MATCH(B1806,Staff!$A$2:$A$101,0)),"Unknown employee",IF(H1806="?","Unknown site",IF(G1806&lt;=0,"Check times",IF(G1806&gt;12,"Over 12h",IF(COUNTIFS($L$2:$L$2001,L1806)&gt;1,"Duplicate?",IF(A1806&gt;TODAY(),"Future date","OK"))))))))</f>
        <v/>
      </c>
      <c r="L1806">
        <f>IF(A1806="","",TEXT(A1806,"yyyy-mm-dd")&amp;"|"&amp;B1806&amp;"|"&amp;C1806)</f>
        <v/>
      </c>
    </row>
    <row r="1807">
      <c r="A1807" s="4" t="n"/>
      <c r="D1807" s="5" t="n"/>
      <c r="E1807" s="5" t="n"/>
      <c r="G1807" s="6">
        <f>IF(OR(A1807="",D1807="",E1807=""),"",ROUND(MOD(E1807-D1807,1)*24-N(F1807)/60,2))</f>
        <v/>
      </c>
      <c r="H1807" s="7">
        <f>IF(C1807="","",IFERROR(INDEX(Sites!$B$2:$B$501,MATCH(C1807,Sites!$A$2:$A$501,0)),"?"))</f>
        <v/>
      </c>
      <c r="I1807" s="8">
        <f>IF(A1807="","",A1807-WEEKDAY(A1807,3))</f>
        <v/>
      </c>
      <c r="K1807" s="7">
        <f>IF(A1807="","",IF(OR(B1807="",C1807="",D1807="",E1807=""),"Missing info",IF(ISNA(MATCH(B1807,Staff!$A$2:$A$101,0)),"Unknown employee",IF(H1807="?","Unknown site",IF(G1807&lt;=0,"Check times",IF(G1807&gt;12,"Over 12h",IF(COUNTIFS($L$2:$L$2001,L1807)&gt;1,"Duplicate?",IF(A1807&gt;TODAY(),"Future date","OK"))))))))</f>
        <v/>
      </c>
      <c r="L1807">
        <f>IF(A1807="","",TEXT(A1807,"yyyy-mm-dd")&amp;"|"&amp;B1807&amp;"|"&amp;C1807)</f>
        <v/>
      </c>
    </row>
    <row r="1808">
      <c r="A1808" s="4" t="n"/>
      <c r="D1808" s="5" t="n"/>
      <c r="E1808" s="5" t="n"/>
      <c r="G1808" s="6">
        <f>IF(OR(A1808="",D1808="",E1808=""),"",ROUND(MOD(E1808-D1808,1)*24-N(F1808)/60,2))</f>
        <v/>
      </c>
      <c r="H1808" s="7">
        <f>IF(C1808="","",IFERROR(INDEX(Sites!$B$2:$B$501,MATCH(C1808,Sites!$A$2:$A$501,0)),"?"))</f>
        <v/>
      </c>
      <c r="I1808" s="8">
        <f>IF(A1808="","",A1808-WEEKDAY(A1808,3))</f>
        <v/>
      </c>
      <c r="K1808" s="7">
        <f>IF(A1808="","",IF(OR(B1808="",C1808="",D1808="",E1808=""),"Missing info",IF(ISNA(MATCH(B1808,Staff!$A$2:$A$101,0)),"Unknown employee",IF(H1808="?","Unknown site",IF(G1808&lt;=0,"Check times",IF(G1808&gt;12,"Over 12h",IF(COUNTIFS($L$2:$L$2001,L1808)&gt;1,"Duplicate?",IF(A1808&gt;TODAY(),"Future date","OK"))))))))</f>
        <v/>
      </c>
      <c r="L1808">
        <f>IF(A1808="","",TEXT(A1808,"yyyy-mm-dd")&amp;"|"&amp;B1808&amp;"|"&amp;C1808)</f>
        <v/>
      </c>
    </row>
    <row r="1809">
      <c r="A1809" s="4" t="n"/>
      <c r="D1809" s="5" t="n"/>
      <c r="E1809" s="5" t="n"/>
      <c r="G1809" s="6">
        <f>IF(OR(A1809="",D1809="",E1809=""),"",ROUND(MOD(E1809-D1809,1)*24-N(F1809)/60,2))</f>
        <v/>
      </c>
      <c r="H1809" s="7">
        <f>IF(C1809="","",IFERROR(INDEX(Sites!$B$2:$B$501,MATCH(C1809,Sites!$A$2:$A$501,0)),"?"))</f>
        <v/>
      </c>
      <c r="I1809" s="8">
        <f>IF(A1809="","",A1809-WEEKDAY(A1809,3))</f>
        <v/>
      </c>
      <c r="K1809" s="7">
        <f>IF(A1809="","",IF(OR(B1809="",C1809="",D1809="",E1809=""),"Missing info",IF(ISNA(MATCH(B1809,Staff!$A$2:$A$101,0)),"Unknown employee",IF(H1809="?","Unknown site",IF(G1809&lt;=0,"Check times",IF(G1809&gt;12,"Over 12h",IF(COUNTIFS($L$2:$L$2001,L1809)&gt;1,"Duplicate?",IF(A1809&gt;TODAY(),"Future date","OK"))))))))</f>
        <v/>
      </c>
      <c r="L1809">
        <f>IF(A1809="","",TEXT(A1809,"yyyy-mm-dd")&amp;"|"&amp;B1809&amp;"|"&amp;C1809)</f>
        <v/>
      </c>
    </row>
    <row r="1810">
      <c r="A1810" s="4" t="n"/>
      <c r="D1810" s="5" t="n"/>
      <c r="E1810" s="5" t="n"/>
      <c r="G1810" s="6">
        <f>IF(OR(A1810="",D1810="",E1810=""),"",ROUND(MOD(E1810-D1810,1)*24-N(F1810)/60,2))</f>
        <v/>
      </c>
      <c r="H1810" s="7">
        <f>IF(C1810="","",IFERROR(INDEX(Sites!$B$2:$B$501,MATCH(C1810,Sites!$A$2:$A$501,0)),"?"))</f>
        <v/>
      </c>
      <c r="I1810" s="8">
        <f>IF(A1810="","",A1810-WEEKDAY(A1810,3))</f>
        <v/>
      </c>
      <c r="K1810" s="7">
        <f>IF(A1810="","",IF(OR(B1810="",C1810="",D1810="",E1810=""),"Missing info",IF(ISNA(MATCH(B1810,Staff!$A$2:$A$101,0)),"Unknown employee",IF(H1810="?","Unknown site",IF(G1810&lt;=0,"Check times",IF(G1810&gt;12,"Over 12h",IF(COUNTIFS($L$2:$L$2001,L1810)&gt;1,"Duplicate?",IF(A1810&gt;TODAY(),"Future date","OK"))))))))</f>
        <v/>
      </c>
      <c r="L1810">
        <f>IF(A1810="","",TEXT(A1810,"yyyy-mm-dd")&amp;"|"&amp;B1810&amp;"|"&amp;C1810)</f>
        <v/>
      </c>
    </row>
    <row r="1811">
      <c r="A1811" s="4" t="n"/>
      <c r="D1811" s="5" t="n"/>
      <c r="E1811" s="5" t="n"/>
      <c r="G1811" s="6">
        <f>IF(OR(A1811="",D1811="",E1811=""),"",ROUND(MOD(E1811-D1811,1)*24-N(F1811)/60,2))</f>
        <v/>
      </c>
      <c r="H1811" s="7">
        <f>IF(C1811="","",IFERROR(INDEX(Sites!$B$2:$B$501,MATCH(C1811,Sites!$A$2:$A$501,0)),"?"))</f>
        <v/>
      </c>
      <c r="I1811" s="8">
        <f>IF(A1811="","",A1811-WEEKDAY(A1811,3))</f>
        <v/>
      </c>
      <c r="K1811" s="7">
        <f>IF(A1811="","",IF(OR(B1811="",C1811="",D1811="",E1811=""),"Missing info",IF(ISNA(MATCH(B1811,Staff!$A$2:$A$101,0)),"Unknown employee",IF(H1811="?","Unknown site",IF(G1811&lt;=0,"Check times",IF(G1811&gt;12,"Over 12h",IF(COUNTIFS($L$2:$L$2001,L1811)&gt;1,"Duplicate?",IF(A1811&gt;TODAY(),"Future date","OK"))))))))</f>
        <v/>
      </c>
      <c r="L1811">
        <f>IF(A1811="","",TEXT(A1811,"yyyy-mm-dd")&amp;"|"&amp;B1811&amp;"|"&amp;C1811)</f>
        <v/>
      </c>
    </row>
    <row r="1812">
      <c r="A1812" s="4" t="n"/>
      <c r="D1812" s="5" t="n"/>
      <c r="E1812" s="5" t="n"/>
      <c r="G1812" s="6">
        <f>IF(OR(A1812="",D1812="",E1812=""),"",ROUND(MOD(E1812-D1812,1)*24-N(F1812)/60,2))</f>
        <v/>
      </c>
      <c r="H1812" s="7">
        <f>IF(C1812="","",IFERROR(INDEX(Sites!$B$2:$B$501,MATCH(C1812,Sites!$A$2:$A$501,0)),"?"))</f>
        <v/>
      </c>
      <c r="I1812" s="8">
        <f>IF(A1812="","",A1812-WEEKDAY(A1812,3))</f>
        <v/>
      </c>
      <c r="K1812" s="7">
        <f>IF(A1812="","",IF(OR(B1812="",C1812="",D1812="",E1812=""),"Missing info",IF(ISNA(MATCH(B1812,Staff!$A$2:$A$101,0)),"Unknown employee",IF(H1812="?","Unknown site",IF(G1812&lt;=0,"Check times",IF(G1812&gt;12,"Over 12h",IF(COUNTIFS($L$2:$L$2001,L1812)&gt;1,"Duplicate?",IF(A1812&gt;TODAY(),"Future date","OK"))))))))</f>
        <v/>
      </c>
      <c r="L1812">
        <f>IF(A1812="","",TEXT(A1812,"yyyy-mm-dd")&amp;"|"&amp;B1812&amp;"|"&amp;C1812)</f>
        <v/>
      </c>
    </row>
    <row r="1813">
      <c r="A1813" s="4" t="n"/>
      <c r="D1813" s="5" t="n"/>
      <c r="E1813" s="5" t="n"/>
      <c r="G1813" s="6">
        <f>IF(OR(A1813="",D1813="",E1813=""),"",ROUND(MOD(E1813-D1813,1)*24-N(F1813)/60,2))</f>
        <v/>
      </c>
      <c r="H1813" s="7">
        <f>IF(C1813="","",IFERROR(INDEX(Sites!$B$2:$B$501,MATCH(C1813,Sites!$A$2:$A$501,0)),"?"))</f>
        <v/>
      </c>
      <c r="I1813" s="8">
        <f>IF(A1813="","",A1813-WEEKDAY(A1813,3))</f>
        <v/>
      </c>
      <c r="K1813" s="7">
        <f>IF(A1813="","",IF(OR(B1813="",C1813="",D1813="",E1813=""),"Missing info",IF(ISNA(MATCH(B1813,Staff!$A$2:$A$101,0)),"Unknown employee",IF(H1813="?","Unknown site",IF(G1813&lt;=0,"Check times",IF(G1813&gt;12,"Over 12h",IF(COUNTIFS($L$2:$L$2001,L1813)&gt;1,"Duplicate?",IF(A1813&gt;TODAY(),"Future date","OK"))))))))</f>
        <v/>
      </c>
      <c r="L1813">
        <f>IF(A1813="","",TEXT(A1813,"yyyy-mm-dd")&amp;"|"&amp;B1813&amp;"|"&amp;C1813)</f>
        <v/>
      </c>
    </row>
    <row r="1814">
      <c r="A1814" s="4" t="n"/>
      <c r="D1814" s="5" t="n"/>
      <c r="E1814" s="5" t="n"/>
      <c r="G1814" s="6">
        <f>IF(OR(A1814="",D1814="",E1814=""),"",ROUND(MOD(E1814-D1814,1)*24-N(F1814)/60,2))</f>
        <v/>
      </c>
      <c r="H1814" s="7">
        <f>IF(C1814="","",IFERROR(INDEX(Sites!$B$2:$B$501,MATCH(C1814,Sites!$A$2:$A$501,0)),"?"))</f>
        <v/>
      </c>
      <c r="I1814" s="8">
        <f>IF(A1814="","",A1814-WEEKDAY(A1814,3))</f>
        <v/>
      </c>
      <c r="K1814" s="7">
        <f>IF(A1814="","",IF(OR(B1814="",C1814="",D1814="",E1814=""),"Missing info",IF(ISNA(MATCH(B1814,Staff!$A$2:$A$101,0)),"Unknown employee",IF(H1814="?","Unknown site",IF(G1814&lt;=0,"Check times",IF(G1814&gt;12,"Over 12h",IF(COUNTIFS($L$2:$L$2001,L1814)&gt;1,"Duplicate?",IF(A1814&gt;TODAY(),"Future date","OK"))))))))</f>
        <v/>
      </c>
      <c r="L1814">
        <f>IF(A1814="","",TEXT(A1814,"yyyy-mm-dd")&amp;"|"&amp;B1814&amp;"|"&amp;C1814)</f>
        <v/>
      </c>
    </row>
    <row r="1815">
      <c r="A1815" s="4" t="n"/>
      <c r="D1815" s="5" t="n"/>
      <c r="E1815" s="5" t="n"/>
      <c r="G1815" s="6">
        <f>IF(OR(A1815="",D1815="",E1815=""),"",ROUND(MOD(E1815-D1815,1)*24-N(F1815)/60,2))</f>
        <v/>
      </c>
      <c r="H1815" s="7">
        <f>IF(C1815="","",IFERROR(INDEX(Sites!$B$2:$B$501,MATCH(C1815,Sites!$A$2:$A$501,0)),"?"))</f>
        <v/>
      </c>
      <c r="I1815" s="8">
        <f>IF(A1815="","",A1815-WEEKDAY(A1815,3))</f>
        <v/>
      </c>
      <c r="K1815" s="7">
        <f>IF(A1815="","",IF(OR(B1815="",C1815="",D1815="",E1815=""),"Missing info",IF(ISNA(MATCH(B1815,Staff!$A$2:$A$101,0)),"Unknown employee",IF(H1815="?","Unknown site",IF(G1815&lt;=0,"Check times",IF(G1815&gt;12,"Over 12h",IF(COUNTIFS($L$2:$L$2001,L1815)&gt;1,"Duplicate?",IF(A1815&gt;TODAY(),"Future date","OK"))))))))</f>
        <v/>
      </c>
      <c r="L1815">
        <f>IF(A1815="","",TEXT(A1815,"yyyy-mm-dd")&amp;"|"&amp;B1815&amp;"|"&amp;C1815)</f>
        <v/>
      </c>
    </row>
    <row r="1816">
      <c r="A1816" s="4" t="n"/>
      <c r="D1816" s="5" t="n"/>
      <c r="E1816" s="5" t="n"/>
      <c r="G1816" s="6">
        <f>IF(OR(A1816="",D1816="",E1816=""),"",ROUND(MOD(E1816-D1816,1)*24-N(F1816)/60,2))</f>
        <v/>
      </c>
      <c r="H1816" s="7">
        <f>IF(C1816="","",IFERROR(INDEX(Sites!$B$2:$B$501,MATCH(C1816,Sites!$A$2:$A$501,0)),"?"))</f>
        <v/>
      </c>
      <c r="I1816" s="8">
        <f>IF(A1816="","",A1816-WEEKDAY(A1816,3))</f>
        <v/>
      </c>
      <c r="K1816" s="7">
        <f>IF(A1816="","",IF(OR(B1816="",C1816="",D1816="",E1816=""),"Missing info",IF(ISNA(MATCH(B1816,Staff!$A$2:$A$101,0)),"Unknown employee",IF(H1816="?","Unknown site",IF(G1816&lt;=0,"Check times",IF(G1816&gt;12,"Over 12h",IF(COUNTIFS($L$2:$L$2001,L1816)&gt;1,"Duplicate?",IF(A1816&gt;TODAY(),"Future date","OK"))))))))</f>
        <v/>
      </c>
      <c r="L1816">
        <f>IF(A1816="","",TEXT(A1816,"yyyy-mm-dd")&amp;"|"&amp;B1816&amp;"|"&amp;C1816)</f>
        <v/>
      </c>
    </row>
    <row r="1817">
      <c r="A1817" s="4" t="n"/>
      <c r="D1817" s="5" t="n"/>
      <c r="E1817" s="5" t="n"/>
      <c r="G1817" s="6">
        <f>IF(OR(A1817="",D1817="",E1817=""),"",ROUND(MOD(E1817-D1817,1)*24-N(F1817)/60,2))</f>
        <v/>
      </c>
      <c r="H1817" s="7">
        <f>IF(C1817="","",IFERROR(INDEX(Sites!$B$2:$B$501,MATCH(C1817,Sites!$A$2:$A$501,0)),"?"))</f>
        <v/>
      </c>
      <c r="I1817" s="8">
        <f>IF(A1817="","",A1817-WEEKDAY(A1817,3))</f>
        <v/>
      </c>
      <c r="K1817" s="7">
        <f>IF(A1817="","",IF(OR(B1817="",C1817="",D1817="",E1817=""),"Missing info",IF(ISNA(MATCH(B1817,Staff!$A$2:$A$101,0)),"Unknown employee",IF(H1817="?","Unknown site",IF(G1817&lt;=0,"Check times",IF(G1817&gt;12,"Over 12h",IF(COUNTIFS($L$2:$L$2001,L1817)&gt;1,"Duplicate?",IF(A1817&gt;TODAY(),"Future date","OK"))))))))</f>
        <v/>
      </c>
      <c r="L1817">
        <f>IF(A1817="","",TEXT(A1817,"yyyy-mm-dd")&amp;"|"&amp;B1817&amp;"|"&amp;C1817)</f>
        <v/>
      </c>
    </row>
    <row r="1818">
      <c r="A1818" s="4" t="n"/>
      <c r="D1818" s="5" t="n"/>
      <c r="E1818" s="5" t="n"/>
      <c r="G1818" s="6">
        <f>IF(OR(A1818="",D1818="",E1818=""),"",ROUND(MOD(E1818-D1818,1)*24-N(F1818)/60,2))</f>
        <v/>
      </c>
      <c r="H1818" s="7">
        <f>IF(C1818="","",IFERROR(INDEX(Sites!$B$2:$B$501,MATCH(C1818,Sites!$A$2:$A$501,0)),"?"))</f>
        <v/>
      </c>
      <c r="I1818" s="8">
        <f>IF(A1818="","",A1818-WEEKDAY(A1818,3))</f>
        <v/>
      </c>
      <c r="K1818" s="7">
        <f>IF(A1818="","",IF(OR(B1818="",C1818="",D1818="",E1818=""),"Missing info",IF(ISNA(MATCH(B1818,Staff!$A$2:$A$101,0)),"Unknown employee",IF(H1818="?","Unknown site",IF(G1818&lt;=0,"Check times",IF(G1818&gt;12,"Over 12h",IF(COUNTIFS($L$2:$L$2001,L1818)&gt;1,"Duplicate?",IF(A1818&gt;TODAY(),"Future date","OK"))))))))</f>
        <v/>
      </c>
      <c r="L1818">
        <f>IF(A1818="","",TEXT(A1818,"yyyy-mm-dd")&amp;"|"&amp;B1818&amp;"|"&amp;C1818)</f>
        <v/>
      </c>
    </row>
    <row r="1819">
      <c r="A1819" s="4" t="n"/>
      <c r="D1819" s="5" t="n"/>
      <c r="E1819" s="5" t="n"/>
      <c r="G1819" s="6">
        <f>IF(OR(A1819="",D1819="",E1819=""),"",ROUND(MOD(E1819-D1819,1)*24-N(F1819)/60,2))</f>
        <v/>
      </c>
      <c r="H1819" s="7">
        <f>IF(C1819="","",IFERROR(INDEX(Sites!$B$2:$B$501,MATCH(C1819,Sites!$A$2:$A$501,0)),"?"))</f>
        <v/>
      </c>
      <c r="I1819" s="8">
        <f>IF(A1819="","",A1819-WEEKDAY(A1819,3))</f>
        <v/>
      </c>
      <c r="K1819" s="7">
        <f>IF(A1819="","",IF(OR(B1819="",C1819="",D1819="",E1819=""),"Missing info",IF(ISNA(MATCH(B1819,Staff!$A$2:$A$101,0)),"Unknown employee",IF(H1819="?","Unknown site",IF(G1819&lt;=0,"Check times",IF(G1819&gt;12,"Over 12h",IF(COUNTIFS($L$2:$L$2001,L1819)&gt;1,"Duplicate?",IF(A1819&gt;TODAY(),"Future date","OK"))))))))</f>
        <v/>
      </c>
      <c r="L1819">
        <f>IF(A1819="","",TEXT(A1819,"yyyy-mm-dd")&amp;"|"&amp;B1819&amp;"|"&amp;C1819)</f>
        <v/>
      </c>
    </row>
    <row r="1820">
      <c r="A1820" s="4" t="n"/>
      <c r="D1820" s="5" t="n"/>
      <c r="E1820" s="5" t="n"/>
      <c r="G1820" s="6">
        <f>IF(OR(A1820="",D1820="",E1820=""),"",ROUND(MOD(E1820-D1820,1)*24-N(F1820)/60,2))</f>
        <v/>
      </c>
      <c r="H1820" s="7">
        <f>IF(C1820="","",IFERROR(INDEX(Sites!$B$2:$B$501,MATCH(C1820,Sites!$A$2:$A$501,0)),"?"))</f>
        <v/>
      </c>
      <c r="I1820" s="8">
        <f>IF(A1820="","",A1820-WEEKDAY(A1820,3))</f>
        <v/>
      </c>
      <c r="K1820" s="7">
        <f>IF(A1820="","",IF(OR(B1820="",C1820="",D1820="",E1820=""),"Missing info",IF(ISNA(MATCH(B1820,Staff!$A$2:$A$101,0)),"Unknown employee",IF(H1820="?","Unknown site",IF(G1820&lt;=0,"Check times",IF(G1820&gt;12,"Over 12h",IF(COUNTIFS($L$2:$L$2001,L1820)&gt;1,"Duplicate?",IF(A1820&gt;TODAY(),"Future date","OK"))))))))</f>
        <v/>
      </c>
      <c r="L1820">
        <f>IF(A1820="","",TEXT(A1820,"yyyy-mm-dd")&amp;"|"&amp;B1820&amp;"|"&amp;C1820)</f>
        <v/>
      </c>
    </row>
    <row r="1821">
      <c r="A1821" s="4" t="n"/>
      <c r="D1821" s="5" t="n"/>
      <c r="E1821" s="5" t="n"/>
      <c r="G1821" s="6">
        <f>IF(OR(A1821="",D1821="",E1821=""),"",ROUND(MOD(E1821-D1821,1)*24-N(F1821)/60,2))</f>
        <v/>
      </c>
      <c r="H1821" s="7">
        <f>IF(C1821="","",IFERROR(INDEX(Sites!$B$2:$B$501,MATCH(C1821,Sites!$A$2:$A$501,0)),"?"))</f>
        <v/>
      </c>
      <c r="I1821" s="8">
        <f>IF(A1821="","",A1821-WEEKDAY(A1821,3))</f>
        <v/>
      </c>
      <c r="K1821" s="7">
        <f>IF(A1821="","",IF(OR(B1821="",C1821="",D1821="",E1821=""),"Missing info",IF(ISNA(MATCH(B1821,Staff!$A$2:$A$101,0)),"Unknown employee",IF(H1821="?","Unknown site",IF(G1821&lt;=0,"Check times",IF(G1821&gt;12,"Over 12h",IF(COUNTIFS($L$2:$L$2001,L1821)&gt;1,"Duplicate?",IF(A1821&gt;TODAY(),"Future date","OK"))))))))</f>
        <v/>
      </c>
      <c r="L1821">
        <f>IF(A1821="","",TEXT(A1821,"yyyy-mm-dd")&amp;"|"&amp;B1821&amp;"|"&amp;C1821)</f>
        <v/>
      </c>
    </row>
    <row r="1822">
      <c r="A1822" s="4" t="n"/>
      <c r="D1822" s="5" t="n"/>
      <c r="E1822" s="5" t="n"/>
      <c r="G1822" s="6">
        <f>IF(OR(A1822="",D1822="",E1822=""),"",ROUND(MOD(E1822-D1822,1)*24-N(F1822)/60,2))</f>
        <v/>
      </c>
      <c r="H1822" s="7">
        <f>IF(C1822="","",IFERROR(INDEX(Sites!$B$2:$B$501,MATCH(C1822,Sites!$A$2:$A$501,0)),"?"))</f>
        <v/>
      </c>
      <c r="I1822" s="8">
        <f>IF(A1822="","",A1822-WEEKDAY(A1822,3))</f>
        <v/>
      </c>
      <c r="K1822" s="7">
        <f>IF(A1822="","",IF(OR(B1822="",C1822="",D1822="",E1822=""),"Missing info",IF(ISNA(MATCH(B1822,Staff!$A$2:$A$101,0)),"Unknown employee",IF(H1822="?","Unknown site",IF(G1822&lt;=0,"Check times",IF(G1822&gt;12,"Over 12h",IF(COUNTIFS($L$2:$L$2001,L1822)&gt;1,"Duplicate?",IF(A1822&gt;TODAY(),"Future date","OK"))))))))</f>
        <v/>
      </c>
      <c r="L1822">
        <f>IF(A1822="","",TEXT(A1822,"yyyy-mm-dd")&amp;"|"&amp;B1822&amp;"|"&amp;C1822)</f>
        <v/>
      </c>
    </row>
    <row r="1823">
      <c r="A1823" s="4" t="n"/>
      <c r="D1823" s="5" t="n"/>
      <c r="E1823" s="5" t="n"/>
      <c r="G1823" s="6">
        <f>IF(OR(A1823="",D1823="",E1823=""),"",ROUND(MOD(E1823-D1823,1)*24-N(F1823)/60,2))</f>
        <v/>
      </c>
      <c r="H1823" s="7">
        <f>IF(C1823="","",IFERROR(INDEX(Sites!$B$2:$B$501,MATCH(C1823,Sites!$A$2:$A$501,0)),"?"))</f>
        <v/>
      </c>
      <c r="I1823" s="8">
        <f>IF(A1823="","",A1823-WEEKDAY(A1823,3))</f>
        <v/>
      </c>
      <c r="K1823" s="7">
        <f>IF(A1823="","",IF(OR(B1823="",C1823="",D1823="",E1823=""),"Missing info",IF(ISNA(MATCH(B1823,Staff!$A$2:$A$101,0)),"Unknown employee",IF(H1823="?","Unknown site",IF(G1823&lt;=0,"Check times",IF(G1823&gt;12,"Over 12h",IF(COUNTIFS($L$2:$L$2001,L1823)&gt;1,"Duplicate?",IF(A1823&gt;TODAY(),"Future date","OK"))))))))</f>
        <v/>
      </c>
      <c r="L1823">
        <f>IF(A1823="","",TEXT(A1823,"yyyy-mm-dd")&amp;"|"&amp;B1823&amp;"|"&amp;C1823)</f>
        <v/>
      </c>
    </row>
    <row r="1824">
      <c r="A1824" s="4" t="n"/>
      <c r="D1824" s="5" t="n"/>
      <c r="E1824" s="5" t="n"/>
      <c r="G1824" s="6">
        <f>IF(OR(A1824="",D1824="",E1824=""),"",ROUND(MOD(E1824-D1824,1)*24-N(F1824)/60,2))</f>
        <v/>
      </c>
      <c r="H1824" s="7">
        <f>IF(C1824="","",IFERROR(INDEX(Sites!$B$2:$B$501,MATCH(C1824,Sites!$A$2:$A$501,0)),"?"))</f>
        <v/>
      </c>
      <c r="I1824" s="8">
        <f>IF(A1824="","",A1824-WEEKDAY(A1824,3))</f>
        <v/>
      </c>
      <c r="K1824" s="7">
        <f>IF(A1824="","",IF(OR(B1824="",C1824="",D1824="",E1824=""),"Missing info",IF(ISNA(MATCH(B1824,Staff!$A$2:$A$101,0)),"Unknown employee",IF(H1824="?","Unknown site",IF(G1824&lt;=0,"Check times",IF(G1824&gt;12,"Over 12h",IF(COUNTIFS($L$2:$L$2001,L1824)&gt;1,"Duplicate?",IF(A1824&gt;TODAY(),"Future date","OK"))))))))</f>
        <v/>
      </c>
      <c r="L1824">
        <f>IF(A1824="","",TEXT(A1824,"yyyy-mm-dd")&amp;"|"&amp;B1824&amp;"|"&amp;C1824)</f>
        <v/>
      </c>
    </row>
    <row r="1825">
      <c r="A1825" s="4" t="n"/>
      <c r="D1825" s="5" t="n"/>
      <c r="E1825" s="5" t="n"/>
      <c r="G1825" s="6">
        <f>IF(OR(A1825="",D1825="",E1825=""),"",ROUND(MOD(E1825-D1825,1)*24-N(F1825)/60,2))</f>
        <v/>
      </c>
      <c r="H1825" s="7">
        <f>IF(C1825="","",IFERROR(INDEX(Sites!$B$2:$B$501,MATCH(C1825,Sites!$A$2:$A$501,0)),"?"))</f>
        <v/>
      </c>
      <c r="I1825" s="8">
        <f>IF(A1825="","",A1825-WEEKDAY(A1825,3))</f>
        <v/>
      </c>
      <c r="K1825" s="7">
        <f>IF(A1825="","",IF(OR(B1825="",C1825="",D1825="",E1825=""),"Missing info",IF(ISNA(MATCH(B1825,Staff!$A$2:$A$101,0)),"Unknown employee",IF(H1825="?","Unknown site",IF(G1825&lt;=0,"Check times",IF(G1825&gt;12,"Over 12h",IF(COUNTIFS($L$2:$L$2001,L1825)&gt;1,"Duplicate?",IF(A1825&gt;TODAY(),"Future date","OK"))))))))</f>
        <v/>
      </c>
      <c r="L1825">
        <f>IF(A1825="","",TEXT(A1825,"yyyy-mm-dd")&amp;"|"&amp;B1825&amp;"|"&amp;C1825)</f>
        <v/>
      </c>
    </row>
    <row r="1826">
      <c r="A1826" s="4" t="n"/>
      <c r="D1826" s="5" t="n"/>
      <c r="E1826" s="5" t="n"/>
      <c r="G1826" s="6">
        <f>IF(OR(A1826="",D1826="",E1826=""),"",ROUND(MOD(E1826-D1826,1)*24-N(F1826)/60,2))</f>
        <v/>
      </c>
      <c r="H1826" s="7">
        <f>IF(C1826="","",IFERROR(INDEX(Sites!$B$2:$B$501,MATCH(C1826,Sites!$A$2:$A$501,0)),"?"))</f>
        <v/>
      </c>
      <c r="I1826" s="8">
        <f>IF(A1826="","",A1826-WEEKDAY(A1826,3))</f>
        <v/>
      </c>
      <c r="K1826" s="7">
        <f>IF(A1826="","",IF(OR(B1826="",C1826="",D1826="",E1826=""),"Missing info",IF(ISNA(MATCH(B1826,Staff!$A$2:$A$101,0)),"Unknown employee",IF(H1826="?","Unknown site",IF(G1826&lt;=0,"Check times",IF(G1826&gt;12,"Over 12h",IF(COUNTIFS($L$2:$L$2001,L1826)&gt;1,"Duplicate?",IF(A1826&gt;TODAY(),"Future date","OK"))))))))</f>
        <v/>
      </c>
      <c r="L1826">
        <f>IF(A1826="","",TEXT(A1826,"yyyy-mm-dd")&amp;"|"&amp;B1826&amp;"|"&amp;C1826)</f>
        <v/>
      </c>
    </row>
    <row r="1827">
      <c r="A1827" s="4" t="n"/>
      <c r="D1827" s="5" t="n"/>
      <c r="E1827" s="5" t="n"/>
      <c r="G1827" s="6">
        <f>IF(OR(A1827="",D1827="",E1827=""),"",ROUND(MOD(E1827-D1827,1)*24-N(F1827)/60,2))</f>
        <v/>
      </c>
      <c r="H1827" s="7">
        <f>IF(C1827="","",IFERROR(INDEX(Sites!$B$2:$B$501,MATCH(C1827,Sites!$A$2:$A$501,0)),"?"))</f>
        <v/>
      </c>
      <c r="I1827" s="8">
        <f>IF(A1827="","",A1827-WEEKDAY(A1827,3))</f>
        <v/>
      </c>
      <c r="K1827" s="7">
        <f>IF(A1827="","",IF(OR(B1827="",C1827="",D1827="",E1827=""),"Missing info",IF(ISNA(MATCH(B1827,Staff!$A$2:$A$101,0)),"Unknown employee",IF(H1827="?","Unknown site",IF(G1827&lt;=0,"Check times",IF(G1827&gt;12,"Over 12h",IF(COUNTIFS($L$2:$L$2001,L1827)&gt;1,"Duplicate?",IF(A1827&gt;TODAY(),"Future date","OK"))))))))</f>
        <v/>
      </c>
      <c r="L1827">
        <f>IF(A1827="","",TEXT(A1827,"yyyy-mm-dd")&amp;"|"&amp;B1827&amp;"|"&amp;C1827)</f>
        <v/>
      </c>
    </row>
    <row r="1828">
      <c r="A1828" s="4" t="n"/>
      <c r="D1828" s="5" t="n"/>
      <c r="E1828" s="5" t="n"/>
      <c r="G1828" s="6">
        <f>IF(OR(A1828="",D1828="",E1828=""),"",ROUND(MOD(E1828-D1828,1)*24-N(F1828)/60,2))</f>
        <v/>
      </c>
      <c r="H1828" s="7">
        <f>IF(C1828="","",IFERROR(INDEX(Sites!$B$2:$B$501,MATCH(C1828,Sites!$A$2:$A$501,0)),"?"))</f>
        <v/>
      </c>
      <c r="I1828" s="8">
        <f>IF(A1828="","",A1828-WEEKDAY(A1828,3))</f>
        <v/>
      </c>
      <c r="K1828" s="7">
        <f>IF(A1828="","",IF(OR(B1828="",C1828="",D1828="",E1828=""),"Missing info",IF(ISNA(MATCH(B1828,Staff!$A$2:$A$101,0)),"Unknown employee",IF(H1828="?","Unknown site",IF(G1828&lt;=0,"Check times",IF(G1828&gt;12,"Over 12h",IF(COUNTIFS($L$2:$L$2001,L1828)&gt;1,"Duplicate?",IF(A1828&gt;TODAY(),"Future date","OK"))))))))</f>
        <v/>
      </c>
      <c r="L1828">
        <f>IF(A1828="","",TEXT(A1828,"yyyy-mm-dd")&amp;"|"&amp;B1828&amp;"|"&amp;C1828)</f>
        <v/>
      </c>
    </row>
    <row r="1829">
      <c r="A1829" s="4" t="n"/>
      <c r="D1829" s="5" t="n"/>
      <c r="E1829" s="5" t="n"/>
      <c r="G1829" s="6">
        <f>IF(OR(A1829="",D1829="",E1829=""),"",ROUND(MOD(E1829-D1829,1)*24-N(F1829)/60,2))</f>
        <v/>
      </c>
      <c r="H1829" s="7">
        <f>IF(C1829="","",IFERROR(INDEX(Sites!$B$2:$B$501,MATCH(C1829,Sites!$A$2:$A$501,0)),"?"))</f>
        <v/>
      </c>
      <c r="I1829" s="8">
        <f>IF(A1829="","",A1829-WEEKDAY(A1829,3))</f>
        <v/>
      </c>
      <c r="K1829" s="7">
        <f>IF(A1829="","",IF(OR(B1829="",C1829="",D1829="",E1829=""),"Missing info",IF(ISNA(MATCH(B1829,Staff!$A$2:$A$101,0)),"Unknown employee",IF(H1829="?","Unknown site",IF(G1829&lt;=0,"Check times",IF(G1829&gt;12,"Over 12h",IF(COUNTIFS($L$2:$L$2001,L1829)&gt;1,"Duplicate?",IF(A1829&gt;TODAY(),"Future date","OK"))))))))</f>
        <v/>
      </c>
      <c r="L1829">
        <f>IF(A1829="","",TEXT(A1829,"yyyy-mm-dd")&amp;"|"&amp;B1829&amp;"|"&amp;C1829)</f>
        <v/>
      </c>
    </row>
    <row r="1830">
      <c r="A1830" s="4" t="n"/>
      <c r="D1830" s="5" t="n"/>
      <c r="E1830" s="5" t="n"/>
      <c r="G1830" s="6">
        <f>IF(OR(A1830="",D1830="",E1830=""),"",ROUND(MOD(E1830-D1830,1)*24-N(F1830)/60,2))</f>
        <v/>
      </c>
      <c r="H1830" s="7">
        <f>IF(C1830="","",IFERROR(INDEX(Sites!$B$2:$B$501,MATCH(C1830,Sites!$A$2:$A$501,0)),"?"))</f>
        <v/>
      </c>
      <c r="I1830" s="8">
        <f>IF(A1830="","",A1830-WEEKDAY(A1830,3))</f>
        <v/>
      </c>
      <c r="K1830" s="7">
        <f>IF(A1830="","",IF(OR(B1830="",C1830="",D1830="",E1830=""),"Missing info",IF(ISNA(MATCH(B1830,Staff!$A$2:$A$101,0)),"Unknown employee",IF(H1830="?","Unknown site",IF(G1830&lt;=0,"Check times",IF(G1830&gt;12,"Over 12h",IF(COUNTIFS($L$2:$L$2001,L1830)&gt;1,"Duplicate?",IF(A1830&gt;TODAY(),"Future date","OK"))))))))</f>
        <v/>
      </c>
      <c r="L1830">
        <f>IF(A1830="","",TEXT(A1830,"yyyy-mm-dd")&amp;"|"&amp;B1830&amp;"|"&amp;C1830)</f>
        <v/>
      </c>
    </row>
    <row r="1831">
      <c r="A1831" s="4" t="n"/>
      <c r="D1831" s="5" t="n"/>
      <c r="E1831" s="5" t="n"/>
      <c r="G1831" s="6">
        <f>IF(OR(A1831="",D1831="",E1831=""),"",ROUND(MOD(E1831-D1831,1)*24-N(F1831)/60,2))</f>
        <v/>
      </c>
      <c r="H1831" s="7">
        <f>IF(C1831="","",IFERROR(INDEX(Sites!$B$2:$B$501,MATCH(C1831,Sites!$A$2:$A$501,0)),"?"))</f>
        <v/>
      </c>
      <c r="I1831" s="8">
        <f>IF(A1831="","",A1831-WEEKDAY(A1831,3))</f>
        <v/>
      </c>
      <c r="K1831" s="7">
        <f>IF(A1831="","",IF(OR(B1831="",C1831="",D1831="",E1831=""),"Missing info",IF(ISNA(MATCH(B1831,Staff!$A$2:$A$101,0)),"Unknown employee",IF(H1831="?","Unknown site",IF(G1831&lt;=0,"Check times",IF(G1831&gt;12,"Over 12h",IF(COUNTIFS($L$2:$L$2001,L1831)&gt;1,"Duplicate?",IF(A1831&gt;TODAY(),"Future date","OK"))))))))</f>
        <v/>
      </c>
      <c r="L1831">
        <f>IF(A1831="","",TEXT(A1831,"yyyy-mm-dd")&amp;"|"&amp;B1831&amp;"|"&amp;C1831)</f>
        <v/>
      </c>
    </row>
    <row r="1832">
      <c r="A1832" s="4" t="n"/>
      <c r="D1832" s="5" t="n"/>
      <c r="E1832" s="5" t="n"/>
      <c r="G1832" s="6">
        <f>IF(OR(A1832="",D1832="",E1832=""),"",ROUND(MOD(E1832-D1832,1)*24-N(F1832)/60,2))</f>
        <v/>
      </c>
      <c r="H1832" s="7">
        <f>IF(C1832="","",IFERROR(INDEX(Sites!$B$2:$B$501,MATCH(C1832,Sites!$A$2:$A$501,0)),"?"))</f>
        <v/>
      </c>
      <c r="I1832" s="8">
        <f>IF(A1832="","",A1832-WEEKDAY(A1832,3))</f>
        <v/>
      </c>
      <c r="K1832" s="7">
        <f>IF(A1832="","",IF(OR(B1832="",C1832="",D1832="",E1832=""),"Missing info",IF(ISNA(MATCH(B1832,Staff!$A$2:$A$101,0)),"Unknown employee",IF(H1832="?","Unknown site",IF(G1832&lt;=0,"Check times",IF(G1832&gt;12,"Over 12h",IF(COUNTIFS($L$2:$L$2001,L1832)&gt;1,"Duplicate?",IF(A1832&gt;TODAY(),"Future date","OK"))))))))</f>
        <v/>
      </c>
      <c r="L1832">
        <f>IF(A1832="","",TEXT(A1832,"yyyy-mm-dd")&amp;"|"&amp;B1832&amp;"|"&amp;C1832)</f>
        <v/>
      </c>
    </row>
    <row r="1833">
      <c r="A1833" s="4" t="n"/>
      <c r="D1833" s="5" t="n"/>
      <c r="E1833" s="5" t="n"/>
      <c r="G1833" s="6">
        <f>IF(OR(A1833="",D1833="",E1833=""),"",ROUND(MOD(E1833-D1833,1)*24-N(F1833)/60,2))</f>
        <v/>
      </c>
      <c r="H1833" s="7">
        <f>IF(C1833="","",IFERROR(INDEX(Sites!$B$2:$B$501,MATCH(C1833,Sites!$A$2:$A$501,0)),"?"))</f>
        <v/>
      </c>
      <c r="I1833" s="8">
        <f>IF(A1833="","",A1833-WEEKDAY(A1833,3))</f>
        <v/>
      </c>
      <c r="K1833" s="7">
        <f>IF(A1833="","",IF(OR(B1833="",C1833="",D1833="",E1833=""),"Missing info",IF(ISNA(MATCH(B1833,Staff!$A$2:$A$101,0)),"Unknown employee",IF(H1833="?","Unknown site",IF(G1833&lt;=0,"Check times",IF(G1833&gt;12,"Over 12h",IF(COUNTIFS($L$2:$L$2001,L1833)&gt;1,"Duplicate?",IF(A1833&gt;TODAY(),"Future date","OK"))))))))</f>
        <v/>
      </c>
      <c r="L1833">
        <f>IF(A1833="","",TEXT(A1833,"yyyy-mm-dd")&amp;"|"&amp;B1833&amp;"|"&amp;C1833)</f>
        <v/>
      </c>
    </row>
    <row r="1834">
      <c r="A1834" s="4" t="n"/>
      <c r="D1834" s="5" t="n"/>
      <c r="E1834" s="5" t="n"/>
      <c r="G1834" s="6">
        <f>IF(OR(A1834="",D1834="",E1834=""),"",ROUND(MOD(E1834-D1834,1)*24-N(F1834)/60,2))</f>
        <v/>
      </c>
      <c r="H1834" s="7">
        <f>IF(C1834="","",IFERROR(INDEX(Sites!$B$2:$B$501,MATCH(C1834,Sites!$A$2:$A$501,0)),"?"))</f>
        <v/>
      </c>
      <c r="I1834" s="8">
        <f>IF(A1834="","",A1834-WEEKDAY(A1834,3))</f>
        <v/>
      </c>
      <c r="K1834" s="7">
        <f>IF(A1834="","",IF(OR(B1834="",C1834="",D1834="",E1834=""),"Missing info",IF(ISNA(MATCH(B1834,Staff!$A$2:$A$101,0)),"Unknown employee",IF(H1834="?","Unknown site",IF(G1834&lt;=0,"Check times",IF(G1834&gt;12,"Over 12h",IF(COUNTIFS($L$2:$L$2001,L1834)&gt;1,"Duplicate?",IF(A1834&gt;TODAY(),"Future date","OK"))))))))</f>
        <v/>
      </c>
      <c r="L1834">
        <f>IF(A1834="","",TEXT(A1834,"yyyy-mm-dd")&amp;"|"&amp;B1834&amp;"|"&amp;C1834)</f>
        <v/>
      </c>
    </row>
    <row r="1835">
      <c r="A1835" s="4" t="n"/>
      <c r="D1835" s="5" t="n"/>
      <c r="E1835" s="5" t="n"/>
      <c r="G1835" s="6">
        <f>IF(OR(A1835="",D1835="",E1835=""),"",ROUND(MOD(E1835-D1835,1)*24-N(F1835)/60,2))</f>
        <v/>
      </c>
      <c r="H1835" s="7">
        <f>IF(C1835="","",IFERROR(INDEX(Sites!$B$2:$B$501,MATCH(C1835,Sites!$A$2:$A$501,0)),"?"))</f>
        <v/>
      </c>
      <c r="I1835" s="8">
        <f>IF(A1835="","",A1835-WEEKDAY(A1835,3))</f>
        <v/>
      </c>
      <c r="K1835" s="7">
        <f>IF(A1835="","",IF(OR(B1835="",C1835="",D1835="",E1835=""),"Missing info",IF(ISNA(MATCH(B1835,Staff!$A$2:$A$101,0)),"Unknown employee",IF(H1835="?","Unknown site",IF(G1835&lt;=0,"Check times",IF(G1835&gt;12,"Over 12h",IF(COUNTIFS($L$2:$L$2001,L1835)&gt;1,"Duplicate?",IF(A1835&gt;TODAY(),"Future date","OK"))))))))</f>
        <v/>
      </c>
      <c r="L1835">
        <f>IF(A1835="","",TEXT(A1835,"yyyy-mm-dd")&amp;"|"&amp;B1835&amp;"|"&amp;C1835)</f>
        <v/>
      </c>
    </row>
    <row r="1836">
      <c r="A1836" s="4" t="n"/>
      <c r="D1836" s="5" t="n"/>
      <c r="E1836" s="5" t="n"/>
      <c r="G1836" s="6">
        <f>IF(OR(A1836="",D1836="",E1836=""),"",ROUND(MOD(E1836-D1836,1)*24-N(F1836)/60,2))</f>
        <v/>
      </c>
      <c r="H1836" s="7">
        <f>IF(C1836="","",IFERROR(INDEX(Sites!$B$2:$B$501,MATCH(C1836,Sites!$A$2:$A$501,0)),"?"))</f>
        <v/>
      </c>
      <c r="I1836" s="8">
        <f>IF(A1836="","",A1836-WEEKDAY(A1836,3))</f>
        <v/>
      </c>
      <c r="K1836" s="7">
        <f>IF(A1836="","",IF(OR(B1836="",C1836="",D1836="",E1836=""),"Missing info",IF(ISNA(MATCH(B1836,Staff!$A$2:$A$101,0)),"Unknown employee",IF(H1836="?","Unknown site",IF(G1836&lt;=0,"Check times",IF(G1836&gt;12,"Over 12h",IF(COUNTIFS($L$2:$L$2001,L1836)&gt;1,"Duplicate?",IF(A1836&gt;TODAY(),"Future date","OK"))))))))</f>
        <v/>
      </c>
      <c r="L1836">
        <f>IF(A1836="","",TEXT(A1836,"yyyy-mm-dd")&amp;"|"&amp;B1836&amp;"|"&amp;C1836)</f>
        <v/>
      </c>
    </row>
    <row r="1837">
      <c r="A1837" s="4" t="n"/>
      <c r="D1837" s="5" t="n"/>
      <c r="E1837" s="5" t="n"/>
      <c r="G1837" s="6">
        <f>IF(OR(A1837="",D1837="",E1837=""),"",ROUND(MOD(E1837-D1837,1)*24-N(F1837)/60,2))</f>
        <v/>
      </c>
      <c r="H1837" s="7">
        <f>IF(C1837="","",IFERROR(INDEX(Sites!$B$2:$B$501,MATCH(C1837,Sites!$A$2:$A$501,0)),"?"))</f>
        <v/>
      </c>
      <c r="I1837" s="8">
        <f>IF(A1837="","",A1837-WEEKDAY(A1837,3))</f>
        <v/>
      </c>
      <c r="K1837" s="7">
        <f>IF(A1837="","",IF(OR(B1837="",C1837="",D1837="",E1837=""),"Missing info",IF(ISNA(MATCH(B1837,Staff!$A$2:$A$101,0)),"Unknown employee",IF(H1837="?","Unknown site",IF(G1837&lt;=0,"Check times",IF(G1837&gt;12,"Over 12h",IF(COUNTIFS($L$2:$L$2001,L1837)&gt;1,"Duplicate?",IF(A1837&gt;TODAY(),"Future date","OK"))))))))</f>
        <v/>
      </c>
      <c r="L1837">
        <f>IF(A1837="","",TEXT(A1837,"yyyy-mm-dd")&amp;"|"&amp;B1837&amp;"|"&amp;C1837)</f>
        <v/>
      </c>
    </row>
    <row r="1838">
      <c r="A1838" s="4" t="n"/>
      <c r="D1838" s="5" t="n"/>
      <c r="E1838" s="5" t="n"/>
      <c r="G1838" s="6">
        <f>IF(OR(A1838="",D1838="",E1838=""),"",ROUND(MOD(E1838-D1838,1)*24-N(F1838)/60,2))</f>
        <v/>
      </c>
      <c r="H1838" s="7">
        <f>IF(C1838="","",IFERROR(INDEX(Sites!$B$2:$B$501,MATCH(C1838,Sites!$A$2:$A$501,0)),"?"))</f>
        <v/>
      </c>
      <c r="I1838" s="8">
        <f>IF(A1838="","",A1838-WEEKDAY(A1838,3))</f>
        <v/>
      </c>
      <c r="K1838" s="7">
        <f>IF(A1838="","",IF(OR(B1838="",C1838="",D1838="",E1838=""),"Missing info",IF(ISNA(MATCH(B1838,Staff!$A$2:$A$101,0)),"Unknown employee",IF(H1838="?","Unknown site",IF(G1838&lt;=0,"Check times",IF(G1838&gt;12,"Over 12h",IF(COUNTIFS($L$2:$L$2001,L1838)&gt;1,"Duplicate?",IF(A1838&gt;TODAY(),"Future date","OK"))))))))</f>
        <v/>
      </c>
      <c r="L1838">
        <f>IF(A1838="","",TEXT(A1838,"yyyy-mm-dd")&amp;"|"&amp;B1838&amp;"|"&amp;C1838)</f>
        <v/>
      </c>
    </row>
    <row r="1839">
      <c r="A1839" s="4" t="n"/>
      <c r="D1839" s="5" t="n"/>
      <c r="E1839" s="5" t="n"/>
      <c r="G1839" s="6">
        <f>IF(OR(A1839="",D1839="",E1839=""),"",ROUND(MOD(E1839-D1839,1)*24-N(F1839)/60,2))</f>
        <v/>
      </c>
      <c r="H1839" s="7">
        <f>IF(C1839="","",IFERROR(INDEX(Sites!$B$2:$B$501,MATCH(C1839,Sites!$A$2:$A$501,0)),"?"))</f>
        <v/>
      </c>
      <c r="I1839" s="8">
        <f>IF(A1839="","",A1839-WEEKDAY(A1839,3))</f>
        <v/>
      </c>
      <c r="K1839" s="7">
        <f>IF(A1839="","",IF(OR(B1839="",C1839="",D1839="",E1839=""),"Missing info",IF(ISNA(MATCH(B1839,Staff!$A$2:$A$101,0)),"Unknown employee",IF(H1839="?","Unknown site",IF(G1839&lt;=0,"Check times",IF(G1839&gt;12,"Over 12h",IF(COUNTIFS($L$2:$L$2001,L1839)&gt;1,"Duplicate?",IF(A1839&gt;TODAY(),"Future date","OK"))))))))</f>
        <v/>
      </c>
      <c r="L1839">
        <f>IF(A1839="","",TEXT(A1839,"yyyy-mm-dd")&amp;"|"&amp;B1839&amp;"|"&amp;C1839)</f>
        <v/>
      </c>
    </row>
    <row r="1840">
      <c r="A1840" s="4" t="n"/>
      <c r="D1840" s="5" t="n"/>
      <c r="E1840" s="5" t="n"/>
      <c r="G1840" s="6">
        <f>IF(OR(A1840="",D1840="",E1840=""),"",ROUND(MOD(E1840-D1840,1)*24-N(F1840)/60,2))</f>
        <v/>
      </c>
      <c r="H1840" s="7">
        <f>IF(C1840="","",IFERROR(INDEX(Sites!$B$2:$B$501,MATCH(C1840,Sites!$A$2:$A$501,0)),"?"))</f>
        <v/>
      </c>
      <c r="I1840" s="8">
        <f>IF(A1840="","",A1840-WEEKDAY(A1840,3))</f>
        <v/>
      </c>
      <c r="K1840" s="7">
        <f>IF(A1840="","",IF(OR(B1840="",C1840="",D1840="",E1840=""),"Missing info",IF(ISNA(MATCH(B1840,Staff!$A$2:$A$101,0)),"Unknown employee",IF(H1840="?","Unknown site",IF(G1840&lt;=0,"Check times",IF(G1840&gt;12,"Over 12h",IF(COUNTIFS($L$2:$L$2001,L1840)&gt;1,"Duplicate?",IF(A1840&gt;TODAY(),"Future date","OK"))))))))</f>
        <v/>
      </c>
      <c r="L1840">
        <f>IF(A1840="","",TEXT(A1840,"yyyy-mm-dd")&amp;"|"&amp;B1840&amp;"|"&amp;C1840)</f>
        <v/>
      </c>
    </row>
    <row r="1841">
      <c r="A1841" s="4" t="n"/>
      <c r="D1841" s="5" t="n"/>
      <c r="E1841" s="5" t="n"/>
      <c r="G1841" s="6">
        <f>IF(OR(A1841="",D1841="",E1841=""),"",ROUND(MOD(E1841-D1841,1)*24-N(F1841)/60,2))</f>
        <v/>
      </c>
      <c r="H1841" s="7">
        <f>IF(C1841="","",IFERROR(INDEX(Sites!$B$2:$B$501,MATCH(C1841,Sites!$A$2:$A$501,0)),"?"))</f>
        <v/>
      </c>
      <c r="I1841" s="8">
        <f>IF(A1841="","",A1841-WEEKDAY(A1841,3))</f>
        <v/>
      </c>
      <c r="K1841" s="7">
        <f>IF(A1841="","",IF(OR(B1841="",C1841="",D1841="",E1841=""),"Missing info",IF(ISNA(MATCH(B1841,Staff!$A$2:$A$101,0)),"Unknown employee",IF(H1841="?","Unknown site",IF(G1841&lt;=0,"Check times",IF(G1841&gt;12,"Over 12h",IF(COUNTIFS($L$2:$L$2001,L1841)&gt;1,"Duplicate?",IF(A1841&gt;TODAY(),"Future date","OK"))))))))</f>
        <v/>
      </c>
      <c r="L1841">
        <f>IF(A1841="","",TEXT(A1841,"yyyy-mm-dd")&amp;"|"&amp;B1841&amp;"|"&amp;C1841)</f>
        <v/>
      </c>
    </row>
    <row r="1842">
      <c r="A1842" s="4" t="n"/>
      <c r="D1842" s="5" t="n"/>
      <c r="E1842" s="5" t="n"/>
      <c r="G1842" s="6">
        <f>IF(OR(A1842="",D1842="",E1842=""),"",ROUND(MOD(E1842-D1842,1)*24-N(F1842)/60,2))</f>
        <v/>
      </c>
      <c r="H1842" s="7">
        <f>IF(C1842="","",IFERROR(INDEX(Sites!$B$2:$B$501,MATCH(C1842,Sites!$A$2:$A$501,0)),"?"))</f>
        <v/>
      </c>
      <c r="I1842" s="8">
        <f>IF(A1842="","",A1842-WEEKDAY(A1842,3))</f>
        <v/>
      </c>
      <c r="K1842" s="7">
        <f>IF(A1842="","",IF(OR(B1842="",C1842="",D1842="",E1842=""),"Missing info",IF(ISNA(MATCH(B1842,Staff!$A$2:$A$101,0)),"Unknown employee",IF(H1842="?","Unknown site",IF(G1842&lt;=0,"Check times",IF(G1842&gt;12,"Over 12h",IF(COUNTIFS($L$2:$L$2001,L1842)&gt;1,"Duplicate?",IF(A1842&gt;TODAY(),"Future date","OK"))))))))</f>
        <v/>
      </c>
      <c r="L1842">
        <f>IF(A1842="","",TEXT(A1842,"yyyy-mm-dd")&amp;"|"&amp;B1842&amp;"|"&amp;C1842)</f>
        <v/>
      </c>
    </row>
    <row r="1843">
      <c r="A1843" s="4" t="n"/>
      <c r="D1843" s="5" t="n"/>
      <c r="E1843" s="5" t="n"/>
      <c r="G1843" s="6">
        <f>IF(OR(A1843="",D1843="",E1843=""),"",ROUND(MOD(E1843-D1843,1)*24-N(F1843)/60,2))</f>
        <v/>
      </c>
      <c r="H1843" s="7">
        <f>IF(C1843="","",IFERROR(INDEX(Sites!$B$2:$B$501,MATCH(C1843,Sites!$A$2:$A$501,0)),"?"))</f>
        <v/>
      </c>
      <c r="I1843" s="8">
        <f>IF(A1843="","",A1843-WEEKDAY(A1843,3))</f>
        <v/>
      </c>
      <c r="K1843" s="7">
        <f>IF(A1843="","",IF(OR(B1843="",C1843="",D1843="",E1843=""),"Missing info",IF(ISNA(MATCH(B1843,Staff!$A$2:$A$101,0)),"Unknown employee",IF(H1843="?","Unknown site",IF(G1843&lt;=0,"Check times",IF(G1843&gt;12,"Over 12h",IF(COUNTIFS($L$2:$L$2001,L1843)&gt;1,"Duplicate?",IF(A1843&gt;TODAY(),"Future date","OK"))))))))</f>
        <v/>
      </c>
      <c r="L1843">
        <f>IF(A1843="","",TEXT(A1843,"yyyy-mm-dd")&amp;"|"&amp;B1843&amp;"|"&amp;C1843)</f>
        <v/>
      </c>
    </row>
    <row r="1844">
      <c r="A1844" s="4" t="n"/>
      <c r="D1844" s="5" t="n"/>
      <c r="E1844" s="5" t="n"/>
      <c r="G1844" s="6">
        <f>IF(OR(A1844="",D1844="",E1844=""),"",ROUND(MOD(E1844-D1844,1)*24-N(F1844)/60,2))</f>
        <v/>
      </c>
      <c r="H1844" s="7">
        <f>IF(C1844="","",IFERROR(INDEX(Sites!$B$2:$B$501,MATCH(C1844,Sites!$A$2:$A$501,0)),"?"))</f>
        <v/>
      </c>
      <c r="I1844" s="8">
        <f>IF(A1844="","",A1844-WEEKDAY(A1844,3))</f>
        <v/>
      </c>
      <c r="K1844" s="7">
        <f>IF(A1844="","",IF(OR(B1844="",C1844="",D1844="",E1844=""),"Missing info",IF(ISNA(MATCH(B1844,Staff!$A$2:$A$101,0)),"Unknown employee",IF(H1844="?","Unknown site",IF(G1844&lt;=0,"Check times",IF(G1844&gt;12,"Over 12h",IF(COUNTIFS($L$2:$L$2001,L1844)&gt;1,"Duplicate?",IF(A1844&gt;TODAY(),"Future date","OK"))))))))</f>
        <v/>
      </c>
      <c r="L1844">
        <f>IF(A1844="","",TEXT(A1844,"yyyy-mm-dd")&amp;"|"&amp;B1844&amp;"|"&amp;C1844)</f>
        <v/>
      </c>
    </row>
    <row r="1845">
      <c r="A1845" s="4" t="n"/>
      <c r="D1845" s="5" t="n"/>
      <c r="E1845" s="5" t="n"/>
      <c r="G1845" s="6">
        <f>IF(OR(A1845="",D1845="",E1845=""),"",ROUND(MOD(E1845-D1845,1)*24-N(F1845)/60,2))</f>
        <v/>
      </c>
      <c r="H1845" s="7">
        <f>IF(C1845="","",IFERROR(INDEX(Sites!$B$2:$B$501,MATCH(C1845,Sites!$A$2:$A$501,0)),"?"))</f>
        <v/>
      </c>
      <c r="I1845" s="8">
        <f>IF(A1845="","",A1845-WEEKDAY(A1845,3))</f>
        <v/>
      </c>
      <c r="K1845" s="7">
        <f>IF(A1845="","",IF(OR(B1845="",C1845="",D1845="",E1845=""),"Missing info",IF(ISNA(MATCH(B1845,Staff!$A$2:$A$101,0)),"Unknown employee",IF(H1845="?","Unknown site",IF(G1845&lt;=0,"Check times",IF(G1845&gt;12,"Over 12h",IF(COUNTIFS($L$2:$L$2001,L1845)&gt;1,"Duplicate?",IF(A1845&gt;TODAY(),"Future date","OK"))))))))</f>
        <v/>
      </c>
      <c r="L1845">
        <f>IF(A1845="","",TEXT(A1845,"yyyy-mm-dd")&amp;"|"&amp;B1845&amp;"|"&amp;C1845)</f>
        <v/>
      </c>
    </row>
    <row r="1846">
      <c r="A1846" s="4" t="n"/>
      <c r="D1846" s="5" t="n"/>
      <c r="E1846" s="5" t="n"/>
      <c r="G1846" s="6">
        <f>IF(OR(A1846="",D1846="",E1846=""),"",ROUND(MOD(E1846-D1846,1)*24-N(F1846)/60,2))</f>
        <v/>
      </c>
      <c r="H1846" s="7">
        <f>IF(C1846="","",IFERROR(INDEX(Sites!$B$2:$B$501,MATCH(C1846,Sites!$A$2:$A$501,0)),"?"))</f>
        <v/>
      </c>
      <c r="I1846" s="8">
        <f>IF(A1846="","",A1846-WEEKDAY(A1846,3))</f>
        <v/>
      </c>
      <c r="K1846" s="7">
        <f>IF(A1846="","",IF(OR(B1846="",C1846="",D1846="",E1846=""),"Missing info",IF(ISNA(MATCH(B1846,Staff!$A$2:$A$101,0)),"Unknown employee",IF(H1846="?","Unknown site",IF(G1846&lt;=0,"Check times",IF(G1846&gt;12,"Over 12h",IF(COUNTIFS($L$2:$L$2001,L1846)&gt;1,"Duplicate?",IF(A1846&gt;TODAY(),"Future date","OK"))))))))</f>
        <v/>
      </c>
      <c r="L1846">
        <f>IF(A1846="","",TEXT(A1846,"yyyy-mm-dd")&amp;"|"&amp;B1846&amp;"|"&amp;C1846)</f>
        <v/>
      </c>
    </row>
    <row r="1847">
      <c r="A1847" s="4" t="n"/>
      <c r="D1847" s="5" t="n"/>
      <c r="E1847" s="5" t="n"/>
      <c r="G1847" s="6">
        <f>IF(OR(A1847="",D1847="",E1847=""),"",ROUND(MOD(E1847-D1847,1)*24-N(F1847)/60,2))</f>
        <v/>
      </c>
      <c r="H1847" s="7">
        <f>IF(C1847="","",IFERROR(INDEX(Sites!$B$2:$B$501,MATCH(C1847,Sites!$A$2:$A$501,0)),"?"))</f>
        <v/>
      </c>
      <c r="I1847" s="8">
        <f>IF(A1847="","",A1847-WEEKDAY(A1847,3))</f>
        <v/>
      </c>
      <c r="K1847" s="7">
        <f>IF(A1847="","",IF(OR(B1847="",C1847="",D1847="",E1847=""),"Missing info",IF(ISNA(MATCH(B1847,Staff!$A$2:$A$101,0)),"Unknown employee",IF(H1847="?","Unknown site",IF(G1847&lt;=0,"Check times",IF(G1847&gt;12,"Over 12h",IF(COUNTIFS($L$2:$L$2001,L1847)&gt;1,"Duplicate?",IF(A1847&gt;TODAY(),"Future date","OK"))))))))</f>
        <v/>
      </c>
      <c r="L1847">
        <f>IF(A1847="","",TEXT(A1847,"yyyy-mm-dd")&amp;"|"&amp;B1847&amp;"|"&amp;C1847)</f>
        <v/>
      </c>
    </row>
    <row r="1848">
      <c r="A1848" s="4" t="n"/>
      <c r="D1848" s="5" t="n"/>
      <c r="E1848" s="5" t="n"/>
      <c r="G1848" s="6">
        <f>IF(OR(A1848="",D1848="",E1848=""),"",ROUND(MOD(E1848-D1848,1)*24-N(F1848)/60,2))</f>
        <v/>
      </c>
      <c r="H1848" s="7">
        <f>IF(C1848="","",IFERROR(INDEX(Sites!$B$2:$B$501,MATCH(C1848,Sites!$A$2:$A$501,0)),"?"))</f>
        <v/>
      </c>
      <c r="I1848" s="8">
        <f>IF(A1848="","",A1848-WEEKDAY(A1848,3))</f>
        <v/>
      </c>
      <c r="K1848" s="7">
        <f>IF(A1848="","",IF(OR(B1848="",C1848="",D1848="",E1848=""),"Missing info",IF(ISNA(MATCH(B1848,Staff!$A$2:$A$101,0)),"Unknown employee",IF(H1848="?","Unknown site",IF(G1848&lt;=0,"Check times",IF(G1848&gt;12,"Over 12h",IF(COUNTIFS($L$2:$L$2001,L1848)&gt;1,"Duplicate?",IF(A1848&gt;TODAY(),"Future date","OK"))))))))</f>
        <v/>
      </c>
      <c r="L1848">
        <f>IF(A1848="","",TEXT(A1848,"yyyy-mm-dd")&amp;"|"&amp;B1848&amp;"|"&amp;C1848)</f>
        <v/>
      </c>
    </row>
    <row r="1849">
      <c r="A1849" s="4" t="n"/>
      <c r="D1849" s="5" t="n"/>
      <c r="E1849" s="5" t="n"/>
      <c r="G1849" s="6">
        <f>IF(OR(A1849="",D1849="",E1849=""),"",ROUND(MOD(E1849-D1849,1)*24-N(F1849)/60,2))</f>
        <v/>
      </c>
      <c r="H1849" s="7">
        <f>IF(C1849="","",IFERROR(INDEX(Sites!$B$2:$B$501,MATCH(C1849,Sites!$A$2:$A$501,0)),"?"))</f>
        <v/>
      </c>
      <c r="I1849" s="8">
        <f>IF(A1849="","",A1849-WEEKDAY(A1849,3))</f>
        <v/>
      </c>
      <c r="K1849" s="7">
        <f>IF(A1849="","",IF(OR(B1849="",C1849="",D1849="",E1849=""),"Missing info",IF(ISNA(MATCH(B1849,Staff!$A$2:$A$101,0)),"Unknown employee",IF(H1849="?","Unknown site",IF(G1849&lt;=0,"Check times",IF(G1849&gt;12,"Over 12h",IF(COUNTIFS($L$2:$L$2001,L1849)&gt;1,"Duplicate?",IF(A1849&gt;TODAY(),"Future date","OK"))))))))</f>
        <v/>
      </c>
      <c r="L1849">
        <f>IF(A1849="","",TEXT(A1849,"yyyy-mm-dd")&amp;"|"&amp;B1849&amp;"|"&amp;C1849)</f>
        <v/>
      </c>
    </row>
    <row r="1850">
      <c r="A1850" s="4" t="n"/>
      <c r="D1850" s="5" t="n"/>
      <c r="E1850" s="5" t="n"/>
      <c r="G1850" s="6">
        <f>IF(OR(A1850="",D1850="",E1850=""),"",ROUND(MOD(E1850-D1850,1)*24-N(F1850)/60,2))</f>
        <v/>
      </c>
      <c r="H1850" s="7">
        <f>IF(C1850="","",IFERROR(INDEX(Sites!$B$2:$B$501,MATCH(C1850,Sites!$A$2:$A$501,0)),"?"))</f>
        <v/>
      </c>
      <c r="I1850" s="8">
        <f>IF(A1850="","",A1850-WEEKDAY(A1850,3))</f>
        <v/>
      </c>
      <c r="K1850" s="7">
        <f>IF(A1850="","",IF(OR(B1850="",C1850="",D1850="",E1850=""),"Missing info",IF(ISNA(MATCH(B1850,Staff!$A$2:$A$101,0)),"Unknown employee",IF(H1850="?","Unknown site",IF(G1850&lt;=0,"Check times",IF(G1850&gt;12,"Over 12h",IF(COUNTIFS($L$2:$L$2001,L1850)&gt;1,"Duplicate?",IF(A1850&gt;TODAY(),"Future date","OK"))))))))</f>
        <v/>
      </c>
      <c r="L1850">
        <f>IF(A1850="","",TEXT(A1850,"yyyy-mm-dd")&amp;"|"&amp;B1850&amp;"|"&amp;C1850)</f>
        <v/>
      </c>
    </row>
    <row r="1851">
      <c r="A1851" s="4" t="n"/>
      <c r="D1851" s="5" t="n"/>
      <c r="E1851" s="5" t="n"/>
      <c r="G1851" s="6">
        <f>IF(OR(A1851="",D1851="",E1851=""),"",ROUND(MOD(E1851-D1851,1)*24-N(F1851)/60,2))</f>
        <v/>
      </c>
      <c r="H1851" s="7">
        <f>IF(C1851="","",IFERROR(INDEX(Sites!$B$2:$B$501,MATCH(C1851,Sites!$A$2:$A$501,0)),"?"))</f>
        <v/>
      </c>
      <c r="I1851" s="8">
        <f>IF(A1851="","",A1851-WEEKDAY(A1851,3))</f>
        <v/>
      </c>
      <c r="K1851" s="7">
        <f>IF(A1851="","",IF(OR(B1851="",C1851="",D1851="",E1851=""),"Missing info",IF(ISNA(MATCH(B1851,Staff!$A$2:$A$101,0)),"Unknown employee",IF(H1851="?","Unknown site",IF(G1851&lt;=0,"Check times",IF(G1851&gt;12,"Over 12h",IF(COUNTIFS($L$2:$L$2001,L1851)&gt;1,"Duplicate?",IF(A1851&gt;TODAY(),"Future date","OK"))))))))</f>
        <v/>
      </c>
      <c r="L1851">
        <f>IF(A1851="","",TEXT(A1851,"yyyy-mm-dd")&amp;"|"&amp;B1851&amp;"|"&amp;C1851)</f>
        <v/>
      </c>
    </row>
    <row r="1852">
      <c r="A1852" s="4" t="n"/>
      <c r="D1852" s="5" t="n"/>
      <c r="E1852" s="5" t="n"/>
      <c r="G1852" s="6">
        <f>IF(OR(A1852="",D1852="",E1852=""),"",ROUND(MOD(E1852-D1852,1)*24-N(F1852)/60,2))</f>
        <v/>
      </c>
      <c r="H1852" s="7">
        <f>IF(C1852="","",IFERROR(INDEX(Sites!$B$2:$B$501,MATCH(C1852,Sites!$A$2:$A$501,0)),"?"))</f>
        <v/>
      </c>
      <c r="I1852" s="8">
        <f>IF(A1852="","",A1852-WEEKDAY(A1852,3))</f>
        <v/>
      </c>
      <c r="K1852" s="7">
        <f>IF(A1852="","",IF(OR(B1852="",C1852="",D1852="",E1852=""),"Missing info",IF(ISNA(MATCH(B1852,Staff!$A$2:$A$101,0)),"Unknown employee",IF(H1852="?","Unknown site",IF(G1852&lt;=0,"Check times",IF(G1852&gt;12,"Over 12h",IF(COUNTIFS($L$2:$L$2001,L1852)&gt;1,"Duplicate?",IF(A1852&gt;TODAY(),"Future date","OK"))))))))</f>
        <v/>
      </c>
      <c r="L1852">
        <f>IF(A1852="","",TEXT(A1852,"yyyy-mm-dd")&amp;"|"&amp;B1852&amp;"|"&amp;C1852)</f>
        <v/>
      </c>
    </row>
    <row r="1853">
      <c r="A1853" s="4" t="n"/>
      <c r="D1853" s="5" t="n"/>
      <c r="E1853" s="5" t="n"/>
      <c r="G1853" s="6">
        <f>IF(OR(A1853="",D1853="",E1853=""),"",ROUND(MOD(E1853-D1853,1)*24-N(F1853)/60,2))</f>
        <v/>
      </c>
      <c r="H1853" s="7">
        <f>IF(C1853="","",IFERROR(INDEX(Sites!$B$2:$B$501,MATCH(C1853,Sites!$A$2:$A$501,0)),"?"))</f>
        <v/>
      </c>
      <c r="I1853" s="8">
        <f>IF(A1853="","",A1853-WEEKDAY(A1853,3))</f>
        <v/>
      </c>
      <c r="K1853" s="7">
        <f>IF(A1853="","",IF(OR(B1853="",C1853="",D1853="",E1853=""),"Missing info",IF(ISNA(MATCH(B1853,Staff!$A$2:$A$101,0)),"Unknown employee",IF(H1853="?","Unknown site",IF(G1853&lt;=0,"Check times",IF(G1853&gt;12,"Over 12h",IF(COUNTIFS($L$2:$L$2001,L1853)&gt;1,"Duplicate?",IF(A1853&gt;TODAY(),"Future date","OK"))))))))</f>
        <v/>
      </c>
      <c r="L1853">
        <f>IF(A1853="","",TEXT(A1853,"yyyy-mm-dd")&amp;"|"&amp;B1853&amp;"|"&amp;C1853)</f>
        <v/>
      </c>
    </row>
    <row r="1854">
      <c r="A1854" s="4" t="n"/>
      <c r="D1854" s="5" t="n"/>
      <c r="E1854" s="5" t="n"/>
      <c r="G1854" s="6">
        <f>IF(OR(A1854="",D1854="",E1854=""),"",ROUND(MOD(E1854-D1854,1)*24-N(F1854)/60,2))</f>
        <v/>
      </c>
      <c r="H1854" s="7">
        <f>IF(C1854="","",IFERROR(INDEX(Sites!$B$2:$B$501,MATCH(C1854,Sites!$A$2:$A$501,0)),"?"))</f>
        <v/>
      </c>
      <c r="I1854" s="8">
        <f>IF(A1854="","",A1854-WEEKDAY(A1854,3))</f>
        <v/>
      </c>
      <c r="K1854" s="7">
        <f>IF(A1854="","",IF(OR(B1854="",C1854="",D1854="",E1854=""),"Missing info",IF(ISNA(MATCH(B1854,Staff!$A$2:$A$101,0)),"Unknown employee",IF(H1854="?","Unknown site",IF(G1854&lt;=0,"Check times",IF(G1854&gt;12,"Over 12h",IF(COUNTIFS($L$2:$L$2001,L1854)&gt;1,"Duplicate?",IF(A1854&gt;TODAY(),"Future date","OK"))))))))</f>
        <v/>
      </c>
      <c r="L1854">
        <f>IF(A1854="","",TEXT(A1854,"yyyy-mm-dd")&amp;"|"&amp;B1854&amp;"|"&amp;C1854)</f>
        <v/>
      </c>
    </row>
    <row r="1855">
      <c r="A1855" s="4" t="n"/>
      <c r="D1855" s="5" t="n"/>
      <c r="E1855" s="5" t="n"/>
      <c r="G1855" s="6">
        <f>IF(OR(A1855="",D1855="",E1855=""),"",ROUND(MOD(E1855-D1855,1)*24-N(F1855)/60,2))</f>
        <v/>
      </c>
      <c r="H1855" s="7">
        <f>IF(C1855="","",IFERROR(INDEX(Sites!$B$2:$B$501,MATCH(C1855,Sites!$A$2:$A$501,0)),"?"))</f>
        <v/>
      </c>
      <c r="I1855" s="8">
        <f>IF(A1855="","",A1855-WEEKDAY(A1855,3))</f>
        <v/>
      </c>
      <c r="K1855" s="7">
        <f>IF(A1855="","",IF(OR(B1855="",C1855="",D1855="",E1855=""),"Missing info",IF(ISNA(MATCH(B1855,Staff!$A$2:$A$101,0)),"Unknown employee",IF(H1855="?","Unknown site",IF(G1855&lt;=0,"Check times",IF(G1855&gt;12,"Over 12h",IF(COUNTIFS($L$2:$L$2001,L1855)&gt;1,"Duplicate?",IF(A1855&gt;TODAY(),"Future date","OK"))))))))</f>
        <v/>
      </c>
      <c r="L1855">
        <f>IF(A1855="","",TEXT(A1855,"yyyy-mm-dd")&amp;"|"&amp;B1855&amp;"|"&amp;C1855)</f>
        <v/>
      </c>
    </row>
    <row r="1856">
      <c r="A1856" s="4" t="n"/>
      <c r="D1856" s="5" t="n"/>
      <c r="E1856" s="5" t="n"/>
      <c r="G1856" s="6">
        <f>IF(OR(A1856="",D1856="",E1856=""),"",ROUND(MOD(E1856-D1856,1)*24-N(F1856)/60,2))</f>
        <v/>
      </c>
      <c r="H1856" s="7">
        <f>IF(C1856="","",IFERROR(INDEX(Sites!$B$2:$B$501,MATCH(C1856,Sites!$A$2:$A$501,0)),"?"))</f>
        <v/>
      </c>
      <c r="I1856" s="8">
        <f>IF(A1856="","",A1856-WEEKDAY(A1856,3))</f>
        <v/>
      </c>
      <c r="K1856" s="7">
        <f>IF(A1856="","",IF(OR(B1856="",C1856="",D1856="",E1856=""),"Missing info",IF(ISNA(MATCH(B1856,Staff!$A$2:$A$101,0)),"Unknown employee",IF(H1856="?","Unknown site",IF(G1856&lt;=0,"Check times",IF(G1856&gt;12,"Over 12h",IF(COUNTIFS($L$2:$L$2001,L1856)&gt;1,"Duplicate?",IF(A1856&gt;TODAY(),"Future date","OK"))))))))</f>
        <v/>
      </c>
      <c r="L1856">
        <f>IF(A1856="","",TEXT(A1856,"yyyy-mm-dd")&amp;"|"&amp;B1856&amp;"|"&amp;C1856)</f>
        <v/>
      </c>
    </row>
    <row r="1857">
      <c r="A1857" s="4" t="n"/>
      <c r="D1857" s="5" t="n"/>
      <c r="E1857" s="5" t="n"/>
      <c r="G1857" s="6">
        <f>IF(OR(A1857="",D1857="",E1857=""),"",ROUND(MOD(E1857-D1857,1)*24-N(F1857)/60,2))</f>
        <v/>
      </c>
      <c r="H1857" s="7">
        <f>IF(C1857="","",IFERROR(INDEX(Sites!$B$2:$B$501,MATCH(C1857,Sites!$A$2:$A$501,0)),"?"))</f>
        <v/>
      </c>
      <c r="I1857" s="8">
        <f>IF(A1857="","",A1857-WEEKDAY(A1857,3))</f>
        <v/>
      </c>
      <c r="K1857" s="7">
        <f>IF(A1857="","",IF(OR(B1857="",C1857="",D1857="",E1857=""),"Missing info",IF(ISNA(MATCH(B1857,Staff!$A$2:$A$101,0)),"Unknown employee",IF(H1857="?","Unknown site",IF(G1857&lt;=0,"Check times",IF(G1857&gt;12,"Over 12h",IF(COUNTIFS($L$2:$L$2001,L1857)&gt;1,"Duplicate?",IF(A1857&gt;TODAY(),"Future date","OK"))))))))</f>
        <v/>
      </c>
      <c r="L1857">
        <f>IF(A1857="","",TEXT(A1857,"yyyy-mm-dd")&amp;"|"&amp;B1857&amp;"|"&amp;C1857)</f>
        <v/>
      </c>
    </row>
    <row r="1858">
      <c r="A1858" s="4" t="n"/>
      <c r="D1858" s="5" t="n"/>
      <c r="E1858" s="5" t="n"/>
      <c r="G1858" s="6">
        <f>IF(OR(A1858="",D1858="",E1858=""),"",ROUND(MOD(E1858-D1858,1)*24-N(F1858)/60,2))</f>
        <v/>
      </c>
      <c r="H1858" s="7">
        <f>IF(C1858="","",IFERROR(INDEX(Sites!$B$2:$B$501,MATCH(C1858,Sites!$A$2:$A$501,0)),"?"))</f>
        <v/>
      </c>
      <c r="I1858" s="8">
        <f>IF(A1858="","",A1858-WEEKDAY(A1858,3))</f>
        <v/>
      </c>
      <c r="K1858" s="7">
        <f>IF(A1858="","",IF(OR(B1858="",C1858="",D1858="",E1858=""),"Missing info",IF(ISNA(MATCH(B1858,Staff!$A$2:$A$101,0)),"Unknown employee",IF(H1858="?","Unknown site",IF(G1858&lt;=0,"Check times",IF(G1858&gt;12,"Over 12h",IF(COUNTIFS($L$2:$L$2001,L1858)&gt;1,"Duplicate?",IF(A1858&gt;TODAY(),"Future date","OK"))))))))</f>
        <v/>
      </c>
      <c r="L1858">
        <f>IF(A1858="","",TEXT(A1858,"yyyy-mm-dd")&amp;"|"&amp;B1858&amp;"|"&amp;C1858)</f>
        <v/>
      </c>
    </row>
    <row r="1859">
      <c r="A1859" s="4" t="n"/>
      <c r="D1859" s="5" t="n"/>
      <c r="E1859" s="5" t="n"/>
      <c r="G1859" s="6">
        <f>IF(OR(A1859="",D1859="",E1859=""),"",ROUND(MOD(E1859-D1859,1)*24-N(F1859)/60,2))</f>
        <v/>
      </c>
      <c r="H1859" s="7">
        <f>IF(C1859="","",IFERROR(INDEX(Sites!$B$2:$B$501,MATCH(C1859,Sites!$A$2:$A$501,0)),"?"))</f>
        <v/>
      </c>
      <c r="I1859" s="8">
        <f>IF(A1859="","",A1859-WEEKDAY(A1859,3))</f>
        <v/>
      </c>
      <c r="K1859" s="7">
        <f>IF(A1859="","",IF(OR(B1859="",C1859="",D1859="",E1859=""),"Missing info",IF(ISNA(MATCH(B1859,Staff!$A$2:$A$101,0)),"Unknown employee",IF(H1859="?","Unknown site",IF(G1859&lt;=0,"Check times",IF(G1859&gt;12,"Over 12h",IF(COUNTIFS($L$2:$L$2001,L1859)&gt;1,"Duplicate?",IF(A1859&gt;TODAY(),"Future date","OK"))))))))</f>
        <v/>
      </c>
      <c r="L1859">
        <f>IF(A1859="","",TEXT(A1859,"yyyy-mm-dd")&amp;"|"&amp;B1859&amp;"|"&amp;C1859)</f>
        <v/>
      </c>
    </row>
    <row r="1860">
      <c r="A1860" s="4" t="n"/>
      <c r="D1860" s="5" t="n"/>
      <c r="E1860" s="5" t="n"/>
      <c r="G1860" s="6">
        <f>IF(OR(A1860="",D1860="",E1860=""),"",ROUND(MOD(E1860-D1860,1)*24-N(F1860)/60,2))</f>
        <v/>
      </c>
      <c r="H1860" s="7">
        <f>IF(C1860="","",IFERROR(INDEX(Sites!$B$2:$B$501,MATCH(C1860,Sites!$A$2:$A$501,0)),"?"))</f>
        <v/>
      </c>
      <c r="I1860" s="8">
        <f>IF(A1860="","",A1860-WEEKDAY(A1860,3))</f>
        <v/>
      </c>
      <c r="K1860" s="7">
        <f>IF(A1860="","",IF(OR(B1860="",C1860="",D1860="",E1860=""),"Missing info",IF(ISNA(MATCH(B1860,Staff!$A$2:$A$101,0)),"Unknown employee",IF(H1860="?","Unknown site",IF(G1860&lt;=0,"Check times",IF(G1860&gt;12,"Over 12h",IF(COUNTIFS($L$2:$L$2001,L1860)&gt;1,"Duplicate?",IF(A1860&gt;TODAY(),"Future date","OK"))))))))</f>
        <v/>
      </c>
      <c r="L1860">
        <f>IF(A1860="","",TEXT(A1860,"yyyy-mm-dd")&amp;"|"&amp;B1860&amp;"|"&amp;C1860)</f>
        <v/>
      </c>
    </row>
    <row r="1861">
      <c r="A1861" s="4" t="n"/>
      <c r="D1861" s="5" t="n"/>
      <c r="E1861" s="5" t="n"/>
      <c r="G1861" s="6">
        <f>IF(OR(A1861="",D1861="",E1861=""),"",ROUND(MOD(E1861-D1861,1)*24-N(F1861)/60,2))</f>
        <v/>
      </c>
      <c r="H1861" s="7">
        <f>IF(C1861="","",IFERROR(INDEX(Sites!$B$2:$B$501,MATCH(C1861,Sites!$A$2:$A$501,0)),"?"))</f>
        <v/>
      </c>
      <c r="I1861" s="8">
        <f>IF(A1861="","",A1861-WEEKDAY(A1861,3))</f>
        <v/>
      </c>
      <c r="K1861" s="7">
        <f>IF(A1861="","",IF(OR(B1861="",C1861="",D1861="",E1861=""),"Missing info",IF(ISNA(MATCH(B1861,Staff!$A$2:$A$101,0)),"Unknown employee",IF(H1861="?","Unknown site",IF(G1861&lt;=0,"Check times",IF(G1861&gt;12,"Over 12h",IF(COUNTIFS($L$2:$L$2001,L1861)&gt;1,"Duplicate?",IF(A1861&gt;TODAY(),"Future date","OK"))))))))</f>
        <v/>
      </c>
      <c r="L1861">
        <f>IF(A1861="","",TEXT(A1861,"yyyy-mm-dd")&amp;"|"&amp;B1861&amp;"|"&amp;C1861)</f>
        <v/>
      </c>
    </row>
    <row r="1862">
      <c r="A1862" s="4" t="n"/>
      <c r="D1862" s="5" t="n"/>
      <c r="E1862" s="5" t="n"/>
      <c r="G1862" s="6">
        <f>IF(OR(A1862="",D1862="",E1862=""),"",ROUND(MOD(E1862-D1862,1)*24-N(F1862)/60,2))</f>
        <v/>
      </c>
      <c r="H1862" s="7">
        <f>IF(C1862="","",IFERROR(INDEX(Sites!$B$2:$B$501,MATCH(C1862,Sites!$A$2:$A$501,0)),"?"))</f>
        <v/>
      </c>
      <c r="I1862" s="8">
        <f>IF(A1862="","",A1862-WEEKDAY(A1862,3))</f>
        <v/>
      </c>
      <c r="K1862" s="7">
        <f>IF(A1862="","",IF(OR(B1862="",C1862="",D1862="",E1862=""),"Missing info",IF(ISNA(MATCH(B1862,Staff!$A$2:$A$101,0)),"Unknown employee",IF(H1862="?","Unknown site",IF(G1862&lt;=0,"Check times",IF(G1862&gt;12,"Over 12h",IF(COUNTIFS($L$2:$L$2001,L1862)&gt;1,"Duplicate?",IF(A1862&gt;TODAY(),"Future date","OK"))))))))</f>
        <v/>
      </c>
      <c r="L1862">
        <f>IF(A1862="","",TEXT(A1862,"yyyy-mm-dd")&amp;"|"&amp;B1862&amp;"|"&amp;C1862)</f>
        <v/>
      </c>
    </row>
    <row r="1863">
      <c r="A1863" s="4" t="n"/>
      <c r="D1863" s="5" t="n"/>
      <c r="E1863" s="5" t="n"/>
      <c r="G1863" s="6">
        <f>IF(OR(A1863="",D1863="",E1863=""),"",ROUND(MOD(E1863-D1863,1)*24-N(F1863)/60,2))</f>
        <v/>
      </c>
      <c r="H1863" s="7">
        <f>IF(C1863="","",IFERROR(INDEX(Sites!$B$2:$B$501,MATCH(C1863,Sites!$A$2:$A$501,0)),"?"))</f>
        <v/>
      </c>
      <c r="I1863" s="8">
        <f>IF(A1863="","",A1863-WEEKDAY(A1863,3))</f>
        <v/>
      </c>
      <c r="K1863" s="7">
        <f>IF(A1863="","",IF(OR(B1863="",C1863="",D1863="",E1863=""),"Missing info",IF(ISNA(MATCH(B1863,Staff!$A$2:$A$101,0)),"Unknown employee",IF(H1863="?","Unknown site",IF(G1863&lt;=0,"Check times",IF(G1863&gt;12,"Over 12h",IF(COUNTIFS($L$2:$L$2001,L1863)&gt;1,"Duplicate?",IF(A1863&gt;TODAY(),"Future date","OK"))))))))</f>
        <v/>
      </c>
      <c r="L1863">
        <f>IF(A1863="","",TEXT(A1863,"yyyy-mm-dd")&amp;"|"&amp;B1863&amp;"|"&amp;C1863)</f>
        <v/>
      </c>
    </row>
    <row r="1864">
      <c r="A1864" s="4" t="n"/>
      <c r="D1864" s="5" t="n"/>
      <c r="E1864" s="5" t="n"/>
      <c r="G1864" s="6">
        <f>IF(OR(A1864="",D1864="",E1864=""),"",ROUND(MOD(E1864-D1864,1)*24-N(F1864)/60,2))</f>
        <v/>
      </c>
      <c r="H1864" s="7">
        <f>IF(C1864="","",IFERROR(INDEX(Sites!$B$2:$B$501,MATCH(C1864,Sites!$A$2:$A$501,0)),"?"))</f>
        <v/>
      </c>
      <c r="I1864" s="8">
        <f>IF(A1864="","",A1864-WEEKDAY(A1864,3))</f>
        <v/>
      </c>
      <c r="K1864" s="7">
        <f>IF(A1864="","",IF(OR(B1864="",C1864="",D1864="",E1864=""),"Missing info",IF(ISNA(MATCH(B1864,Staff!$A$2:$A$101,0)),"Unknown employee",IF(H1864="?","Unknown site",IF(G1864&lt;=0,"Check times",IF(G1864&gt;12,"Over 12h",IF(COUNTIFS($L$2:$L$2001,L1864)&gt;1,"Duplicate?",IF(A1864&gt;TODAY(),"Future date","OK"))))))))</f>
        <v/>
      </c>
      <c r="L1864">
        <f>IF(A1864="","",TEXT(A1864,"yyyy-mm-dd")&amp;"|"&amp;B1864&amp;"|"&amp;C1864)</f>
        <v/>
      </c>
    </row>
    <row r="1865">
      <c r="A1865" s="4" t="n"/>
      <c r="D1865" s="5" t="n"/>
      <c r="E1865" s="5" t="n"/>
      <c r="G1865" s="6">
        <f>IF(OR(A1865="",D1865="",E1865=""),"",ROUND(MOD(E1865-D1865,1)*24-N(F1865)/60,2))</f>
        <v/>
      </c>
      <c r="H1865" s="7">
        <f>IF(C1865="","",IFERROR(INDEX(Sites!$B$2:$B$501,MATCH(C1865,Sites!$A$2:$A$501,0)),"?"))</f>
        <v/>
      </c>
      <c r="I1865" s="8">
        <f>IF(A1865="","",A1865-WEEKDAY(A1865,3))</f>
        <v/>
      </c>
      <c r="K1865" s="7">
        <f>IF(A1865="","",IF(OR(B1865="",C1865="",D1865="",E1865=""),"Missing info",IF(ISNA(MATCH(B1865,Staff!$A$2:$A$101,0)),"Unknown employee",IF(H1865="?","Unknown site",IF(G1865&lt;=0,"Check times",IF(G1865&gt;12,"Over 12h",IF(COUNTIFS($L$2:$L$2001,L1865)&gt;1,"Duplicate?",IF(A1865&gt;TODAY(),"Future date","OK"))))))))</f>
        <v/>
      </c>
      <c r="L1865">
        <f>IF(A1865="","",TEXT(A1865,"yyyy-mm-dd")&amp;"|"&amp;B1865&amp;"|"&amp;C1865)</f>
        <v/>
      </c>
    </row>
    <row r="1866">
      <c r="A1866" s="4" t="n"/>
      <c r="D1866" s="5" t="n"/>
      <c r="E1866" s="5" t="n"/>
      <c r="G1866" s="6">
        <f>IF(OR(A1866="",D1866="",E1866=""),"",ROUND(MOD(E1866-D1866,1)*24-N(F1866)/60,2))</f>
        <v/>
      </c>
      <c r="H1866" s="7">
        <f>IF(C1866="","",IFERROR(INDEX(Sites!$B$2:$B$501,MATCH(C1866,Sites!$A$2:$A$501,0)),"?"))</f>
        <v/>
      </c>
      <c r="I1866" s="8">
        <f>IF(A1866="","",A1866-WEEKDAY(A1866,3))</f>
        <v/>
      </c>
      <c r="K1866" s="7">
        <f>IF(A1866="","",IF(OR(B1866="",C1866="",D1866="",E1866=""),"Missing info",IF(ISNA(MATCH(B1866,Staff!$A$2:$A$101,0)),"Unknown employee",IF(H1866="?","Unknown site",IF(G1866&lt;=0,"Check times",IF(G1866&gt;12,"Over 12h",IF(COUNTIFS($L$2:$L$2001,L1866)&gt;1,"Duplicate?",IF(A1866&gt;TODAY(),"Future date","OK"))))))))</f>
        <v/>
      </c>
      <c r="L1866">
        <f>IF(A1866="","",TEXT(A1866,"yyyy-mm-dd")&amp;"|"&amp;B1866&amp;"|"&amp;C1866)</f>
        <v/>
      </c>
    </row>
    <row r="1867">
      <c r="A1867" s="4" t="n"/>
      <c r="D1867" s="5" t="n"/>
      <c r="E1867" s="5" t="n"/>
      <c r="G1867" s="6">
        <f>IF(OR(A1867="",D1867="",E1867=""),"",ROUND(MOD(E1867-D1867,1)*24-N(F1867)/60,2))</f>
        <v/>
      </c>
      <c r="H1867" s="7">
        <f>IF(C1867="","",IFERROR(INDEX(Sites!$B$2:$B$501,MATCH(C1867,Sites!$A$2:$A$501,0)),"?"))</f>
        <v/>
      </c>
      <c r="I1867" s="8">
        <f>IF(A1867="","",A1867-WEEKDAY(A1867,3))</f>
        <v/>
      </c>
      <c r="K1867" s="7">
        <f>IF(A1867="","",IF(OR(B1867="",C1867="",D1867="",E1867=""),"Missing info",IF(ISNA(MATCH(B1867,Staff!$A$2:$A$101,0)),"Unknown employee",IF(H1867="?","Unknown site",IF(G1867&lt;=0,"Check times",IF(G1867&gt;12,"Over 12h",IF(COUNTIFS($L$2:$L$2001,L1867)&gt;1,"Duplicate?",IF(A1867&gt;TODAY(),"Future date","OK"))))))))</f>
        <v/>
      </c>
      <c r="L1867">
        <f>IF(A1867="","",TEXT(A1867,"yyyy-mm-dd")&amp;"|"&amp;B1867&amp;"|"&amp;C1867)</f>
        <v/>
      </c>
    </row>
    <row r="1868">
      <c r="A1868" s="4" t="n"/>
      <c r="D1868" s="5" t="n"/>
      <c r="E1868" s="5" t="n"/>
      <c r="G1868" s="6">
        <f>IF(OR(A1868="",D1868="",E1868=""),"",ROUND(MOD(E1868-D1868,1)*24-N(F1868)/60,2))</f>
        <v/>
      </c>
      <c r="H1868" s="7">
        <f>IF(C1868="","",IFERROR(INDEX(Sites!$B$2:$B$501,MATCH(C1868,Sites!$A$2:$A$501,0)),"?"))</f>
        <v/>
      </c>
      <c r="I1868" s="8">
        <f>IF(A1868="","",A1868-WEEKDAY(A1868,3))</f>
        <v/>
      </c>
      <c r="K1868" s="7">
        <f>IF(A1868="","",IF(OR(B1868="",C1868="",D1868="",E1868=""),"Missing info",IF(ISNA(MATCH(B1868,Staff!$A$2:$A$101,0)),"Unknown employee",IF(H1868="?","Unknown site",IF(G1868&lt;=0,"Check times",IF(G1868&gt;12,"Over 12h",IF(COUNTIFS($L$2:$L$2001,L1868)&gt;1,"Duplicate?",IF(A1868&gt;TODAY(),"Future date","OK"))))))))</f>
        <v/>
      </c>
      <c r="L1868">
        <f>IF(A1868="","",TEXT(A1868,"yyyy-mm-dd")&amp;"|"&amp;B1868&amp;"|"&amp;C1868)</f>
        <v/>
      </c>
    </row>
    <row r="1869">
      <c r="A1869" s="4" t="n"/>
      <c r="D1869" s="5" t="n"/>
      <c r="E1869" s="5" t="n"/>
      <c r="G1869" s="6">
        <f>IF(OR(A1869="",D1869="",E1869=""),"",ROUND(MOD(E1869-D1869,1)*24-N(F1869)/60,2))</f>
        <v/>
      </c>
      <c r="H1869" s="7">
        <f>IF(C1869="","",IFERROR(INDEX(Sites!$B$2:$B$501,MATCH(C1869,Sites!$A$2:$A$501,0)),"?"))</f>
        <v/>
      </c>
      <c r="I1869" s="8">
        <f>IF(A1869="","",A1869-WEEKDAY(A1869,3))</f>
        <v/>
      </c>
      <c r="K1869" s="7">
        <f>IF(A1869="","",IF(OR(B1869="",C1869="",D1869="",E1869=""),"Missing info",IF(ISNA(MATCH(B1869,Staff!$A$2:$A$101,0)),"Unknown employee",IF(H1869="?","Unknown site",IF(G1869&lt;=0,"Check times",IF(G1869&gt;12,"Over 12h",IF(COUNTIFS($L$2:$L$2001,L1869)&gt;1,"Duplicate?",IF(A1869&gt;TODAY(),"Future date","OK"))))))))</f>
        <v/>
      </c>
      <c r="L1869">
        <f>IF(A1869="","",TEXT(A1869,"yyyy-mm-dd")&amp;"|"&amp;B1869&amp;"|"&amp;C1869)</f>
        <v/>
      </c>
    </row>
    <row r="1870">
      <c r="A1870" s="4" t="n"/>
      <c r="D1870" s="5" t="n"/>
      <c r="E1870" s="5" t="n"/>
      <c r="G1870" s="6">
        <f>IF(OR(A1870="",D1870="",E1870=""),"",ROUND(MOD(E1870-D1870,1)*24-N(F1870)/60,2))</f>
        <v/>
      </c>
      <c r="H1870" s="7">
        <f>IF(C1870="","",IFERROR(INDEX(Sites!$B$2:$B$501,MATCH(C1870,Sites!$A$2:$A$501,0)),"?"))</f>
        <v/>
      </c>
      <c r="I1870" s="8">
        <f>IF(A1870="","",A1870-WEEKDAY(A1870,3))</f>
        <v/>
      </c>
      <c r="K1870" s="7">
        <f>IF(A1870="","",IF(OR(B1870="",C1870="",D1870="",E1870=""),"Missing info",IF(ISNA(MATCH(B1870,Staff!$A$2:$A$101,0)),"Unknown employee",IF(H1870="?","Unknown site",IF(G1870&lt;=0,"Check times",IF(G1870&gt;12,"Over 12h",IF(COUNTIFS($L$2:$L$2001,L1870)&gt;1,"Duplicate?",IF(A1870&gt;TODAY(),"Future date","OK"))))))))</f>
        <v/>
      </c>
      <c r="L1870">
        <f>IF(A1870="","",TEXT(A1870,"yyyy-mm-dd")&amp;"|"&amp;B1870&amp;"|"&amp;C1870)</f>
        <v/>
      </c>
    </row>
    <row r="1871">
      <c r="A1871" s="4" t="n"/>
      <c r="D1871" s="5" t="n"/>
      <c r="E1871" s="5" t="n"/>
      <c r="G1871" s="6">
        <f>IF(OR(A1871="",D1871="",E1871=""),"",ROUND(MOD(E1871-D1871,1)*24-N(F1871)/60,2))</f>
        <v/>
      </c>
      <c r="H1871" s="7">
        <f>IF(C1871="","",IFERROR(INDEX(Sites!$B$2:$B$501,MATCH(C1871,Sites!$A$2:$A$501,0)),"?"))</f>
        <v/>
      </c>
      <c r="I1871" s="8">
        <f>IF(A1871="","",A1871-WEEKDAY(A1871,3))</f>
        <v/>
      </c>
      <c r="K1871" s="7">
        <f>IF(A1871="","",IF(OR(B1871="",C1871="",D1871="",E1871=""),"Missing info",IF(ISNA(MATCH(B1871,Staff!$A$2:$A$101,0)),"Unknown employee",IF(H1871="?","Unknown site",IF(G1871&lt;=0,"Check times",IF(G1871&gt;12,"Over 12h",IF(COUNTIFS($L$2:$L$2001,L1871)&gt;1,"Duplicate?",IF(A1871&gt;TODAY(),"Future date","OK"))))))))</f>
        <v/>
      </c>
      <c r="L1871">
        <f>IF(A1871="","",TEXT(A1871,"yyyy-mm-dd")&amp;"|"&amp;B1871&amp;"|"&amp;C1871)</f>
        <v/>
      </c>
    </row>
    <row r="1872">
      <c r="A1872" s="4" t="n"/>
      <c r="D1872" s="5" t="n"/>
      <c r="E1872" s="5" t="n"/>
      <c r="G1872" s="6">
        <f>IF(OR(A1872="",D1872="",E1872=""),"",ROUND(MOD(E1872-D1872,1)*24-N(F1872)/60,2))</f>
        <v/>
      </c>
      <c r="H1872" s="7">
        <f>IF(C1872="","",IFERROR(INDEX(Sites!$B$2:$B$501,MATCH(C1872,Sites!$A$2:$A$501,0)),"?"))</f>
        <v/>
      </c>
      <c r="I1872" s="8">
        <f>IF(A1872="","",A1872-WEEKDAY(A1872,3))</f>
        <v/>
      </c>
      <c r="K1872" s="7">
        <f>IF(A1872="","",IF(OR(B1872="",C1872="",D1872="",E1872=""),"Missing info",IF(ISNA(MATCH(B1872,Staff!$A$2:$A$101,0)),"Unknown employee",IF(H1872="?","Unknown site",IF(G1872&lt;=0,"Check times",IF(G1872&gt;12,"Over 12h",IF(COUNTIFS($L$2:$L$2001,L1872)&gt;1,"Duplicate?",IF(A1872&gt;TODAY(),"Future date","OK"))))))))</f>
        <v/>
      </c>
      <c r="L1872">
        <f>IF(A1872="","",TEXT(A1872,"yyyy-mm-dd")&amp;"|"&amp;B1872&amp;"|"&amp;C1872)</f>
        <v/>
      </c>
    </row>
    <row r="1873">
      <c r="A1873" s="4" t="n"/>
      <c r="D1873" s="5" t="n"/>
      <c r="E1873" s="5" t="n"/>
      <c r="G1873" s="6">
        <f>IF(OR(A1873="",D1873="",E1873=""),"",ROUND(MOD(E1873-D1873,1)*24-N(F1873)/60,2))</f>
        <v/>
      </c>
      <c r="H1873" s="7">
        <f>IF(C1873="","",IFERROR(INDEX(Sites!$B$2:$B$501,MATCH(C1873,Sites!$A$2:$A$501,0)),"?"))</f>
        <v/>
      </c>
      <c r="I1873" s="8">
        <f>IF(A1873="","",A1873-WEEKDAY(A1873,3))</f>
        <v/>
      </c>
      <c r="K1873" s="7">
        <f>IF(A1873="","",IF(OR(B1873="",C1873="",D1873="",E1873=""),"Missing info",IF(ISNA(MATCH(B1873,Staff!$A$2:$A$101,0)),"Unknown employee",IF(H1873="?","Unknown site",IF(G1873&lt;=0,"Check times",IF(G1873&gt;12,"Over 12h",IF(COUNTIFS($L$2:$L$2001,L1873)&gt;1,"Duplicate?",IF(A1873&gt;TODAY(),"Future date","OK"))))))))</f>
        <v/>
      </c>
      <c r="L1873">
        <f>IF(A1873="","",TEXT(A1873,"yyyy-mm-dd")&amp;"|"&amp;B1873&amp;"|"&amp;C1873)</f>
        <v/>
      </c>
    </row>
    <row r="1874">
      <c r="A1874" s="4" t="n"/>
      <c r="D1874" s="5" t="n"/>
      <c r="E1874" s="5" t="n"/>
      <c r="G1874" s="6">
        <f>IF(OR(A1874="",D1874="",E1874=""),"",ROUND(MOD(E1874-D1874,1)*24-N(F1874)/60,2))</f>
        <v/>
      </c>
      <c r="H1874" s="7">
        <f>IF(C1874="","",IFERROR(INDEX(Sites!$B$2:$B$501,MATCH(C1874,Sites!$A$2:$A$501,0)),"?"))</f>
        <v/>
      </c>
      <c r="I1874" s="8">
        <f>IF(A1874="","",A1874-WEEKDAY(A1874,3))</f>
        <v/>
      </c>
      <c r="K1874" s="7">
        <f>IF(A1874="","",IF(OR(B1874="",C1874="",D1874="",E1874=""),"Missing info",IF(ISNA(MATCH(B1874,Staff!$A$2:$A$101,0)),"Unknown employee",IF(H1874="?","Unknown site",IF(G1874&lt;=0,"Check times",IF(G1874&gt;12,"Over 12h",IF(COUNTIFS($L$2:$L$2001,L1874)&gt;1,"Duplicate?",IF(A1874&gt;TODAY(),"Future date","OK"))))))))</f>
        <v/>
      </c>
      <c r="L1874">
        <f>IF(A1874="","",TEXT(A1874,"yyyy-mm-dd")&amp;"|"&amp;B1874&amp;"|"&amp;C1874)</f>
        <v/>
      </c>
    </row>
    <row r="1875">
      <c r="A1875" s="4" t="n"/>
      <c r="D1875" s="5" t="n"/>
      <c r="E1875" s="5" t="n"/>
      <c r="G1875" s="6">
        <f>IF(OR(A1875="",D1875="",E1875=""),"",ROUND(MOD(E1875-D1875,1)*24-N(F1875)/60,2))</f>
        <v/>
      </c>
      <c r="H1875" s="7">
        <f>IF(C1875="","",IFERROR(INDEX(Sites!$B$2:$B$501,MATCH(C1875,Sites!$A$2:$A$501,0)),"?"))</f>
        <v/>
      </c>
      <c r="I1875" s="8">
        <f>IF(A1875="","",A1875-WEEKDAY(A1875,3))</f>
        <v/>
      </c>
      <c r="K1875" s="7">
        <f>IF(A1875="","",IF(OR(B1875="",C1875="",D1875="",E1875=""),"Missing info",IF(ISNA(MATCH(B1875,Staff!$A$2:$A$101,0)),"Unknown employee",IF(H1875="?","Unknown site",IF(G1875&lt;=0,"Check times",IF(G1875&gt;12,"Over 12h",IF(COUNTIFS($L$2:$L$2001,L1875)&gt;1,"Duplicate?",IF(A1875&gt;TODAY(),"Future date","OK"))))))))</f>
        <v/>
      </c>
      <c r="L1875">
        <f>IF(A1875="","",TEXT(A1875,"yyyy-mm-dd")&amp;"|"&amp;B1875&amp;"|"&amp;C1875)</f>
        <v/>
      </c>
    </row>
    <row r="1876">
      <c r="A1876" s="4" t="n"/>
      <c r="D1876" s="5" t="n"/>
      <c r="E1876" s="5" t="n"/>
      <c r="G1876" s="6">
        <f>IF(OR(A1876="",D1876="",E1876=""),"",ROUND(MOD(E1876-D1876,1)*24-N(F1876)/60,2))</f>
        <v/>
      </c>
      <c r="H1876" s="7">
        <f>IF(C1876="","",IFERROR(INDEX(Sites!$B$2:$B$501,MATCH(C1876,Sites!$A$2:$A$501,0)),"?"))</f>
        <v/>
      </c>
      <c r="I1876" s="8">
        <f>IF(A1876="","",A1876-WEEKDAY(A1876,3))</f>
        <v/>
      </c>
      <c r="K1876" s="7">
        <f>IF(A1876="","",IF(OR(B1876="",C1876="",D1876="",E1876=""),"Missing info",IF(ISNA(MATCH(B1876,Staff!$A$2:$A$101,0)),"Unknown employee",IF(H1876="?","Unknown site",IF(G1876&lt;=0,"Check times",IF(G1876&gt;12,"Over 12h",IF(COUNTIFS($L$2:$L$2001,L1876)&gt;1,"Duplicate?",IF(A1876&gt;TODAY(),"Future date","OK"))))))))</f>
        <v/>
      </c>
      <c r="L1876">
        <f>IF(A1876="","",TEXT(A1876,"yyyy-mm-dd")&amp;"|"&amp;B1876&amp;"|"&amp;C1876)</f>
        <v/>
      </c>
    </row>
    <row r="1877">
      <c r="A1877" s="4" t="n"/>
      <c r="D1877" s="5" t="n"/>
      <c r="E1877" s="5" t="n"/>
      <c r="G1877" s="6">
        <f>IF(OR(A1877="",D1877="",E1877=""),"",ROUND(MOD(E1877-D1877,1)*24-N(F1877)/60,2))</f>
        <v/>
      </c>
      <c r="H1877" s="7">
        <f>IF(C1877="","",IFERROR(INDEX(Sites!$B$2:$B$501,MATCH(C1877,Sites!$A$2:$A$501,0)),"?"))</f>
        <v/>
      </c>
      <c r="I1877" s="8">
        <f>IF(A1877="","",A1877-WEEKDAY(A1877,3))</f>
        <v/>
      </c>
      <c r="K1877" s="7">
        <f>IF(A1877="","",IF(OR(B1877="",C1877="",D1877="",E1877=""),"Missing info",IF(ISNA(MATCH(B1877,Staff!$A$2:$A$101,0)),"Unknown employee",IF(H1877="?","Unknown site",IF(G1877&lt;=0,"Check times",IF(G1877&gt;12,"Over 12h",IF(COUNTIFS($L$2:$L$2001,L1877)&gt;1,"Duplicate?",IF(A1877&gt;TODAY(),"Future date","OK"))))))))</f>
        <v/>
      </c>
      <c r="L1877">
        <f>IF(A1877="","",TEXT(A1877,"yyyy-mm-dd")&amp;"|"&amp;B1877&amp;"|"&amp;C1877)</f>
        <v/>
      </c>
    </row>
    <row r="1878">
      <c r="A1878" s="4" t="n"/>
      <c r="D1878" s="5" t="n"/>
      <c r="E1878" s="5" t="n"/>
      <c r="G1878" s="6">
        <f>IF(OR(A1878="",D1878="",E1878=""),"",ROUND(MOD(E1878-D1878,1)*24-N(F1878)/60,2))</f>
        <v/>
      </c>
      <c r="H1878" s="7">
        <f>IF(C1878="","",IFERROR(INDEX(Sites!$B$2:$B$501,MATCH(C1878,Sites!$A$2:$A$501,0)),"?"))</f>
        <v/>
      </c>
      <c r="I1878" s="8">
        <f>IF(A1878="","",A1878-WEEKDAY(A1878,3))</f>
        <v/>
      </c>
      <c r="K1878" s="7">
        <f>IF(A1878="","",IF(OR(B1878="",C1878="",D1878="",E1878=""),"Missing info",IF(ISNA(MATCH(B1878,Staff!$A$2:$A$101,0)),"Unknown employee",IF(H1878="?","Unknown site",IF(G1878&lt;=0,"Check times",IF(G1878&gt;12,"Over 12h",IF(COUNTIFS($L$2:$L$2001,L1878)&gt;1,"Duplicate?",IF(A1878&gt;TODAY(),"Future date","OK"))))))))</f>
        <v/>
      </c>
      <c r="L1878">
        <f>IF(A1878="","",TEXT(A1878,"yyyy-mm-dd")&amp;"|"&amp;B1878&amp;"|"&amp;C1878)</f>
        <v/>
      </c>
    </row>
    <row r="1879">
      <c r="A1879" s="4" t="n"/>
      <c r="D1879" s="5" t="n"/>
      <c r="E1879" s="5" t="n"/>
      <c r="G1879" s="6">
        <f>IF(OR(A1879="",D1879="",E1879=""),"",ROUND(MOD(E1879-D1879,1)*24-N(F1879)/60,2))</f>
        <v/>
      </c>
      <c r="H1879" s="7">
        <f>IF(C1879="","",IFERROR(INDEX(Sites!$B$2:$B$501,MATCH(C1879,Sites!$A$2:$A$501,0)),"?"))</f>
        <v/>
      </c>
      <c r="I1879" s="8">
        <f>IF(A1879="","",A1879-WEEKDAY(A1879,3))</f>
        <v/>
      </c>
      <c r="K1879" s="7">
        <f>IF(A1879="","",IF(OR(B1879="",C1879="",D1879="",E1879=""),"Missing info",IF(ISNA(MATCH(B1879,Staff!$A$2:$A$101,0)),"Unknown employee",IF(H1879="?","Unknown site",IF(G1879&lt;=0,"Check times",IF(G1879&gt;12,"Over 12h",IF(COUNTIFS($L$2:$L$2001,L1879)&gt;1,"Duplicate?",IF(A1879&gt;TODAY(),"Future date","OK"))))))))</f>
        <v/>
      </c>
      <c r="L1879">
        <f>IF(A1879="","",TEXT(A1879,"yyyy-mm-dd")&amp;"|"&amp;B1879&amp;"|"&amp;C1879)</f>
        <v/>
      </c>
    </row>
    <row r="1880">
      <c r="A1880" s="4" t="n"/>
      <c r="D1880" s="5" t="n"/>
      <c r="E1880" s="5" t="n"/>
      <c r="G1880" s="6">
        <f>IF(OR(A1880="",D1880="",E1880=""),"",ROUND(MOD(E1880-D1880,1)*24-N(F1880)/60,2))</f>
        <v/>
      </c>
      <c r="H1880" s="7">
        <f>IF(C1880="","",IFERROR(INDEX(Sites!$B$2:$B$501,MATCH(C1880,Sites!$A$2:$A$501,0)),"?"))</f>
        <v/>
      </c>
      <c r="I1880" s="8">
        <f>IF(A1880="","",A1880-WEEKDAY(A1880,3))</f>
        <v/>
      </c>
      <c r="K1880" s="7">
        <f>IF(A1880="","",IF(OR(B1880="",C1880="",D1880="",E1880=""),"Missing info",IF(ISNA(MATCH(B1880,Staff!$A$2:$A$101,0)),"Unknown employee",IF(H1880="?","Unknown site",IF(G1880&lt;=0,"Check times",IF(G1880&gt;12,"Over 12h",IF(COUNTIFS($L$2:$L$2001,L1880)&gt;1,"Duplicate?",IF(A1880&gt;TODAY(),"Future date","OK"))))))))</f>
        <v/>
      </c>
      <c r="L1880">
        <f>IF(A1880="","",TEXT(A1880,"yyyy-mm-dd")&amp;"|"&amp;B1880&amp;"|"&amp;C1880)</f>
        <v/>
      </c>
    </row>
    <row r="1881">
      <c r="A1881" s="4" t="n"/>
      <c r="D1881" s="5" t="n"/>
      <c r="E1881" s="5" t="n"/>
      <c r="G1881" s="6">
        <f>IF(OR(A1881="",D1881="",E1881=""),"",ROUND(MOD(E1881-D1881,1)*24-N(F1881)/60,2))</f>
        <v/>
      </c>
      <c r="H1881" s="7">
        <f>IF(C1881="","",IFERROR(INDEX(Sites!$B$2:$B$501,MATCH(C1881,Sites!$A$2:$A$501,0)),"?"))</f>
        <v/>
      </c>
      <c r="I1881" s="8">
        <f>IF(A1881="","",A1881-WEEKDAY(A1881,3))</f>
        <v/>
      </c>
      <c r="K1881" s="7">
        <f>IF(A1881="","",IF(OR(B1881="",C1881="",D1881="",E1881=""),"Missing info",IF(ISNA(MATCH(B1881,Staff!$A$2:$A$101,0)),"Unknown employee",IF(H1881="?","Unknown site",IF(G1881&lt;=0,"Check times",IF(G1881&gt;12,"Over 12h",IF(COUNTIFS($L$2:$L$2001,L1881)&gt;1,"Duplicate?",IF(A1881&gt;TODAY(),"Future date","OK"))))))))</f>
        <v/>
      </c>
      <c r="L1881">
        <f>IF(A1881="","",TEXT(A1881,"yyyy-mm-dd")&amp;"|"&amp;B1881&amp;"|"&amp;C1881)</f>
        <v/>
      </c>
    </row>
    <row r="1882">
      <c r="A1882" s="4" t="n"/>
      <c r="D1882" s="5" t="n"/>
      <c r="E1882" s="5" t="n"/>
      <c r="G1882" s="6">
        <f>IF(OR(A1882="",D1882="",E1882=""),"",ROUND(MOD(E1882-D1882,1)*24-N(F1882)/60,2))</f>
        <v/>
      </c>
      <c r="H1882" s="7">
        <f>IF(C1882="","",IFERROR(INDEX(Sites!$B$2:$B$501,MATCH(C1882,Sites!$A$2:$A$501,0)),"?"))</f>
        <v/>
      </c>
      <c r="I1882" s="8">
        <f>IF(A1882="","",A1882-WEEKDAY(A1882,3))</f>
        <v/>
      </c>
      <c r="K1882" s="7">
        <f>IF(A1882="","",IF(OR(B1882="",C1882="",D1882="",E1882=""),"Missing info",IF(ISNA(MATCH(B1882,Staff!$A$2:$A$101,0)),"Unknown employee",IF(H1882="?","Unknown site",IF(G1882&lt;=0,"Check times",IF(G1882&gt;12,"Over 12h",IF(COUNTIFS($L$2:$L$2001,L1882)&gt;1,"Duplicate?",IF(A1882&gt;TODAY(),"Future date","OK"))))))))</f>
        <v/>
      </c>
      <c r="L1882">
        <f>IF(A1882="","",TEXT(A1882,"yyyy-mm-dd")&amp;"|"&amp;B1882&amp;"|"&amp;C1882)</f>
        <v/>
      </c>
    </row>
    <row r="1883">
      <c r="A1883" s="4" t="n"/>
      <c r="D1883" s="5" t="n"/>
      <c r="E1883" s="5" t="n"/>
      <c r="G1883" s="6">
        <f>IF(OR(A1883="",D1883="",E1883=""),"",ROUND(MOD(E1883-D1883,1)*24-N(F1883)/60,2))</f>
        <v/>
      </c>
      <c r="H1883" s="7">
        <f>IF(C1883="","",IFERROR(INDEX(Sites!$B$2:$B$501,MATCH(C1883,Sites!$A$2:$A$501,0)),"?"))</f>
        <v/>
      </c>
      <c r="I1883" s="8">
        <f>IF(A1883="","",A1883-WEEKDAY(A1883,3))</f>
        <v/>
      </c>
      <c r="K1883" s="7">
        <f>IF(A1883="","",IF(OR(B1883="",C1883="",D1883="",E1883=""),"Missing info",IF(ISNA(MATCH(B1883,Staff!$A$2:$A$101,0)),"Unknown employee",IF(H1883="?","Unknown site",IF(G1883&lt;=0,"Check times",IF(G1883&gt;12,"Over 12h",IF(COUNTIFS($L$2:$L$2001,L1883)&gt;1,"Duplicate?",IF(A1883&gt;TODAY(),"Future date","OK"))))))))</f>
        <v/>
      </c>
      <c r="L1883">
        <f>IF(A1883="","",TEXT(A1883,"yyyy-mm-dd")&amp;"|"&amp;B1883&amp;"|"&amp;C1883)</f>
        <v/>
      </c>
    </row>
    <row r="1884">
      <c r="A1884" s="4" t="n"/>
      <c r="D1884" s="5" t="n"/>
      <c r="E1884" s="5" t="n"/>
      <c r="G1884" s="6">
        <f>IF(OR(A1884="",D1884="",E1884=""),"",ROUND(MOD(E1884-D1884,1)*24-N(F1884)/60,2))</f>
        <v/>
      </c>
      <c r="H1884" s="7">
        <f>IF(C1884="","",IFERROR(INDEX(Sites!$B$2:$B$501,MATCH(C1884,Sites!$A$2:$A$501,0)),"?"))</f>
        <v/>
      </c>
      <c r="I1884" s="8">
        <f>IF(A1884="","",A1884-WEEKDAY(A1884,3))</f>
        <v/>
      </c>
      <c r="K1884" s="7">
        <f>IF(A1884="","",IF(OR(B1884="",C1884="",D1884="",E1884=""),"Missing info",IF(ISNA(MATCH(B1884,Staff!$A$2:$A$101,0)),"Unknown employee",IF(H1884="?","Unknown site",IF(G1884&lt;=0,"Check times",IF(G1884&gt;12,"Over 12h",IF(COUNTIFS($L$2:$L$2001,L1884)&gt;1,"Duplicate?",IF(A1884&gt;TODAY(),"Future date","OK"))))))))</f>
        <v/>
      </c>
      <c r="L1884">
        <f>IF(A1884="","",TEXT(A1884,"yyyy-mm-dd")&amp;"|"&amp;B1884&amp;"|"&amp;C1884)</f>
        <v/>
      </c>
    </row>
    <row r="1885">
      <c r="A1885" s="4" t="n"/>
      <c r="D1885" s="5" t="n"/>
      <c r="E1885" s="5" t="n"/>
      <c r="G1885" s="6">
        <f>IF(OR(A1885="",D1885="",E1885=""),"",ROUND(MOD(E1885-D1885,1)*24-N(F1885)/60,2))</f>
        <v/>
      </c>
      <c r="H1885" s="7">
        <f>IF(C1885="","",IFERROR(INDEX(Sites!$B$2:$B$501,MATCH(C1885,Sites!$A$2:$A$501,0)),"?"))</f>
        <v/>
      </c>
      <c r="I1885" s="8">
        <f>IF(A1885="","",A1885-WEEKDAY(A1885,3))</f>
        <v/>
      </c>
      <c r="K1885" s="7">
        <f>IF(A1885="","",IF(OR(B1885="",C1885="",D1885="",E1885=""),"Missing info",IF(ISNA(MATCH(B1885,Staff!$A$2:$A$101,0)),"Unknown employee",IF(H1885="?","Unknown site",IF(G1885&lt;=0,"Check times",IF(G1885&gt;12,"Over 12h",IF(COUNTIFS($L$2:$L$2001,L1885)&gt;1,"Duplicate?",IF(A1885&gt;TODAY(),"Future date","OK"))))))))</f>
        <v/>
      </c>
      <c r="L1885">
        <f>IF(A1885="","",TEXT(A1885,"yyyy-mm-dd")&amp;"|"&amp;B1885&amp;"|"&amp;C1885)</f>
        <v/>
      </c>
    </row>
    <row r="1886">
      <c r="A1886" s="4" t="n"/>
      <c r="D1886" s="5" t="n"/>
      <c r="E1886" s="5" t="n"/>
      <c r="G1886" s="6">
        <f>IF(OR(A1886="",D1886="",E1886=""),"",ROUND(MOD(E1886-D1886,1)*24-N(F1886)/60,2))</f>
        <v/>
      </c>
      <c r="H1886" s="7">
        <f>IF(C1886="","",IFERROR(INDEX(Sites!$B$2:$B$501,MATCH(C1886,Sites!$A$2:$A$501,0)),"?"))</f>
        <v/>
      </c>
      <c r="I1886" s="8">
        <f>IF(A1886="","",A1886-WEEKDAY(A1886,3))</f>
        <v/>
      </c>
      <c r="K1886" s="7">
        <f>IF(A1886="","",IF(OR(B1886="",C1886="",D1886="",E1886=""),"Missing info",IF(ISNA(MATCH(B1886,Staff!$A$2:$A$101,0)),"Unknown employee",IF(H1886="?","Unknown site",IF(G1886&lt;=0,"Check times",IF(G1886&gt;12,"Over 12h",IF(COUNTIFS($L$2:$L$2001,L1886)&gt;1,"Duplicate?",IF(A1886&gt;TODAY(),"Future date","OK"))))))))</f>
        <v/>
      </c>
      <c r="L1886">
        <f>IF(A1886="","",TEXT(A1886,"yyyy-mm-dd")&amp;"|"&amp;B1886&amp;"|"&amp;C1886)</f>
        <v/>
      </c>
    </row>
    <row r="1887">
      <c r="A1887" s="4" t="n"/>
      <c r="D1887" s="5" t="n"/>
      <c r="E1887" s="5" t="n"/>
      <c r="G1887" s="6">
        <f>IF(OR(A1887="",D1887="",E1887=""),"",ROUND(MOD(E1887-D1887,1)*24-N(F1887)/60,2))</f>
        <v/>
      </c>
      <c r="H1887" s="7">
        <f>IF(C1887="","",IFERROR(INDEX(Sites!$B$2:$B$501,MATCH(C1887,Sites!$A$2:$A$501,0)),"?"))</f>
        <v/>
      </c>
      <c r="I1887" s="8">
        <f>IF(A1887="","",A1887-WEEKDAY(A1887,3))</f>
        <v/>
      </c>
      <c r="K1887" s="7">
        <f>IF(A1887="","",IF(OR(B1887="",C1887="",D1887="",E1887=""),"Missing info",IF(ISNA(MATCH(B1887,Staff!$A$2:$A$101,0)),"Unknown employee",IF(H1887="?","Unknown site",IF(G1887&lt;=0,"Check times",IF(G1887&gt;12,"Over 12h",IF(COUNTIFS($L$2:$L$2001,L1887)&gt;1,"Duplicate?",IF(A1887&gt;TODAY(),"Future date","OK"))))))))</f>
        <v/>
      </c>
      <c r="L1887">
        <f>IF(A1887="","",TEXT(A1887,"yyyy-mm-dd")&amp;"|"&amp;B1887&amp;"|"&amp;C1887)</f>
        <v/>
      </c>
    </row>
    <row r="1888">
      <c r="A1888" s="4" t="n"/>
      <c r="D1888" s="5" t="n"/>
      <c r="E1888" s="5" t="n"/>
      <c r="G1888" s="6">
        <f>IF(OR(A1888="",D1888="",E1888=""),"",ROUND(MOD(E1888-D1888,1)*24-N(F1888)/60,2))</f>
        <v/>
      </c>
      <c r="H1888" s="7">
        <f>IF(C1888="","",IFERROR(INDEX(Sites!$B$2:$B$501,MATCH(C1888,Sites!$A$2:$A$501,0)),"?"))</f>
        <v/>
      </c>
      <c r="I1888" s="8">
        <f>IF(A1888="","",A1888-WEEKDAY(A1888,3))</f>
        <v/>
      </c>
      <c r="K1888" s="7">
        <f>IF(A1888="","",IF(OR(B1888="",C1888="",D1888="",E1888=""),"Missing info",IF(ISNA(MATCH(B1888,Staff!$A$2:$A$101,0)),"Unknown employee",IF(H1888="?","Unknown site",IF(G1888&lt;=0,"Check times",IF(G1888&gt;12,"Over 12h",IF(COUNTIFS($L$2:$L$2001,L1888)&gt;1,"Duplicate?",IF(A1888&gt;TODAY(),"Future date","OK"))))))))</f>
        <v/>
      </c>
      <c r="L1888">
        <f>IF(A1888="","",TEXT(A1888,"yyyy-mm-dd")&amp;"|"&amp;B1888&amp;"|"&amp;C1888)</f>
        <v/>
      </c>
    </row>
    <row r="1889">
      <c r="A1889" s="4" t="n"/>
      <c r="D1889" s="5" t="n"/>
      <c r="E1889" s="5" t="n"/>
      <c r="G1889" s="6">
        <f>IF(OR(A1889="",D1889="",E1889=""),"",ROUND(MOD(E1889-D1889,1)*24-N(F1889)/60,2))</f>
        <v/>
      </c>
      <c r="H1889" s="7">
        <f>IF(C1889="","",IFERROR(INDEX(Sites!$B$2:$B$501,MATCH(C1889,Sites!$A$2:$A$501,0)),"?"))</f>
        <v/>
      </c>
      <c r="I1889" s="8">
        <f>IF(A1889="","",A1889-WEEKDAY(A1889,3))</f>
        <v/>
      </c>
      <c r="K1889" s="7">
        <f>IF(A1889="","",IF(OR(B1889="",C1889="",D1889="",E1889=""),"Missing info",IF(ISNA(MATCH(B1889,Staff!$A$2:$A$101,0)),"Unknown employee",IF(H1889="?","Unknown site",IF(G1889&lt;=0,"Check times",IF(G1889&gt;12,"Over 12h",IF(COUNTIFS($L$2:$L$2001,L1889)&gt;1,"Duplicate?",IF(A1889&gt;TODAY(),"Future date","OK"))))))))</f>
        <v/>
      </c>
      <c r="L1889">
        <f>IF(A1889="","",TEXT(A1889,"yyyy-mm-dd")&amp;"|"&amp;B1889&amp;"|"&amp;C1889)</f>
        <v/>
      </c>
    </row>
    <row r="1890">
      <c r="A1890" s="4" t="n"/>
      <c r="D1890" s="5" t="n"/>
      <c r="E1890" s="5" t="n"/>
      <c r="G1890" s="6">
        <f>IF(OR(A1890="",D1890="",E1890=""),"",ROUND(MOD(E1890-D1890,1)*24-N(F1890)/60,2))</f>
        <v/>
      </c>
      <c r="H1890" s="7">
        <f>IF(C1890="","",IFERROR(INDEX(Sites!$B$2:$B$501,MATCH(C1890,Sites!$A$2:$A$501,0)),"?"))</f>
        <v/>
      </c>
      <c r="I1890" s="8">
        <f>IF(A1890="","",A1890-WEEKDAY(A1890,3))</f>
        <v/>
      </c>
      <c r="K1890" s="7">
        <f>IF(A1890="","",IF(OR(B1890="",C1890="",D1890="",E1890=""),"Missing info",IF(ISNA(MATCH(B1890,Staff!$A$2:$A$101,0)),"Unknown employee",IF(H1890="?","Unknown site",IF(G1890&lt;=0,"Check times",IF(G1890&gt;12,"Over 12h",IF(COUNTIFS($L$2:$L$2001,L1890)&gt;1,"Duplicate?",IF(A1890&gt;TODAY(),"Future date","OK"))))))))</f>
        <v/>
      </c>
      <c r="L1890">
        <f>IF(A1890="","",TEXT(A1890,"yyyy-mm-dd")&amp;"|"&amp;B1890&amp;"|"&amp;C1890)</f>
        <v/>
      </c>
    </row>
    <row r="1891">
      <c r="A1891" s="4" t="n"/>
      <c r="D1891" s="5" t="n"/>
      <c r="E1891" s="5" t="n"/>
      <c r="G1891" s="6">
        <f>IF(OR(A1891="",D1891="",E1891=""),"",ROUND(MOD(E1891-D1891,1)*24-N(F1891)/60,2))</f>
        <v/>
      </c>
      <c r="H1891" s="7">
        <f>IF(C1891="","",IFERROR(INDEX(Sites!$B$2:$B$501,MATCH(C1891,Sites!$A$2:$A$501,0)),"?"))</f>
        <v/>
      </c>
      <c r="I1891" s="8">
        <f>IF(A1891="","",A1891-WEEKDAY(A1891,3))</f>
        <v/>
      </c>
      <c r="K1891" s="7">
        <f>IF(A1891="","",IF(OR(B1891="",C1891="",D1891="",E1891=""),"Missing info",IF(ISNA(MATCH(B1891,Staff!$A$2:$A$101,0)),"Unknown employee",IF(H1891="?","Unknown site",IF(G1891&lt;=0,"Check times",IF(G1891&gt;12,"Over 12h",IF(COUNTIFS($L$2:$L$2001,L1891)&gt;1,"Duplicate?",IF(A1891&gt;TODAY(),"Future date","OK"))))))))</f>
        <v/>
      </c>
      <c r="L1891">
        <f>IF(A1891="","",TEXT(A1891,"yyyy-mm-dd")&amp;"|"&amp;B1891&amp;"|"&amp;C1891)</f>
        <v/>
      </c>
    </row>
    <row r="1892">
      <c r="A1892" s="4" t="n"/>
      <c r="D1892" s="5" t="n"/>
      <c r="E1892" s="5" t="n"/>
      <c r="G1892" s="6">
        <f>IF(OR(A1892="",D1892="",E1892=""),"",ROUND(MOD(E1892-D1892,1)*24-N(F1892)/60,2))</f>
        <v/>
      </c>
      <c r="H1892" s="7">
        <f>IF(C1892="","",IFERROR(INDEX(Sites!$B$2:$B$501,MATCH(C1892,Sites!$A$2:$A$501,0)),"?"))</f>
        <v/>
      </c>
      <c r="I1892" s="8">
        <f>IF(A1892="","",A1892-WEEKDAY(A1892,3))</f>
        <v/>
      </c>
      <c r="K1892" s="7">
        <f>IF(A1892="","",IF(OR(B1892="",C1892="",D1892="",E1892=""),"Missing info",IF(ISNA(MATCH(B1892,Staff!$A$2:$A$101,0)),"Unknown employee",IF(H1892="?","Unknown site",IF(G1892&lt;=0,"Check times",IF(G1892&gt;12,"Over 12h",IF(COUNTIFS($L$2:$L$2001,L1892)&gt;1,"Duplicate?",IF(A1892&gt;TODAY(),"Future date","OK"))))))))</f>
        <v/>
      </c>
      <c r="L1892">
        <f>IF(A1892="","",TEXT(A1892,"yyyy-mm-dd")&amp;"|"&amp;B1892&amp;"|"&amp;C1892)</f>
        <v/>
      </c>
    </row>
    <row r="1893">
      <c r="A1893" s="4" t="n"/>
      <c r="D1893" s="5" t="n"/>
      <c r="E1893" s="5" t="n"/>
      <c r="G1893" s="6">
        <f>IF(OR(A1893="",D1893="",E1893=""),"",ROUND(MOD(E1893-D1893,1)*24-N(F1893)/60,2))</f>
        <v/>
      </c>
      <c r="H1893" s="7">
        <f>IF(C1893="","",IFERROR(INDEX(Sites!$B$2:$B$501,MATCH(C1893,Sites!$A$2:$A$501,0)),"?"))</f>
        <v/>
      </c>
      <c r="I1893" s="8">
        <f>IF(A1893="","",A1893-WEEKDAY(A1893,3))</f>
        <v/>
      </c>
      <c r="K1893" s="7">
        <f>IF(A1893="","",IF(OR(B1893="",C1893="",D1893="",E1893=""),"Missing info",IF(ISNA(MATCH(B1893,Staff!$A$2:$A$101,0)),"Unknown employee",IF(H1893="?","Unknown site",IF(G1893&lt;=0,"Check times",IF(G1893&gt;12,"Over 12h",IF(COUNTIFS($L$2:$L$2001,L1893)&gt;1,"Duplicate?",IF(A1893&gt;TODAY(),"Future date","OK"))))))))</f>
        <v/>
      </c>
      <c r="L1893">
        <f>IF(A1893="","",TEXT(A1893,"yyyy-mm-dd")&amp;"|"&amp;B1893&amp;"|"&amp;C1893)</f>
        <v/>
      </c>
    </row>
    <row r="1894">
      <c r="A1894" s="4" t="n"/>
      <c r="D1894" s="5" t="n"/>
      <c r="E1894" s="5" t="n"/>
      <c r="G1894" s="6">
        <f>IF(OR(A1894="",D1894="",E1894=""),"",ROUND(MOD(E1894-D1894,1)*24-N(F1894)/60,2))</f>
        <v/>
      </c>
      <c r="H1894" s="7">
        <f>IF(C1894="","",IFERROR(INDEX(Sites!$B$2:$B$501,MATCH(C1894,Sites!$A$2:$A$501,0)),"?"))</f>
        <v/>
      </c>
      <c r="I1894" s="8">
        <f>IF(A1894="","",A1894-WEEKDAY(A1894,3))</f>
        <v/>
      </c>
      <c r="K1894" s="7">
        <f>IF(A1894="","",IF(OR(B1894="",C1894="",D1894="",E1894=""),"Missing info",IF(ISNA(MATCH(B1894,Staff!$A$2:$A$101,0)),"Unknown employee",IF(H1894="?","Unknown site",IF(G1894&lt;=0,"Check times",IF(G1894&gt;12,"Over 12h",IF(COUNTIFS($L$2:$L$2001,L1894)&gt;1,"Duplicate?",IF(A1894&gt;TODAY(),"Future date","OK"))))))))</f>
        <v/>
      </c>
      <c r="L1894">
        <f>IF(A1894="","",TEXT(A1894,"yyyy-mm-dd")&amp;"|"&amp;B1894&amp;"|"&amp;C1894)</f>
        <v/>
      </c>
    </row>
    <row r="1895">
      <c r="A1895" s="4" t="n"/>
      <c r="D1895" s="5" t="n"/>
      <c r="E1895" s="5" t="n"/>
      <c r="G1895" s="6">
        <f>IF(OR(A1895="",D1895="",E1895=""),"",ROUND(MOD(E1895-D1895,1)*24-N(F1895)/60,2))</f>
        <v/>
      </c>
      <c r="H1895" s="7">
        <f>IF(C1895="","",IFERROR(INDEX(Sites!$B$2:$B$501,MATCH(C1895,Sites!$A$2:$A$501,0)),"?"))</f>
        <v/>
      </c>
      <c r="I1895" s="8">
        <f>IF(A1895="","",A1895-WEEKDAY(A1895,3))</f>
        <v/>
      </c>
      <c r="K1895" s="7">
        <f>IF(A1895="","",IF(OR(B1895="",C1895="",D1895="",E1895=""),"Missing info",IF(ISNA(MATCH(B1895,Staff!$A$2:$A$101,0)),"Unknown employee",IF(H1895="?","Unknown site",IF(G1895&lt;=0,"Check times",IF(G1895&gt;12,"Over 12h",IF(COUNTIFS($L$2:$L$2001,L1895)&gt;1,"Duplicate?",IF(A1895&gt;TODAY(),"Future date","OK"))))))))</f>
        <v/>
      </c>
      <c r="L1895">
        <f>IF(A1895="","",TEXT(A1895,"yyyy-mm-dd")&amp;"|"&amp;B1895&amp;"|"&amp;C1895)</f>
        <v/>
      </c>
    </row>
    <row r="1896">
      <c r="A1896" s="4" t="n"/>
      <c r="D1896" s="5" t="n"/>
      <c r="E1896" s="5" t="n"/>
      <c r="G1896" s="6">
        <f>IF(OR(A1896="",D1896="",E1896=""),"",ROUND(MOD(E1896-D1896,1)*24-N(F1896)/60,2))</f>
        <v/>
      </c>
      <c r="H1896" s="7">
        <f>IF(C1896="","",IFERROR(INDEX(Sites!$B$2:$B$501,MATCH(C1896,Sites!$A$2:$A$501,0)),"?"))</f>
        <v/>
      </c>
      <c r="I1896" s="8">
        <f>IF(A1896="","",A1896-WEEKDAY(A1896,3))</f>
        <v/>
      </c>
      <c r="K1896" s="7">
        <f>IF(A1896="","",IF(OR(B1896="",C1896="",D1896="",E1896=""),"Missing info",IF(ISNA(MATCH(B1896,Staff!$A$2:$A$101,0)),"Unknown employee",IF(H1896="?","Unknown site",IF(G1896&lt;=0,"Check times",IF(G1896&gt;12,"Over 12h",IF(COUNTIFS($L$2:$L$2001,L1896)&gt;1,"Duplicate?",IF(A1896&gt;TODAY(),"Future date","OK"))))))))</f>
        <v/>
      </c>
      <c r="L1896">
        <f>IF(A1896="","",TEXT(A1896,"yyyy-mm-dd")&amp;"|"&amp;B1896&amp;"|"&amp;C1896)</f>
        <v/>
      </c>
    </row>
    <row r="1897">
      <c r="A1897" s="4" t="n"/>
      <c r="D1897" s="5" t="n"/>
      <c r="E1897" s="5" t="n"/>
      <c r="G1897" s="6">
        <f>IF(OR(A1897="",D1897="",E1897=""),"",ROUND(MOD(E1897-D1897,1)*24-N(F1897)/60,2))</f>
        <v/>
      </c>
      <c r="H1897" s="7">
        <f>IF(C1897="","",IFERROR(INDEX(Sites!$B$2:$B$501,MATCH(C1897,Sites!$A$2:$A$501,0)),"?"))</f>
        <v/>
      </c>
      <c r="I1897" s="8">
        <f>IF(A1897="","",A1897-WEEKDAY(A1897,3))</f>
        <v/>
      </c>
      <c r="K1897" s="7">
        <f>IF(A1897="","",IF(OR(B1897="",C1897="",D1897="",E1897=""),"Missing info",IF(ISNA(MATCH(B1897,Staff!$A$2:$A$101,0)),"Unknown employee",IF(H1897="?","Unknown site",IF(G1897&lt;=0,"Check times",IF(G1897&gt;12,"Over 12h",IF(COUNTIFS($L$2:$L$2001,L1897)&gt;1,"Duplicate?",IF(A1897&gt;TODAY(),"Future date","OK"))))))))</f>
        <v/>
      </c>
      <c r="L1897">
        <f>IF(A1897="","",TEXT(A1897,"yyyy-mm-dd")&amp;"|"&amp;B1897&amp;"|"&amp;C1897)</f>
        <v/>
      </c>
    </row>
    <row r="1898">
      <c r="A1898" s="4" t="n"/>
      <c r="D1898" s="5" t="n"/>
      <c r="E1898" s="5" t="n"/>
      <c r="G1898" s="6">
        <f>IF(OR(A1898="",D1898="",E1898=""),"",ROUND(MOD(E1898-D1898,1)*24-N(F1898)/60,2))</f>
        <v/>
      </c>
      <c r="H1898" s="7">
        <f>IF(C1898="","",IFERROR(INDEX(Sites!$B$2:$B$501,MATCH(C1898,Sites!$A$2:$A$501,0)),"?"))</f>
        <v/>
      </c>
      <c r="I1898" s="8">
        <f>IF(A1898="","",A1898-WEEKDAY(A1898,3))</f>
        <v/>
      </c>
      <c r="K1898" s="7">
        <f>IF(A1898="","",IF(OR(B1898="",C1898="",D1898="",E1898=""),"Missing info",IF(ISNA(MATCH(B1898,Staff!$A$2:$A$101,0)),"Unknown employee",IF(H1898="?","Unknown site",IF(G1898&lt;=0,"Check times",IF(G1898&gt;12,"Over 12h",IF(COUNTIFS($L$2:$L$2001,L1898)&gt;1,"Duplicate?",IF(A1898&gt;TODAY(),"Future date","OK"))))))))</f>
        <v/>
      </c>
      <c r="L1898">
        <f>IF(A1898="","",TEXT(A1898,"yyyy-mm-dd")&amp;"|"&amp;B1898&amp;"|"&amp;C1898)</f>
        <v/>
      </c>
    </row>
    <row r="1899">
      <c r="A1899" s="4" t="n"/>
      <c r="D1899" s="5" t="n"/>
      <c r="E1899" s="5" t="n"/>
      <c r="G1899" s="6">
        <f>IF(OR(A1899="",D1899="",E1899=""),"",ROUND(MOD(E1899-D1899,1)*24-N(F1899)/60,2))</f>
        <v/>
      </c>
      <c r="H1899" s="7">
        <f>IF(C1899="","",IFERROR(INDEX(Sites!$B$2:$B$501,MATCH(C1899,Sites!$A$2:$A$501,0)),"?"))</f>
        <v/>
      </c>
      <c r="I1899" s="8">
        <f>IF(A1899="","",A1899-WEEKDAY(A1899,3))</f>
        <v/>
      </c>
      <c r="K1899" s="7">
        <f>IF(A1899="","",IF(OR(B1899="",C1899="",D1899="",E1899=""),"Missing info",IF(ISNA(MATCH(B1899,Staff!$A$2:$A$101,0)),"Unknown employee",IF(H1899="?","Unknown site",IF(G1899&lt;=0,"Check times",IF(G1899&gt;12,"Over 12h",IF(COUNTIFS($L$2:$L$2001,L1899)&gt;1,"Duplicate?",IF(A1899&gt;TODAY(),"Future date","OK"))))))))</f>
        <v/>
      </c>
      <c r="L1899">
        <f>IF(A1899="","",TEXT(A1899,"yyyy-mm-dd")&amp;"|"&amp;B1899&amp;"|"&amp;C1899)</f>
        <v/>
      </c>
    </row>
    <row r="1900">
      <c r="A1900" s="4" t="n"/>
      <c r="D1900" s="5" t="n"/>
      <c r="E1900" s="5" t="n"/>
      <c r="G1900" s="6">
        <f>IF(OR(A1900="",D1900="",E1900=""),"",ROUND(MOD(E1900-D1900,1)*24-N(F1900)/60,2))</f>
        <v/>
      </c>
      <c r="H1900" s="7">
        <f>IF(C1900="","",IFERROR(INDEX(Sites!$B$2:$B$501,MATCH(C1900,Sites!$A$2:$A$501,0)),"?"))</f>
        <v/>
      </c>
      <c r="I1900" s="8">
        <f>IF(A1900="","",A1900-WEEKDAY(A1900,3))</f>
        <v/>
      </c>
      <c r="K1900" s="7">
        <f>IF(A1900="","",IF(OR(B1900="",C1900="",D1900="",E1900=""),"Missing info",IF(ISNA(MATCH(B1900,Staff!$A$2:$A$101,0)),"Unknown employee",IF(H1900="?","Unknown site",IF(G1900&lt;=0,"Check times",IF(G1900&gt;12,"Over 12h",IF(COUNTIFS($L$2:$L$2001,L1900)&gt;1,"Duplicate?",IF(A1900&gt;TODAY(),"Future date","OK"))))))))</f>
        <v/>
      </c>
      <c r="L1900">
        <f>IF(A1900="","",TEXT(A1900,"yyyy-mm-dd")&amp;"|"&amp;B1900&amp;"|"&amp;C1900)</f>
        <v/>
      </c>
    </row>
    <row r="1901">
      <c r="A1901" s="4" t="n"/>
      <c r="D1901" s="5" t="n"/>
      <c r="E1901" s="5" t="n"/>
      <c r="G1901" s="6">
        <f>IF(OR(A1901="",D1901="",E1901=""),"",ROUND(MOD(E1901-D1901,1)*24-N(F1901)/60,2))</f>
        <v/>
      </c>
      <c r="H1901" s="7">
        <f>IF(C1901="","",IFERROR(INDEX(Sites!$B$2:$B$501,MATCH(C1901,Sites!$A$2:$A$501,0)),"?"))</f>
        <v/>
      </c>
      <c r="I1901" s="8">
        <f>IF(A1901="","",A1901-WEEKDAY(A1901,3))</f>
        <v/>
      </c>
      <c r="K1901" s="7">
        <f>IF(A1901="","",IF(OR(B1901="",C1901="",D1901="",E1901=""),"Missing info",IF(ISNA(MATCH(B1901,Staff!$A$2:$A$101,0)),"Unknown employee",IF(H1901="?","Unknown site",IF(G1901&lt;=0,"Check times",IF(G1901&gt;12,"Over 12h",IF(COUNTIFS($L$2:$L$2001,L1901)&gt;1,"Duplicate?",IF(A1901&gt;TODAY(),"Future date","OK"))))))))</f>
        <v/>
      </c>
      <c r="L1901">
        <f>IF(A1901="","",TEXT(A1901,"yyyy-mm-dd")&amp;"|"&amp;B1901&amp;"|"&amp;C1901)</f>
        <v/>
      </c>
    </row>
    <row r="1902">
      <c r="A1902" s="4" t="n"/>
      <c r="D1902" s="5" t="n"/>
      <c r="E1902" s="5" t="n"/>
      <c r="G1902" s="6">
        <f>IF(OR(A1902="",D1902="",E1902=""),"",ROUND(MOD(E1902-D1902,1)*24-N(F1902)/60,2))</f>
        <v/>
      </c>
      <c r="H1902" s="7">
        <f>IF(C1902="","",IFERROR(INDEX(Sites!$B$2:$B$501,MATCH(C1902,Sites!$A$2:$A$501,0)),"?"))</f>
        <v/>
      </c>
      <c r="I1902" s="8">
        <f>IF(A1902="","",A1902-WEEKDAY(A1902,3))</f>
        <v/>
      </c>
      <c r="K1902" s="7">
        <f>IF(A1902="","",IF(OR(B1902="",C1902="",D1902="",E1902=""),"Missing info",IF(ISNA(MATCH(B1902,Staff!$A$2:$A$101,0)),"Unknown employee",IF(H1902="?","Unknown site",IF(G1902&lt;=0,"Check times",IF(G1902&gt;12,"Over 12h",IF(COUNTIFS($L$2:$L$2001,L1902)&gt;1,"Duplicate?",IF(A1902&gt;TODAY(),"Future date","OK"))))))))</f>
        <v/>
      </c>
      <c r="L1902">
        <f>IF(A1902="","",TEXT(A1902,"yyyy-mm-dd")&amp;"|"&amp;B1902&amp;"|"&amp;C1902)</f>
        <v/>
      </c>
    </row>
    <row r="1903">
      <c r="A1903" s="4" t="n"/>
      <c r="D1903" s="5" t="n"/>
      <c r="E1903" s="5" t="n"/>
      <c r="G1903" s="6">
        <f>IF(OR(A1903="",D1903="",E1903=""),"",ROUND(MOD(E1903-D1903,1)*24-N(F1903)/60,2))</f>
        <v/>
      </c>
      <c r="H1903" s="7">
        <f>IF(C1903="","",IFERROR(INDEX(Sites!$B$2:$B$501,MATCH(C1903,Sites!$A$2:$A$501,0)),"?"))</f>
        <v/>
      </c>
      <c r="I1903" s="8">
        <f>IF(A1903="","",A1903-WEEKDAY(A1903,3))</f>
        <v/>
      </c>
      <c r="K1903" s="7">
        <f>IF(A1903="","",IF(OR(B1903="",C1903="",D1903="",E1903=""),"Missing info",IF(ISNA(MATCH(B1903,Staff!$A$2:$A$101,0)),"Unknown employee",IF(H1903="?","Unknown site",IF(G1903&lt;=0,"Check times",IF(G1903&gt;12,"Over 12h",IF(COUNTIFS($L$2:$L$2001,L1903)&gt;1,"Duplicate?",IF(A1903&gt;TODAY(),"Future date","OK"))))))))</f>
        <v/>
      </c>
      <c r="L1903">
        <f>IF(A1903="","",TEXT(A1903,"yyyy-mm-dd")&amp;"|"&amp;B1903&amp;"|"&amp;C1903)</f>
        <v/>
      </c>
    </row>
    <row r="1904">
      <c r="A1904" s="4" t="n"/>
      <c r="D1904" s="5" t="n"/>
      <c r="E1904" s="5" t="n"/>
      <c r="G1904" s="6">
        <f>IF(OR(A1904="",D1904="",E1904=""),"",ROUND(MOD(E1904-D1904,1)*24-N(F1904)/60,2))</f>
        <v/>
      </c>
      <c r="H1904" s="7">
        <f>IF(C1904="","",IFERROR(INDEX(Sites!$B$2:$B$501,MATCH(C1904,Sites!$A$2:$A$501,0)),"?"))</f>
        <v/>
      </c>
      <c r="I1904" s="8">
        <f>IF(A1904="","",A1904-WEEKDAY(A1904,3))</f>
        <v/>
      </c>
      <c r="K1904" s="7">
        <f>IF(A1904="","",IF(OR(B1904="",C1904="",D1904="",E1904=""),"Missing info",IF(ISNA(MATCH(B1904,Staff!$A$2:$A$101,0)),"Unknown employee",IF(H1904="?","Unknown site",IF(G1904&lt;=0,"Check times",IF(G1904&gt;12,"Over 12h",IF(COUNTIFS($L$2:$L$2001,L1904)&gt;1,"Duplicate?",IF(A1904&gt;TODAY(),"Future date","OK"))))))))</f>
        <v/>
      </c>
      <c r="L1904">
        <f>IF(A1904="","",TEXT(A1904,"yyyy-mm-dd")&amp;"|"&amp;B1904&amp;"|"&amp;C1904)</f>
        <v/>
      </c>
    </row>
    <row r="1905">
      <c r="A1905" s="4" t="n"/>
      <c r="D1905" s="5" t="n"/>
      <c r="E1905" s="5" t="n"/>
      <c r="G1905" s="6">
        <f>IF(OR(A1905="",D1905="",E1905=""),"",ROUND(MOD(E1905-D1905,1)*24-N(F1905)/60,2))</f>
        <v/>
      </c>
      <c r="H1905" s="7">
        <f>IF(C1905="","",IFERROR(INDEX(Sites!$B$2:$B$501,MATCH(C1905,Sites!$A$2:$A$501,0)),"?"))</f>
        <v/>
      </c>
      <c r="I1905" s="8">
        <f>IF(A1905="","",A1905-WEEKDAY(A1905,3))</f>
        <v/>
      </c>
      <c r="K1905" s="7">
        <f>IF(A1905="","",IF(OR(B1905="",C1905="",D1905="",E1905=""),"Missing info",IF(ISNA(MATCH(B1905,Staff!$A$2:$A$101,0)),"Unknown employee",IF(H1905="?","Unknown site",IF(G1905&lt;=0,"Check times",IF(G1905&gt;12,"Over 12h",IF(COUNTIFS($L$2:$L$2001,L1905)&gt;1,"Duplicate?",IF(A1905&gt;TODAY(),"Future date","OK"))))))))</f>
        <v/>
      </c>
      <c r="L1905">
        <f>IF(A1905="","",TEXT(A1905,"yyyy-mm-dd")&amp;"|"&amp;B1905&amp;"|"&amp;C1905)</f>
        <v/>
      </c>
    </row>
    <row r="1906">
      <c r="A1906" s="4" t="n"/>
      <c r="D1906" s="5" t="n"/>
      <c r="E1906" s="5" t="n"/>
      <c r="G1906" s="6">
        <f>IF(OR(A1906="",D1906="",E1906=""),"",ROUND(MOD(E1906-D1906,1)*24-N(F1906)/60,2))</f>
        <v/>
      </c>
      <c r="H1906" s="7">
        <f>IF(C1906="","",IFERROR(INDEX(Sites!$B$2:$B$501,MATCH(C1906,Sites!$A$2:$A$501,0)),"?"))</f>
        <v/>
      </c>
      <c r="I1906" s="8">
        <f>IF(A1906="","",A1906-WEEKDAY(A1906,3))</f>
        <v/>
      </c>
      <c r="K1906" s="7">
        <f>IF(A1906="","",IF(OR(B1906="",C1906="",D1906="",E1906=""),"Missing info",IF(ISNA(MATCH(B1906,Staff!$A$2:$A$101,0)),"Unknown employee",IF(H1906="?","Unknown site",IF(G1906&lt;=0,"Check times",IF(G1906&gt;12,"Over 12h",IF(COUNTIFS($L$2:$L$2001,L1906)&gt;1,"Duplicate?",IF(A1906&gt;TODAY(),"Future date","OK"))))))))</f>
        <v/>
      </c>
      <c r="L1906">
        <f>IF(A1906="","",TEXT(A1906,"yyyy-mm-dd")&amp;"|"&amp;B1906&amp;"|"&amp;C1906)</f>
        <v/>
      </c>
    </row>
    <row r="1907">
      <c r="A1907" s="4" t="n"/>
      <c r="D1907" s="5" t="n"/>
      <c r="E1907" s="5" t="n"/>
      <c r="G1907" s="6">
        <f>IF(OR(A1907="",D1907="",E1907=""),"",ROUND(MOD(E1907-D1907,1)*24-N(F1907)/60,2))</f>
        <v/>
      </c>
      <c r="H1907" s="7">
        <f>IF(C1907="","",IFERROR(INDEX(Sites!$B$2:$B$501,MATCH(C1907,Sites!$A$2:$A$501,0)),"?"))</f>
        <v/>
      </c>
      <c r="I1907" s="8">
        <f>IF(A1907="","",A1907-WEEKDAY(A1907,3))</f>
        <v/>
      </c>
      <c r="K1907" s="7">
        <f>IF(A1907="","",IF(OR(B1907="",C1907="",D1907="",E1907=""),"Missing info",IF(ISNA(MATCH(B1907,Staff!$A$2:$A$101,0)),"Unknown employee",IF(H1907="?","Unknown site",IF(G1907&lt;=0,"Check times",IF(G1907&gt;12,"Over 12h",IF(COUNTIFS($L$2:$L$2001,L1907)&gt;1,"Duplicate?",IF(A1907&gt;TODAY(),"Future date","OK"))))))))</f>
        <v/>
      </c>
      <c r="L1907">
        <f>IF(A1907="","",TEXT(A1907,"yyyy-mm-dd")&amp;"|"&amp;B1907&amp;"|"&amp;C1907)</f>
        <v/>
      </c>
    </row>
    <row r="1908">
      <c r="A1908" s="4" t="n"/>
      <c r="D1908" s="5" t="n"/>
      <c r="E1908" s="5" t="n"/>
      <c r="G1908" s="6">
        <f>IF(OR(A1908="",D1908="",E1908=""),"",ROUND(MOD(E1908-D1908,1)*24-N(F1908)/60,2))</f>
        <v/>
      </c>
      <c r="H1908" s="7">
        <f>IF(C1908="","",IFERROR(INDEX(Sites!$B$2:$B$501,MATCH(C1908,Sites!$A$2:$A$501,0)),"?"))</f>
        <v/>
      </c>
      <c r="I1908" s="8">
        <f>IF(A1908="","",A1908-WEEKDAY(A1908,3))</f>
        <v/>
      </c>
      <c r="K1908" s="7">
        <f>IF(A1908="","",IF(OR(B1908="",C1908="",D1908="",E1908=""),"Missing info",IF(ISNA(MATCH(B1908,Staff!$A$2:$A$101,0)),"Unknown employee",IF(H1908="?","Unknown site",IF(G1908&lt;=0,"Check times",IF(G1908&gt;12,"Over 12h",IF(COUNTIFS($L$2:$L$2001,L1908)&gt;1,"Duplicate?",IF(A1908&gt;TODAY(),"Future date","OK"))))))))</f>
        <v/>
      </c>
      <c r="L1908">
        <f>IF(A1908="","",TEXT(A1908,"yyyy-mm-dd")&amp;"|"&amp;B1908&amp;"|"&amp;C1908)</f>
        <v/>
      </c>
    </row>
    <row r="1909">
      <c r="A1909" s="4" t="n"/>
      <c r="D1909" s="5" t="n"/>
      <c r="E1909" s="5" t="n"/>
      <c r="G1909" s="6">
        <f>IF(OR(A1909="",D1909="",E1909=""),"",ROUND(MOD(E1909-D1909,1)*24-N(F1909)/60,2))</f>
        <v/>
      </c>
      <c r="H1909" s="7">
        <f>IF(C1909="","",IFERROR(INDEX(Sites!$B$2:$B$501,MATCH(C1909,Sites!$A$2:$A$501,0)),"?"))</f>
        <v/>
      </c>
      <c r="I1909" s="8">
        <f>IF(A1909="","",A1909-WEEKDAY(A1909,3))</f>
        <v/>
      </c>
      <c r="K1909" s="7">
        <f>IF(A1909="","",IF(OR(B1909="",C1909="",D1909="",E1909=""),"Missing info",IF(ISNA(MATCH(B1909,Staff!$A$2:$A$101,0)),"Unknown employee",IF(H1909="?","Unknown site",IF(G1909&lt;=0,"Check times",IF(G1909&gt;12,"Over 12h",IF(COUNTIFS($L$2:$L$2001,L1909)&gt;1,"Duplicate?",IF(A1909&gt;TODAY(),"Future date","OK"))))))))</f>
        <v/>
      </c>
      <c r="L1909">
        <f>IF(A1909="","",TEXT(A1909,"yyyy-mm-dd")&amp;"|"&amp;B1909&amp;"|"&amp;C1909)</f>
        <v/>
      </c>
    </row>
    <row r="1910">
      <c r="A1910" s="4" t="n"/>
      <c r="D1910" s="5" t="n"/>
      <c r="E1910" s="5" t="n"/>
      <c r="G1910" s="6">
        <f>IF(OR(A1910="",D1910="",E1910=""),"",ROUND(MOD(E1910-D1910,1)*24-N(F1910)/60,2))</f>
        <v/>
      </c>
      <c r="H1910" s="7">
        <f>IF(C1910="","",IFERROR(INDEX(Sites!$B$2:$B$501,MATCH(C1910,Sites!$A$2:$A$501,0)),"?"))</f>
        <v/>
      </c>
      <c r="I1910" s="8">
        <f>IF(A1910="","",A1910-WEEKDAY(A1910,3))</f>
        <v/>
      </c>
      <c r="K1910" s="7">
        <f>IF(A1910="","",IF(OR(B1910="",C1910="",D1910="",E1910=""),"Missing info",IF(ISNA(MATCH(B1910,Staff!$A$2:$A$101,0)),"Unknown employee",IF(H1910="?","Unknown site",IF(G1910&lt;=0,"Check times",IF(G1910&gt;12,"Over 12h",IF(COUNTIFS($L$2:$L$2001,L1910)&gt;1,"Duplicate?",IF(A1910&gt;TODAY(),"Future date","OK"))))))))</f>
        <v/>
      </c>
      <c r="L1910">
        <f>IF(A1910="","",TEXT(A1910,"yyyy-mm-dd")&amp;"|"&amp;B1910&amp;"|"&amp;C1910)</f>
        <v/>
      </c>
    </row>
    <row r="1911">
      <c r="A1911" s="4" t="n"/>
      <c r="D1911" s="5" t="n"/>
      <c r="E1911" s="5" t="n"/>
      <c r="G1911" s="6">
        <f>IF(OR(A1911="",D1911="",E1911=""),"",ROUND(MOD(E1911-D1911,1)*24-N(F1911)/60,2))</f>
        <v/>
      </c>
      <c r="H1911" s="7">
        <f>IF(C1911="","",IFERROR(INDEX(Sites!$B$2:$B$501,MATCH(C1911,Sites!$A$2:$A$501,0)),"?"))</f>
        <v/>
      </c>
      <c r="I1911" s="8">
        <f>IF(A1911="","",A1911-WEEKDAY(A1911,3))</f>
        <v/>
      </c>
      <c r="K1911" s="7">
        <f>IF(A1911="","",IF(OR(B1911="",C1911="",D1911="",E1911=""),"Missing info",IF(ISNA(MATCH(B1911,Staff!$A$2:$A$101,0)),"Unknown employee",IF(H1911="?","Unknown site",IF(G1911&lt;=0,"Check times",IF(G1911&gt;12,"Over 12h",IF(COUNTIFS($L$2:$L$2001,L1911)&gt;1,"Duplicate?",IF(A1911&gt;TODAY(),"Future date","OK"))))))))</f>
        <v/>
      </c>
      <c r="L1911">
        <f>IF(A1911="","",TEXT(A1911,"yyyy-mm-dd")&amp;"|"&amp;B1911&amp;"|"&amp;C1911)</f>
        <v/>
      </c>
    </row>
    <row r="1912">
      <c r="A1912" s="4" t="n"/>
      <c r="D1912" s="5" t="n"/>
      <c r="E1912" s="5" t="n"/>
      <c r="G1912" s="6">
        <f>IF(OR(A1912="",D1912="",E1912=""),"",ROUND(MOD(E1912-D1912,1)*24-N(F1912)/60,2))</f>
        <v/>
      </c>
      <c r="H1912" s="7">
        <f>IF(C1912="","",IFERROR(INDEX(Sites!$B$2:$B$501,MATCH(C1912,Sites!$A$2:$A$501,0)),"?"))</f>
        <v/>
      </c>
      <c r="I1912" s="8">
        <f>IF(A1912="","",A1912-WEEKDAY(A1912,3))</f>
        <v/>
      </c>
      <c r="K1912" s="7">
        <f>IF(A1912="","",IF(OR(B1912="",C1912="",D1912="",E1912=""),"Missing info",IF(ISNA(MATCH(B1912,Staff!$A$2:$A$101,0)),"Unknown employee",IF(H1912="?","Unknown site",IF(G1912&lt;=0,"Check times",IF(G1912&gt;12,"Over 12h",IF(COUNTIFS($L$2:$L$2001,L1912)&gt;1,"Duplicate?",IF(A1912&gt;TODAY(),"Future date","OK"))))))))</f>
        <v/>
      </c>
      <c r="L1912">
        <f>IF(A1912="","",TEXT(A1912,"yyyy-mm-dd")&amp;"|"&amp;B1912&amp;"|"&amp;C1912)</f>
        <v/>
      </c>
    </row>
    <row r="1913">
      <c r="A1913" s="4" t="n"/>
      <c r="D1913" s="5" t="n"/>
      <c r="E1913" s="5" t="n"/>
      <c r="G1913" s="6">
        <f>IF(OR(A1913="",D1913="",E1913=""),"",ROUND(MOD(E1913-D1913,1)*24-N(F1913)/60,2))</f>
        <v/>
      </c>
      <c r="H1913" s="7">
        <f>IF(C1913="","",IFERROR(INDEX(Sites!$B$2:$B$501,MATCH(C1913,Sites!$A$2:$A$501,0)),"?"))</f>
        <v/>
      </c>
      <c r="I1913" s="8">
        <f>IF(A1913="","",A1913-WEEKDAY(A1913,3))</f>
        <v/>
      </c>
      <c r="K1913" s="7">
        <f>IF(A1913="","",IF(OR(B1913="",C1913="",D1913="",E1913=""),"Missing info",IF(ISNA(MATCH(B1913,Staff!$A$2:$A$101,0)),"Unknown employee",IF(H1913="?","Unknown site",IF(G1913&lt;=0,"Check times",IF(G1913&gt;12,"Over 12h",IF(COUNTIFS($L$2:$L$2001,L1913)&gt;1,"Duplicate?",IF(A1913&gt;TODAY(),"Future date","OK"))))))))</f>
        <v/>
      </c>
      <c r="L1913">
        <f>IF(A1913="","",TEXT(A1913,"yyyy-mm-dd")&amp;"|"&amp;B1913&amp;"|"&amp;C1913)</f>
        <v/>
      </c>
    </row>
    <row r="1914">
      <c r="A1914" s="4" t="n"/>
      <c r="D1914" s="5" t="n"/>
      <c r="E1914" s="5" t="n"/>
      <c r="G1914" s="6">
        <f>IF(OR(A1914="",D1914="",E1914=""),"",ROUND(MOD(E1914-D1914,1)*24-N(F1914)/60,2))</f>
        <v/>
      </c>
      <c r="H1914" s="7">
        <f>IF(C1914="","",IFERROR(INDEX(Sites!$B$2:$B$501,MATCH(C1914,Sites!$A$2:$A$501,0)),"?"))</f>
        <v/>
      </c>
      <c r="I1914" s="8">
        <f>IF(A1914="","",A1914-WEEKDAY(A1914,3))</f>
        <v/>
      </c>
      <c r="K1914" s="7">
        <f>IF(A1914="","",IF(OR(B1914="",C1914="",D1914="",E1914=""),"Missing info",IF(ISNA(MATCH(B1914,Staff!$A$2:$A$101,0)),"Unknown employee",IF(H1914="?","Unknown site",IF(G1914&lt;=0,"Check times",IF(G1914&gt;12,"Over 12h",IF(COUNTIFS($L$2:$L$2001,L1914)&gt;1,"Duplicate?",IF(A1914&gt;TODAY(),"Future date","OK"))))))))</f>
        <v/>
      </c>
      <c r="L1914">
        <f>IF(A1914="","",TEXT(A1914,"yyyy-mm-dd")&amp;"|"&amp;B1914&amp;"|"&amp;C1914)</f>
        <v/>
      </c>
    </row>
    <row r="1915">
      <c r="A1915" s="4" t="n"/>
      <c r="D1915" s="5" t="n"/>
      <c r="E1915" s="5" t="n"/>
      <c r="G1915" s="6">
        <f>IF(OR(A1915="",D1915="",E1915=""),"",ROUND(MOD(E1915-D1915,1)*24-N(F1915)/60,2))</f>
        <v/>
      </c>
      <c r="H1915" s="7">
        <f>IF(C1915="","",IFERROR(INDEX(Sites!$B$2:$B$501,MATCH(C1915,Sites!$A$2:$A$501,0)),"?"))</f>
        <v/>
      </c>
      <c r="I1915" s="8">
        <f>IF(A1915="","",A1915-WEEKDAY(A1915,3))</f>
        <v/>
      </c>
      <c r="K1915" s="7">
        <f>IF(A1915="","",IF(OR(B1915="",C1915="",D1915="",E1915=""),"Missing info",IF(ISNA(MATCH(B1915,Staff!$A$2:$A$101,0)),"Unknown employee",IF(H1915="?","Unknown site",IF(G1915&lt;=0,"Check times",IF(G1915&gt;12,"Over 12h",IF(COUNTIFS($L$2:$L$2001,L1915)&gt;1,"Duplicate?",IF(A1915&gt;TODAY(),"Future date","OK"))))))))</f>
        <v/>
      </c>
      <c r="L1915">
        <f>IF(A1915="","",TEXT(A1915,"yyyy-mm-dd")&amp;"|"&amp;B1915&amp;"|"&amp;C1915)</f>
        <v/>
      </c>
    </row>
    <row r="1916">
      <c r="A1916" s="4" t="n"/>
      <c r="D1916" s="5" t="n"/>
      <c r="E1916" s="5" t="n"/>
      <c r="G1916" s="6">
        <f>IF(OR(A1916="",D1916="",E1916=""),"",ROUND(MOD(E1916-D1916,1)*24-N(F1916)/60,2))</f>
        <v/>
      </c>
      <c r="H1916" s="7">
        <f>IF(C1916="","",IFERROR(INDEX(Sites!$B$2:$B$501,MATCH(C1916,Sites!$A$2:$A$501,0)),"?"))</f>
        <v/>
      </c>
      <c r="I1916" s="8">
        <f>IF(A1916="","",A1916-WEEKDAY(A1916,3))</f>
        <v/>
      </c>
      <c r="K1916" s="7">
        <f>IF(A1916="","",IF(OR(B1916="",C1916="",D1916="",E1916=""),"Missing info",IF(ISNA(MATCH(B1916,Staff!$A$2:$A$101,0)),"Unknown employee",IF(H1916="?","Unknown site",IF(G1916&lt;=0,"Check times",IF(G1916&gt;12,"Over 12h",IF(COUNTIFS($L$2:$L$2001,L1916)&gt;1,"Duplicate?",IF(A1916&gt;TODAY(),"Future date","OK"))))))))</f>
        <v/>
      </c>
      <c r="L1916">
        <f>IF(A1916="","",TEXT(A1916,"yyyy-mm-dd")&amp;"|"&amp;B1916&amp;"|"&amp;C1916)</f>
        <v/>
      </c>
    </row>
    <row r="1917">
      <c r="A1917" s="4" t="n"/>
      <c r="D1917" s="5" t="n"/>
      <c r="E1917" s="5" t="n"/>
      <c r="G1917" s="6">
        <f>IF(OR(A1917="",D1917="",E1917=""),"",ROUND(MOD(E1917-D1917,1)*24-N(F1917)/60,2))</f>
        <v/>
      </c>
      <c r="H1917" s="7">
        <f>IF(C1917="","",IFERROR(INDEX(Sites!$B$2:$B$501,MATCH(C1917,Sites!$A$2:$A$501,0)),"?"))</f>
        <v/>
      </c>
      <c r="I1917" s="8">
        <f>IF(A1917="","",A1917-WEEKDAY(A1917,3))</f>
        <v/>
      </c>
      <c r="K1917" s="7">
        <f>IF(A1917="","",IF(OR(B1917="",C1917="",D1917="",E1917=""),"Missing info",IF(ISNA(MATCH(B1917,Staff!$A$2:$A$101,0)),"Unknown employee",IF(H1917="?","Unknown site",IF(G1917&lt;=0,"Check times",IF(G1917&gt;12,"Over 12h",IF(COUNTIFS($L$2:$L$2001,L1917)&gt;1,"Duplicate?",IF(A1917&gt;TODAY(),"Future date","OK"))))))))</f>
        <v/>
      </c>
      <c r="L1917">
        <f>IF(A1917="","",TEXT(A1917,"yyyy-mm-dd")&amp;"|"&amp;B1917&amp;"|"&amp;C1917)</f>
        <v/>
      </c>
    </row>
    <row r="1918">
      <c r="A1918" s="4" t="n"/>
      <c r="D1918" s="5" t="n"/>
      <c r="E1918" s="5" t="n"/>
      <c r="G1918" s="6">
        <f>IF(OR(A1918="",D1918="",E1918=""),"",ROUND(MOD(E1918-D1918,1)*24-N(F1918)/60,2))</f>
        <v/>
      </c>
      <c r="H1918" s="7">
        <f>IF(C1918="","",IFERROR(INDEX(Sites!$B$2:$B$501,MATCH(C1918,Sites!$A$2:$A$501,0)),"?"))</f>
        <v/>
      </c>
      <c r="I1918" s="8">
        <f>IF(A1918="","",A1918-WEEKDAY(A1918,3))</f>
        <v/>
      </c>
      <c r="K1918" s="7">
        <f>IF(A1918="","",IF(OR(B1918="",C1918="",D1918="",E1918=""),"Missing info",IF(ISNA(MATCH(B1918,Staff!$A$2:$A$101,0)),"Unknown employee",IF(H1918="?","Unknown site",IF(G1918&lt;=0,"Check times",IF(G1918&gt;12,"Over 12h",IF(COUNTIFS($L$2:$L$2001,L1918)&gt;1,"Duplicate?",IF(A1918&gt;TODAY(),"Future date","OK"))))))))</f>
        <v/>
      </c>
      <c r="L1918">
        <f>IF(A1918="","",TEXT(A1918,"yyyy-mm-dd")&amp;"|"&amp;B1918&amp;"|"&amp;C1918)</f>
        <v/>
      </c>
    </row>
    <row r="1919">
      <c r="A1919" s="4" t="n"/>
      <c r="D1919" s="5" t="n"/>
      <c r="E1919" s="5" t="n"/>
      <c r="G1919" s="6">
        <f>IF(OR(A1919="",D1919="",E1919=""),"",ROUND(MOD(E1919-D1919,1)*24-N(F1919)/60,2))</f>
        <v/>
      </c>
      <c r="H1919" s="7">
        <f>IF(C1919="","",IFERROR(INDEX(Sites!$B$2:$B$501,MATCH(C1919,Sites!$A$2:$A$501,0)),"?"))</f>
        <v/>
      </c>
      <c r="I1919" s="8">
        <f>IF(A1919="","",A1919-WEEKDAY(A1919,3))</f>
        <v/>
      </c>
      <c r="K1919" s="7">
        <f>IF(A1919="","",IF(OR(B1919="",C1919="",D1919="",E1919=""),"Missing info",IF(ISNA(MATCH(B1919,Staff!$A$2:$A$101,0)),"Unknown employee",IF(H1919="?","Unknown site",IF(G1919&lt;=0,"Check times",IF(G1919&gt;12,"Over 12h",IF(COUNTIFS($L$2:$L$2001,L1919)&gt;1,"Duplicate?",IF(A1919&gt;TODAY(),"Future date","OK"))))))))</f>
        <v/>
      </c>
      <c r="L1919">
        <f>IF(A1919="","",TEXT(A1919,"yyyy-mm-dd")&amp;"|"&amp;B1919&amp;"|"&amp;C1919)</f>
        <v/>
      </c>
    </row>
    <row r="1920">
      <c r="A1920" s="4" t="n"/>
      <c r="D1920" s="5" t="n"/>
      <c r="E1920" s="5" t="n"/>
      <c r="G1920" s="6">
        <f>IF(OR(A1920="",D1920="",E1920=""),"",ROUND(MOD(E1920-D1920,1)*24-N(F1920)/60,2))</f>
        <v/>
      </c>
      <c r="H1920" s="7">
        <f>IF(C1920="","",IFERROR(INDEX(Sites!$B$2:$B$501,MATCH(C1920,Sites!$A$2:$A$501,0)),"?"))</f>
        <v/>
      </c>
      <c r="I1920" s="8">
        <f>IF(A1920="","",A1920-WEEKDAY(A1920,3))</f>
        <v/>
      </c>
      <c r="K1920" s="7">
        <f>IF(A1920="","",IF(OR(B1920="",C1920="",D1920="",E1920=""),"Missing info",IF(ISNA(MATCH(B1920,Staff!$A$2:$A$101,0)),"Unknown employee",IF(H1920="?","Unknown site",IF(G1920&lt;=0,"Check times",IF(G1920&gt;12,"Over 12h",IF(COUNTIFS($L$2:$L$2001,L1920)&gt;1,"Duplicate?",IF(A1920&gt;TODAY(),"Future date","OK"))))))))</f>
        <v/>
      </c>
      <c r="L1920">
        <f>IF(A1920="","",TEXT(A1920,"yyyy-mm-dd")&amp;"|"&amp;B1920&amp;"|"&amp;C1920)</f>
        <v/>
      </c>
    </row>
    <row r="1921">
      <c r="A1921" s="4" t="n"/>
      <c r="D1921" s="5" t="n"/>
      <c r="E1921" s="5" t="n"/>
      <c r="G1921" s="6">
        <f>IF(OR(A1921="",D1921="",E1921=""),"",ROUND(MOD(E1921-D1921,1)*24-N(F1921)/60,2))</f>
        <v/>
      </c>
      <c r="H1921" s="7">
        <f>IF(C1921="","",IFERROR(INDEX(Sites!$B$2:$B$501,MATCH(C1921,Sites!$A$2:$A$501,0)),"?"))</f>
        <v/>
      </c>
      <c r="I1921" s="8">
        <f>IF(A1921="","",A1921-WEEKDAY(A1921,3))</f>
        <v/>
      </c>
      <c r="K1921" s="7">
        <f>IF(A1921="","",IF(OR(B1921="",C1921="",D1921="",E1921=""),"Missing info",IF(ISNA(MATCH(B1921,Staff!$A$2:$A$101,0)),"Unknown employee",IF(H1921="?","Unknown site",IF(G1921&lt;=0,"Check times",IF(G1921&gt;12,"Over 12h",IF(COUNTIFS($L$2:$L$2001,L1921)&gt;1,"Duplicate?",IF(A1921&gt;TODAY(),"Future date","OK"))))))))</f>
        <v/>
      </c>
      <c r="L1921">
        <f>IF(A1921="","",TEXT(A1921,"yyyy-mm-dd")&amp;"|"&amp;B1921&amp;"|"&amp;C1921)</f>
        <v/>
      </c>
    </row>
    <row r="1922">
      <c r="A1922" s="4" t="n"/>
      <c r="D1922" s="5" t="n"/>
      <c r="E1922" s="5" t="n"/>
      <c r="G1922" s="6">
        <f>IF(OR(A1922="",D1922="",E1922=""),"",ROUND(MOD(E1922-D1922,1)*24-N(F1922)/60,2))</f>
        <v/>
      </c>
      <c r="H1922" s="7">
        <f>IF(C1922="","",IFERROR(INDEX(Sites!$B$2:$B$501,MATCH(C1922,Sites!$A$2:$A$501,0)),"?"))</f>
        <v/>
      </c>
      <c r="I1922" s="8">
        <f>IF(A1922="","",A1922-WEEKDAY(A1922,3))</f>
        <v/>
      </c>
      <c r="K1922" s="7">
        <f>IF(A1922="","",IF(OR(B1922="",C1922="",D1922="",E1922=""),"Missing info",IF(ISNA(MATCH(B1922,Staff!$A$2:$A$101,0)),"Unknown employee",IF(H1922="?","Unknown site",IF(G1922&lt;=0,"Check times",IF(G1922&gt;12,"Over 12h",IF(COUNTIFS($L$2:$L$2001,L1922)&gt;1,"Duplicate?",IF(A1922&gt;TODAY(),"Future date","OK"))))))))</f>
        <v/>
      </c>
      <c r="L1922">
        <f>IF(A1922="","",TEXT(A1922,"yyyy-mm-dd")&amp;"|"&amp;B1922&amp;"|"&amp;C1922)</f>
        <v/>
      </c>
    </row>
    <row r="1923">
      <c r="A1923" s="4" t="n"/>
      <c r="D1923" s="5" t="n"/>
      <c r="E1923" s="5" t="n"/>
      <c r="G1923" s="6">
        <f>IF(OR(A1923="",D1923="",E1923=""),"",ROUND(MOD(E1923-D1923,1)*24-N(F1923)/60,2))</f>
        <v/>
      </c>
      <c r="H1923" s="7">
        <f>IF(C1923="","",IFERROR(INDEX(Sites!$B$2:$B$501,MATCH(C1923,Sites!$A$2:$A$501,0)),"?"))</f>
        <v/>
      </c>
      <c r="I1923" s="8">
        <f>IF(A1923="","",A1923-WEEKDAY(A1923,3))</f>
        <v/>
      </c>
      <c r="K1923" s="7">
        <f>IF(A1923="","",IF(OR(B1923="",C1923="",D1923="",E1923=""),"Missing info",IF(ISNA(MATCH(B1923,Staff!$A$2:$A$101,0)),"Unknown employee",IF(H1923="?","Unknown site",IF(G1923&lt;=0,"Check times",IF(G1923&gt;12,"Over 12h",IF(COUNTIFS($L$2:$L$2001,L1923)&gt;1,"Duplicate?",IF(A1923&gt;TODAY(),"Future date","OK"))))))))</f>
        <v/>
      </c>
      <c r="L1923">
        <f>IF(A1923="","",TEXT(A1923,"yyyy-mm-dd")&amp;"|"&amp;B1923&amp;"|"&amp;C1923)</f>
        <v/>
      </c>
    </row>
    <row r="1924">
      <c r="A1924" s="4" t="n"/>
      <c r="D1924" s="5" t="n"/>
      <c r="E1924" s="5" t="n"/>
      <c r="G1924" s="6">
        <f>IF(OR(A1924="",D1924="",E1924=""),"",ROUND(MOD(E1924-D1924,1)*24-N(F1924)/60,2))</f>
        <v/>
      </c>
      <c r="H1924" s="7">
        <f>IF(C1924="","",IFERROR(INDEX(Sites!$B$2:$B$501,MATCH(C1924,Sites!$A$2:$A$501,0)),"?"))</f>
        <v/>
      </c>
      <c r="I1924" s="8">
        <f>IF(A1924="","",A1924-WEEKDAY(A1924,3))</f>
        <v/>
      </c>
      <c r="K1924" s="7">
        <f>IF(A1924="","",IF(OR(B1924="",C1924="",D1924="",E1924=""),"Missing info",IF(ISNA(MATCH(B1924,Staff!$A$2:$A$101,0)),"Unknown employee",IF(H1924="?","Unknown site",IF(G1924&lt;=0,"Check times",IF(G1924&gt;12,"Over 12h",IF(COUNTIFS($L$2:$L$2001,L1924)&gt;1,"Duplicate?",IF(A1924&gt;TODAY(),"Future date","OK"))))))))</f>
        <v/>
      </c>
      <c r="L1924">
        <f>IF(A1924="","",TEXT(A1924,"yyyy-mm-dd")&amp;"|"&amp;B1924&amp;"|"&amp;C1924)</f>
        <v/>
      </c>
    </row>
    <row r="1925">
      <c r="A1925" s="4" t="n"/>
      <c r="D1925" s="5" t="n"/>
      <c r="E1925" s="5" t="n"/>
      <c r="G1925" s="6">
        <f>IF(OR(A1925="",D1925="",E1925=""),"",ROUND(MOD(E1925-D1925,1)*24-N(F1925)/60,2))</f>
        <v/>
      </c>
      <c r="H1925" s="7">
        <f>IF(C1925="","",IFERROR(INDEX(Sites!$B$2:$B$501,MATCH(C1925,Sites!$A$2:$A$501,0)),"?"))</f>
        <v/>
      </c>
      <c r="I1925" s="8">
        <f>IF(A1925="","",A1925-WEEKDAY(A1925,3))</f>
        <v/>
      </c>
      <c r="K1925" s="7">
        <f>IF(A1925="","",IF(OR(B1925="",C1925="",D1925="",E1925=""),"Missing info",IF(ISNA(MATCH(B1925,Staff!$A$2:$A$101,0)),"Unknown employee",IF(H1925="?","Unknown site",IF(G1925&lt;=0,"Check times",IF(G1925&gt;12,"Over 12h",IF(COUNTIFS($L$2:$L$2001,L1925)&gt;1,"Duplicate?",IF(A1925&gt;TODAY(),"Future date","OK"))))))))</f>
        <v/>
      </c>
      <c r="L1925">
        <f>IF(A1925="","",TEXT(A1925,"yyyy-mm-dd")&amp;"|"&amp;B1925&amp;"|"&amp;C1925)</f>
        <v/>
      </c>
    </row>
    <row r="1926">
      <c r="A1926" s="4" t="n"/>
      <c r="D1926" s="5" t="n"/>
      <c r="E1926" s="5" t="n"/>
      <c r="G1926" s="6">
        <f>IF(OR(A1926="",D1926="",E1926=""),"",ROUND(MOD(E1926-D1926,1)*24-N(F1926)/60,2))</f>
        <v/>
      </c>
      <c r="H1926" s="7">
        <f>IF(C1926="","",IFERROR(INDEX(Sites!$B$2:$B$501,MATCH(C1926,Sites!$A$2:$A$501,0)),"?"))</f>
        <v/>
      </c>
      <c r="I1926" s="8">
        <f>IF(A1926="","",A1926-WEEKDAY(A1926,3))</f>
        <v/>
      </c>
      <c r="K1926" s="7">
        <f>IF(A1926="","",IF(OR(B1926="",C1926="",D1926="",E1926=""),"Missing info",IF(ISNA(MATCH(B1926,Staff!$A$2:$A$101,0)),"Unknown employee",IF(H1926="?","Unknown site",IF(G1926&lt;=0,"Check times",IF(G1926&gt;12,"Over 12h",IF(COUNTIFS($L$2:$L$2001,L1926)&gt;1,"Duplicate?",IF(A1926&gt;TODAY(),"Future date","OK"))))))))</f>
        <v/>
      </c>
      <c r="L1926">
        <f>IF(A1926="","",TEXT(A1926,"yyyy-mm-dd")&amp;"|"&amp;B1926&amp;"|"&amp;C1926)</f>
        <v/>
      </c>
    </row>
    <row r="1927">
      <c r="A1927" s="4" t="n"/>
      <c r="D1927" s="5" t="n"/>
      <c r="E1927" s="5" t="n"/>
      <c r="G1927" s="6">
        <f>IF(OR(A1927="",D1927="",E1927=""),"",ROUND(MOD(E1927-D1927,1)*24-N(F1927)/60,2))</f>
        <v/>
      </c>
      <c r="H1927" s="7">
        <f>IF(C1927="","",IFERROR(INDEX(Sites!$B$2:$B$501,MATCH(C1927,Sites!$A$2:$A$501,0)),"?"))</f>
        <v/>
      </c>
      <c r="I1927" s="8">
        <f>IF(A1927="","",A1927-WEEKDAY(A1927,3))</f>
        <v/>
      </c>
      <c r="K1927" s="7">
        <f>IF(A1927="","",IF(OR(B1927="",C1927="",D1927="",E1927=""),"Missing info",IF(ISNA(MATCH(B1927,Staff!$A$2:$A$101,0)),"Unknown employee",IF(H1927="?","Unknown site",IF(G1927&lt;=0,"Check times",IF(G1927&gt;12,"Over 12h",IF(COUNTIFS($L$2:$L$2001,L1927)&gt;1,"Duplicate?",IF(A1927&gt;TODAY(),"Future date","OK"))))))))</f>
        <v/>
      </c>
      <c r="L1927">
        <f>IF(A1927="","",TEXT(A1927,"yyyy-mm-dd")&amp;"|"&amp;B1927&amp;"|"&amp;C1927)</f>
        <v/>
      </c>
    </row>
    <row r="1928">
      <c r="A1928" s="4" t="n"/>
      <c r="D1928" s="5" t="n"/>
      <c r="E1928" s="5" t="n"/>
      <c r="G1928" s="6">
        <f>IF(OR(A1928="",D1928="",E1928=""),"",ROUND(MOD(E1928-D1928,1)*24-N(F1928)/60,2))</f>
        <v/>
      </c>
      <c r="H1928" s="7">
        <f>IF(C1928="","",IFERROR(INDEX(Sites!$B$2:$B$501,MATCH(C1928,Sites!$A$2:$A$501,0)),"?"))</f>
        <v/>
      </c>
      <c r="I1928" s="8">
        <f>IF(A1928="","",A1928-WEEKDAY(A1928,3))</f>
        <v/>
      </c>
      <c r="K1928" s="7">
        <f>IF(A1928="","",IF(OR(B1928="",C1928="",D1928="",E1928=""),"Missing info",IF(ISNA(MATCH(B1928,Staff!$A$2:$A$101,0)),"Unknown employee",IF(H1928="?","Unknown site",IF(G1928&lt;=0,"Check times",IF(G1928&gt;12,"Over 12h",IF(COUNTIFS($L$2:$L$2001,L1928)&gt;1,"Duplicate?",IF(A1928&gt;TODAY(),"Future date","OK"))))))))</f>
        <v/>
      </c>
      <c r="L1928">
        <f>IF(A1928="","",TEXT(A1928,"yyyy-mm-dd")&amp;"|"&amp;B1928&amp;"|"&amp;C1928)</f>
        <v/>
      </c>
    </row>
    <row r="1929">
      <c r="A1929" s="4" t="n"/>
      <c r="D1929" s="5" t="n"/>
      <c r="E1929" s="5" t="n"/>
      <c r="G1929" s="6">
        <f>IF(OR(A1929="",D1929="",E1929=""),"",ROUND(MOD(E1929-D1929,1)*24-N(F1929)/60,2))</f>
        <v/>
      </c>
      <c r="H1929" s="7">
        <f>IF(C1929="","",IFERROR(INDEX(Sites!$B$2:$B$501,MATCH(C1929,Sites!$A$2:$A$501,0)),"?"))</f>
        <v/>
      </c>
      <c r="I1929" s="8">
        <f>IF(A1929="","",A1929-WEEKDAY(A1929,3))</f>
        <v/>
      </c>
      <c r="K1929" s="7">
        <f>IF(A1929="","",IF(OR(B1929="",C1929="",D1929="",E1929=""),"Missing info",IF(ISNA(MATCH(B1929,Staff!$A$2:$A$101,0)),"Unknown employee",IF(H1929="?","Unknown site",IF(G1929&lt;=0,"Check times",IF(G1929&gt;12,"Over 12h",IF(COUNTIFS($L$2:$L$2001,L1929)&gt;1,"Duplicate?",IF(A1929&gt;TODAY(),"Future date","OK"))))))))</f>
        <v/>
      </c>
      <c r="L1929">
        <f>IF(A1929="","",TEXT(A1929,"yyyy-mm-dd")&amp;"|"&amp;B1929&amp;"|"&amp;C1929)</f>
        <v/>
      </c>
    </row>
    <row r="1930">
      <c r="A1930" s="4" t="n"/>
      <c r="D1930" s="5" t="n"/>
      <c r="E1930" s="5" t="n"/>
      <c r="G1930" s="6">
        <f>IF(OR(A1930="",D1930="",E1930=""),"",ROUND(MOD(E1930-D1930,1)*24-N(F1930)/60,2))</f>
        <v/>
      </c>
      <c r="H1930" s="7">
        <f>IF(C1930="","",IFERROR(INDEX(Sites!$B$2:$B$501,MATCH(C1930,Sites!$A$2:$A$501,0)),"?"))</f>
        <v/>
      </c>
      <c r="I1930" s="8">
        <f>IF(A1930="","",A1930-WEEKDAY(A1930,3))</f>
        <v/>
      </c>
      <c r="K1930" s="7">
        <f>IF(A1930="","",IF(OR(B1930="",C1930="",D1930="",E1930=""),"Missing info",IF(ISNA(MATCH(B1930,Staff!$A$2:$A$101,0)),"Unknown employee",IF(H1930="?","Unknown site",IF(G1930&lt;=0,"Check times",IF(G1930&gt;12,"Over 12h",IF(COUNTIFS($L$2:$L$2001,L1930)&gt;1,"Duplicate?",IF(A1930&gt;TODAY(),"Future date","OK"))))))))</f>
        <v/>
      </c>
      <c r="L1930">
        <f>IF(A1930="","",TEXT(A1930,"yyyy-mm-dd")&amp;"|"&amp;B1930&amp;"|"&amp;C1930)</f>
        <v/>
      </c>
    </row>
    <row r="1931">
      <c r="A1931" s="4" t="n"/>
      <c r="D1931" s="5" t="n"/>
      <c r="E1931" s="5" t="n"/>
      <c r="G1931" s="6">
        <f>IF(OR(A1931="",D1931="",E1931=""),"",ROUND(MOD(E1931-D1931,1)*24-N(F1931)/60,2))</f>
        <v/>
      </c>
      <c r="H1931" s="7">
        <f>IF(C1931="","",IFERROR(INDEX(Sites!$B$2:$B$501,MATCH(C1931,Sites!$A$2:$A$501,0)),"?"))</f>
        <v/>
      </c>
      <c r="I1931" s="8">
        <f>IF(A1931="","",A1931-WEEKDAY(A1931,3))</f>
        <v/>
      </c>
      <c r="K1931" s="7">
        <f>IF(A1931="","",IF(OR(B1931="",C1931="",D1931="",E1931=""),"Missing info",IF(ISNA(MATCH(B1931,Staff!$A$2:$A$101,0)),"Unknown employee",IF(H1931="?","Unknown site",IF(G1931&lt;=0,"Check times",IF(G1931&gt;12,"Over 12h",IF(COUNTIFS($L$2:$L$2001,L1931)&gt;1,"Duplicate?",IF(A1931&gt;TODAY(),"Future date","OK"))))))))</f>
        <v/>
      </c>
      <c r="L1931">
        <f>IF(A1931="","",TEXT(A1931,"yyyy-mm-dd")&amp;"|"&amp;B1931&amp;"|"&amp;C1931)</f>
        <v/>
      </c>
    </row>
    <row r="1932">
      <c r="A1932" s="4" t="n"/>
      <c r="D1932" s="5" t="n"/>
      <c r="E1932" s="5" t="n"/>
      <c r="G1932" s="6">
        <f>IF(OR(A1932="",D1932="",E1932=""),"",ROUND(MOD(E1932-D1932,1)*24-N(F1932)/60,2))</f>
        <v/>
      </c>
      <c r="H1932" s="7">
        <f>IF(C1932="","",IFERROR(INDEX(Sites!$B$2:$B$501,MATCH(C1932,Sites!$A$2:$A$501,0)),"?"))</f>
        <v/>
      </c>
      <c r="I1932" s="8">
        <f>IF(A1932="","",A1932-WEEKDAY(A1932,3))</f>
        <v/>
      </c>
      <c r="K1932" s="7">
        <f>IF(A1932="","",IF(OR(B1932="",C1932="",D1932="",E1932=""),"Missing info",IF(ISNA(MATCH(B1932,Staff!$A$2:$A$101,0)),"Unknown employee",IF(H1932="?","Unknown site",IF(G1932&lt;=0,"Check times",IF(G1932&gt;12,"Over 12h",IF(COUNTIFS($L$2:$L$2001,L1932)&gt;1,"Duplicate?",IF(A1932&gt;TODAY(),"Future date","OK"))))))))</f>
        <v/>
      </c>
      <c r="L1932">
        <f>IF(A1932="","",TEXT(A1932,"yyyy-mm-dd")&amp;"|"&amp;B1932&amp;"|"&amp;C1932)</f>
        <v/>
      </c>
    </row>
    <row r="1933">
      <c r="A1933" s="4" t="n"/>
      <c r="D1933" s="5" t="n"/>
      <c r="E1933" s="5" t="n"/>
      <c r="G1933" s="6">
        <f>IF(OR(A1933="",D1933="",E1933=""),"",ROUND(MOD(E1933-D1933,1)*24-N(F1933)/60,2))</f>
        <v/>
      </c>
      <c r="H1933" s="7">
        <f>IF(C1933="","",IFERROR(INDEX(Sites!$B$2:$B$501,MATCH(C1933,Sites!$A$2:$A$501,0)),"?"))</f>
        <v/>
      </c>
      <c r="I1933" s="8">
        <f>IF(A1933="","",A1933-WEEKDAY(A1933,3))</f>
        <v/>
      </c>
      <c r="K1933" s="7">
        <f>IF(A1933="","",IF(OR(B1933="",C1933="",D1933="",E1933=""),"Missing info",IF(ISNA(MATCH(B1933,Staff!$A$2:$A$101,0)),"Unknown employee",IF(H1933="?","Unknown site",IF(G1933&lt;=0,"Check times",IF(G1933&gt;12,"Over 12h",IF(COUNTIFS($L$2:$L$2001,L1933)&gt;1,"Duplicate?",IF(A1933&gt;TODAY(),"Future date","OK"))))))))</f>
        <v/>
      </c>
      <c r="L1933">
        <f>IF(A1933="","",TEXT(A1933,"yyyy-mm-dd")&amp;"|"&amp;B1933&amp;"|"&amp;C1933)</f>
        <v/>
      </c>
    </row>
    <row r="1934">
      <c r="A1934" s="4" t="n"/>
      <c r="D1934" s="5" t="n"/>
      <c r="E1934" s="5" t="n"/>
      <c r="G1934" s="6">
        <f>IF(OR(A1934="",D1934="",E1934=""),"",ROUND(MOD(E1934-D1934,1)*24-N(F1934)/60,2))</f>
        <v/>
      </c>
      <c r="H1934" s="7">
        <f>IF(C1934="","",IFERROR(INDEX(Sites!$B$2:$B$501,MATCH(C1934,Sites!$A$2:$A$501,0)),"?"))</f>
        <v/>
      </c>
      <c r="I1934" s="8">
        <f>IF(A1934="","",A1934-WEEKDAY(A1934,3))</f>
        <v/>
      </c>
      <c r="K1934" s="7">
        <f>IF(A1934="","",IF(OR(B1934="",C1934="",D1934="",E1934=""),"Missing info",IF(ISNA(MATCH(B1934,Staff!$A$2:$A$101,0)),"Unknown employee",IF(H1934="?","Unknown site",IF(G1934&lt;=0,"Check times",IF(G1934&gt;12,"Over 12h",IF(COUNTIFS($L$2:$L$2001,L1934)&gt;1,"Duplicate?",IF(A1934&gt;TODAY(),"Future date","OK"))))))))</f>
        <v/>
      </c>
      <c r="L1934">
        <f>IF(A1934="","",TEXT(A1934,"yyyy-mm-dd")&amp;"|"&amp;B1934&amp;"|"&amp;C1934)</f>
        <v/>
      </c>
    </row>
    <row r="1935">
      <c r="A1935" s="4" t="n"/>
      <c r="D1935" s="5" t="n"/>
      <c r="E1935" s="5" t="n"/>
      <c r="G1935" s="6">
        <f>IF(OR(A1935="",D1935="",E1935=""),"",ROUND(MOD(E1935-D1935,1)*24-N(F1935)/60,2))</f>
        <v/>
      </c>
      <c r="H1935" s="7">
        <f>IF(C1935="","",IFERROR(INDEX(Sites!$B$2:$B$501,MATCH(C1935,Sites!$A$2:$A$501,0)),"?"))</f>
        <v/>
      </c>
      <c r="I1935" s="8">
        <f>IF(A1935="","",A1935-WEEKDAY(A1935,3))</f>
        <v/>
      </c>
      <c r="K1935" s="7">
        <f>IF(A1935="","",IF(OR(B1935="",C1935="",D1935="",E1935=""),"Missing info",IF(ISNA(MATCH(B1935,Staff!$A$2:$A$101,0)),"Unknown employee",IF(H1935="?","Unknown site",IF(G1935&lt;=0,"Check times",IF(G1935&gt;12,"Over 12h",IF(COUNTIFS($L$2:$L$2001,L1935)&gt;1,"Duplicate?",IF(A1935&gt;TODAY(),"Future date","OK"))))))))</f>
        <v/>
      </c>
      <c r="L1935">
        <f>IF(A1935="","",TEXT(A1935,"yyyy-mm-dd")&amp;"|"&amp;B1935&amp;"|"&amp;C1935)</f>
        <v/>
      </c>
    </row>
    <row r="1936">
      <c r="A1936" s="4" t="n"/>
      <c r="D1936" s="5" t="n"/>
      <c r="E1936" s="5" t="n"/>
      <c r="G1936" s="6">
        <f>IF(OR(A1936="",D1936="",E1936=""),"",ROUND(MOD(E1936-D1936,1)*24-N(F1936)/60,2))</f>
        <v/>
      </c>
      <c r="H1936" s="7">
        <f>IF(C1936="","",IFERROR(INDEX(Sites!$B$2:$B$501,MATCH(C1936,Sites!$A$2:$A$501,0)),"?"))</f>
        <v/>
      </c>
      <c r="I1936" s="8">
        <f>IF(A1936="","",A1936-WEEKDAY(A1936,3))</f>
        <v/>
      </c>
      <c r="K1936" s="7">
        <f>IF(A1936="","",IF(OR(B1936="",C1936="",D1936="",E1936=""),"Missing info",IF(ISNA(MATCH(B1936,Staff!$A$2:$A$101,0)),"Unknown employee",IF(H1936="?","Unknown site",IF(G1936&lt;=0,"Check times",IF(G1936&gt;12,"Over 12h",IF(COUNTIFS($L$2:$L$2001,L1936)&gt;1,"Duplicate?",IF(A1936&gt;TODAY(),"Future date","OK"))))))))</f>
        <v/>
      </c>
      <c r="L1936">
        <f>IF(A1936="","",TEXT(A1936,"yyyy-mm-dd")&amp;"|"&amp;B1936&amp;"|"&amp;C1936)</f>
        <v/>
      </c>
    </row>
    <row r="1937">
      <c r="A1937" s="4" t="n"/>
      <c r="D1937" s="5" t="n"/>
      <c r="E1937" s="5" t="n"/>
      <c r="G1937" s="6">
        <f>IF(OR(A1937="",D1937="",E1937=""),"",ROUND(MOD(E1937-D1937,1)*24-N(F1937)/60,2))</f>
        <v/>
      </c>
      <c r="H1937" s="7">
        <f>IF(C1937="","",IFERROR(INDEX(Sites!$B$2:$B$501,MATCH(C1937,Sites!$A$2:$A$501,0)),"?"))</f>
        <v/>
      </c>
      <c r="I1937" s="8">
        <f>IF(A1937="","",A1937-WEEKDAY(A1937,3))</f>
        <v/>
      </c>
      <c r="K1937" s="7">
        <f>IF(A1937="","",IF(OR(B1937="",C1937="",D1937="",E1937=""),"Missing info",IF(ISNA(MATCH(B1937,Staff!$A$2:$A$101,0)),"Unknown employee",IF(H1937="?","Unknown site",IF(G1937&lt;=0,"Check times",IF(G1937&gt;12,"Over 12h",IF(COUNTIFS($L$2:$L$2001,L1937)&gt;1,"Duplicate?",IF(A1937&gt;TODAY(),"Future date","OK"))))))))</f>
        <v/>
      </c>
      <c r="L1937">
        <f>IF(A1937="","",TEXT(A1937,"yyyy-mm-dd")&amp;"|"&amp;B1937&amp;"|"&amp;C1937)</f>
        <v/>
      </c>
    </row>
    <row r="1938">
      <c r="A1938" s="4" t="n"/>
      <c r="D1938" s="5" t="n"/>
      <c r="E1938" s="5" t="n"/>
      <c r="G1938" s="6">
        <f>IF(OR(A1938="",D1938="",E1938=""),"",ROUND(MOD(E1938-D1938,1)*24-N(F1938)/60,2))</f>
        <v/>
      </c>
      <c r="H1938" s="7">
        <f>IF(C1938="","",IFERROR(INDEX(Sites!$B$2:$B$501,MATCH(C1938,Sites!$A$2:$A$501,0)),"?"))</f>
        <v/>
      </c>
      <c r="I1938" s="8">
        <f>IF(A1938="","",A1938-WEEKDAY(A1938,3))</f>
        <v/>
      </c>
      <c r="K1938" s="7">
        <f>IF(A1938="","",IF(OR(B1938="",C1938="",D1938="",E1938=""),"Missing info",IF(ISNA(MATCH(B1938,Staff!$A$2:$A$101,0)),"Unknown employee",IF(H1938="?","Unknown site",IF(G1938&lt;=0,"Check times",IF(G1938&gt;12,"Over 12h",IF(COUNTIFS($L$2:$L$2001,L1938)&gt;1,"Duplicate?",IF(A1938&gt;TODAY(),"Future date","OK"))))))))</f>
        <v/>
      </c>
      <c r="L1938">
        <f>IF(A1938="","",TEXT(A1938,"yyyy-mm-dd")&amp;"|"&amp;B1938&amp;"|"&amp;C1938)</f>
        <v/>
      </c>
    </row>
    <row r="1939">
      <c r="A1939" s="4" t="n"/>
      <c r="D1939" s="5" t="n"/>
      <c r="E1939" s="5" t="n"/>
      <c r="G1939" s="6">
        <f>IF(OR(A1939="",D1939="",E1939=""),"",ROUND(MOD(E1939-D1939,1)*24-N(F1939)/60,2))</f>
        <v/>
      </c>
      <c r="H1939" s="7">
        <f>IF(C1939="","",IFERROR(INDEX(Sites!$B$2:$B$501,MATCH(C1939,Sites!$A$2:$A$501,0)),"?"))</f>
        <v/>
      </c>
      <c r="I1939" s="8">
        <f>IF(A1939="","",A1939-WEEKDAY(A1939,3))</f>
        <v/>
      </c>
      <c r="K1939" s="7">
        <f>IF(A1939="","",IF(OR(B1939="",C1939="",D1939="",E1939=""),"Missing info",IF(ISNA(MATCH(B1939,Staff!$A$2:$A$101,0)),"Unknown employee",IF(H1939="?","Unknown site",IF(G1939&lt;=0,"Check times",IF(G1939&gt;12,"Over 12h",IF(COUNTIFS($L$2:$L$2001,L1939)&gt;1,"Duplicate?",IF(A1939&gt;TODAY(),"Future date","OK"))))))))</f>
        <v/>
      </c>
      <c r="L1939">
        <f>IF(A1939="","",TEXT(A1939,"yyyy-mm-dd")&amp;"|"&amp;B1939&amp;"|"&amp;C1939)</f>
        <v/>
      </c>
    </row>
    <row r="1940">
      <c r="A1940" s="4" t="n"/>
      <c r="D1940" s="5" t="n"/>
      <c r="E1940" s="5" t="n"/>
      <c r="G1940" s="6">
        <f>IF(OR(A1940="",D1940="",E1940=""),"",ROUND(MOD(E1940-D1940,1)*24-N(F1940)/60,2))</f>
        <v/>
      </c>
      <c r="H1940" s="7">
        <f>IF(C1940="","",IFERROR(INDEX(Sites!$B$2:$B$501,MATCH(C1940,Sites!$A$2:$A$501,0)),"?"))</f>
        <v/>
      </c>
      <c r="I1940" s="8">
        <f>IF(A1940="","",A1940-WEEKDAY(A1940,3))</f>
        <v/>
      </c>
      <c r="K1940" s="7">
        <f>IF(A1940="","",IF(OR(B1940="",C1940="",D1940="",E1940=""),"Missing info",IF(ISNA(MATCH(B1940,Staff!$A$2:$A$101,0)),"Unknown employee",IF(H1940="?","Unknown site",IF(G1940&lt;=0,"Check times",IF(G1940&gt;12,"Over 12h",IF(COUNTIFS($L$2:$L$2001,L1940)&gt;1,"Duplicate?",IF(A1940&gt;TODAY(),"Future date","OK"))))))))</f>
        <v/>
      </c>
      <c r="L1940">
        <f>IF(A1940="","",TEXT(A1940,"yyyy-mm-dd")&amp;"|"&amp;B1940&amp;"|"&amp;C1940)</f>
        <v/>
      </c>
    </row>
    <row r="1941">
      <c r="A1941" s="4" t="n"/>
      <c r="D1941" s="5" t="n"/>
      <c r="E1941" s="5" t="n"/>
      <c r="G1941" s="6">
        <f>IF(OR(A1941="",D1941="",E1941=""),"",ROUND(MOD(E1941-D1941,1)*24-N(F1941)/60,2))</f>
        <v/>
      </c>
      <c r="H1941" s="7">
        <f>IF(C1941="","",IFERROR(INDEX(Sites!$B$2:$B$501,MATCH(C1941,Sites!$A$2:$A$501,0)),"?"))</f>
        <v/>
      </c>
      <c r="I1941" s="8">
        <f>IF(A1941="","",A1941-WEEKDAY(A1941,3))</f>
        <v/>
      </c>
      <c r="K1941" s="7">
        <f>IF(A1941="","",IF(OR(B1941="",C1941="",D1941="",E1941=""),"Missing info",IF(ISNA(MATCH(B1941,Staff!$A$2:$A$101,0)),"Unknown employee",IF(H1941="?","Unknown site",IF(G1941&lt;=0,"Check times",IF(G1941&gt;12,"Over 12h",IF(COUNTIFS($L$2:$L$2001,L1941)&gt;1,"Duplicate?",IF(A1941&gt;TODAY(),"Future date","OK"))))))))</f>
        <v/>
      </c>
      <c r="L1941">
        <f>IF(A1941="","",TEXT(A1941,"yyyy-mm-dd")&amp;"|"&amp;B1941&amp;"|"&amp;C1941)</f>
        <v/>
      </c>
    </row>
    <row r="1942">
      <c r="A1942" s="4" t="n"/>
      <c r="D1942" s="5" t="n"/>
      <c r="E1942" s="5" t="n"/>
      <c r="G1942" s="6">
        <f>IF(OR(A1942="",D1942="",E1942=""),"",ROUND(MOD(E1942-D1942,1)*24-N(F1942)/60,2))</f>
        <v/>
      </c>
      <c r="H1942" s="7">
        <f>IF(C1942="","",IFERROR(INDEX(Sites!$B$2:$B$501,MATCH(C1942,Sites!$A$2:$A$501,0)),"?"))</f>
        <v/>
      </c>
      <c r="I1942" s="8">
        <f>IF(A1942="","",A1942-WEEKDAY(A1942,3))</f>
        <v/>
      </c>
      <c r="K1942" s="7">
        <f>IF(A1942="","",IF(OR(B1942="",C1942="",D1942="",E1942=""),"Missing info",IF(ISNA(MATCH(B1942,Staff!$A$2:$A$101,0)),"Unknown employee",IF(H1942="?","Unknown site",IF(G1942&lt;=0,"Check times",IF(G1942&gt;12,"Over 12h",IF(COUNTIFS($L$2:$L$2001,L1942)&gt;1,"Duplicate?",IF(A1942&gt;TODAY(),"Future date","OK"))))))))</f>
        <v/>
      </c>
      <c r="L1942">
        <f>IF(A1942="","",TEXT(A1942,"yyyy-mm-dd")&amp;"|"&amp;B1942&amp;"|"&amp;C1942)</f>
        <v/>
      </c>
    </row>
    <row r="1943">
      <c r="A1943" s="4" t="n"/>
      <c r="D1943" s="5" t="n"/>
      <c r="E1943" s="5" t="n"/>
      <c r="G1943" s="6">
        <f>IF(OR(A1943="",D1943="",E1943=""),"",ROUND(MOD(E1943-D1943,1)*24-N(F1943)/60,2))</f>
        <v/>
      </c>
      <c r="H1943" s="7">
        <f>IF(C1943="","",IFERROR(INDEX(Sites!$B$2:$B$501,MATCH(C1943,Sites!$A$2:$A$501,0)),"?"))</f>
        <v/>
      </c>
      <c r="I1943" s="8">
        <f>IF(A1943="","",A1943-WEEKDAY(A1943,3))</f>
        <v/>
      </c>
      <c r="K1943" s="7">
        <f>IF(A1943="","",IF(OR(B1943="",C1943="",D1943="",E1943=""),"Missing info",IF(ISNA(MATCH(B1943,Staff!$A$2:$A$101,0)),"Unknown employee",IF(H1943="?","Unknown site",IF(G1943&lt;=0,"Check times",IF(G1943&gt;12,"Over 12h",IF(COUNTIFS($L$2:$L$2001,L1943)&gt;1,"Duplicate?",IF(A1943&gt;TODAY(),"Future date","OK"))))))))</f>
        <v/>
      </c>
      <c r="L1943">
        <f>IF(A1943="","",TEXT(A1943,"yyyy-mm-dd")&amp;"|"&amp;B1943&amp;"|"&amp;C1943)</f>
        <v/>
      </c>
    </row>
    <row r="1944">
      <c r="A1944" s="4" t="n"/>
      <c r="D1944" s="5" t="n"/>
      <c r="E1944" s="5" t="n"/>
      <c r="G1944" s="6">
        <f>IF(OR(A1944="",D1944="",E1944=""),"",ROUND(MOD(E1944-D1944,1)*24-N(F1944)/60,2))</f>
        <v/>
      </c>
      <c r="H1944" s="7">
        <f>IF(C1944="","",IFERROR(INDEX(Sites!$B$2:$B$501,MATCH(C1944,Sites!$A$2:$A$501,0)),"?"))</f>
        <v/>
      </c>
      <c r="I1944" s="8">
        <f>IF(A1944="","",A1944-WEEKDAY(A1944,3))</f>
        <v/>
      </c>
      <c r="K1944" s="7">
        <f>IF(A1944="","",IF(OR(B1944="",C1944="",D1944="",E1944=""),"Missing info",IF(ISNA(MATCH(B1944,Staff!$A$2:$A$101,0)),"Unknown employee",IF(H1944="?","Unknown site",IF(G1944&lt;=0,"Check times",IF(G1944&gt;12,"Over 12h",IF(COUNTIFS($L$2:$L$2001,L1944)&gt;1,"Duplicate?",IF(A1944&gt;TODAY(),"Future date","OK"))))))))</f>
        <v/>
      </c>
      <c r="L1944">
        <f>IF(A1944="","",TEXT(A1944,"yyyy-mm-dd")&amp;"|"&amp;B1944&amp;"|"&amp;C1944)</f>
        <v/>
      </c>
    </row>
    <row r="1945">
      <c r="A1945" s="4" t="n"/>
      <c r="D1945" s="5" t="n"/>
      <c r="E1945" s="5" t="n"/>
      <c r="G1945" s="6">
        <f>IF(OR(A1945="",D1945="",E1945=""),"",ROUND(MOD(E1945-D1945,1)*24-N(F1945)/60,2))</f>
        <v/>
      </c>
      <c r="H1945" s="7">
        <f>IF(C1945="","",IFERROR(INDEX(Sites!$B$2:$B$501,MATCH(C1945,Sites!$A$2:$A$501,0)),"?"))</f>
        <v/>
      </c>
      <c r="I1945" s="8">
        <f>IF(A1945="","",A1945-WEEKDAY(A1945,3))</f>
        <v/>
      </c>
      <c r="K1945" s="7">
        <f>IF(A1945="","",IF(OR(B1945="",C1945="",D1945="",E1945=""),"Missing info",IF(ISNA(MATCH(B1945,Staff!$A$2:$A$101,0)),"Unknown employee",IF(H1945="?","Unknown site",IF(G1945&lt;=0,"Check times",IF(G1945&gt;12,"Over 12h",IF(COUNTIFS($L$2:$L$2001,L1945)&gt;1,"Duplicate?",IF(A1945&gt;TODAY(),"Future date","OK"))))))))</f>
        <v/>
      </c>
      <c r="L1945">
        <f>IF(A1945="","",TEXT(A1945,"yyyy-mm-dd")&amp;"|"&amp;B1945&amp;"|"&amp;C1945)</f>
        <v/>
      </c>
    </row>
    <row r="1946">
      <c r="A1946" s="4" t="n"/>
      <c r="D1946" s="5" t="n"/>
      <c r="E1946" s="5" t="n"/>
      <c r="G1946" s="6">
        <f>IF(OR(A1946="",D1946="",E1946=""),"",ROUND(MOD(E1946-D1946,1)*24-N(F1946)/60,2))</f>
        <v/>
      </c>
      <c r="H1946" s="7">
        <f>IF(C1946="","",IFERROR(INDEX(Sites!$B$2:$B$501,MATCH(C1946,Sites!$A$2:$A$501,0)),"?"))</f>
        <v/>
      </c>
      <c r="I1946" s="8">
        <f>IF(A1946="","",A1946-WEEKDAY(A1946,3))</f>
        <v/>
      </c>
      <c r="K1946" s="7">
        <f>IF(A1946="","",IF(OR(B1946="",C1946="",D1946="",E1946=""),"Missing info",IF(ISNA(MATCH(B1946,Staff!$A$2:$A$101,0)),"Unknown employee",IF(H1946="?","Unknown site",IF(G1946&lt;=0,"Check times",IF(G1946&gt;12,"Over 12h",IF(COUNTIFS($L$2:$L$2001,L1946)&gt;1,"Duplicate?",IF(A1946&gt;TODAY(),"Future date","OK"))))))))</f>
        <v/>
      </c>
      <c r="L1946">
        <f>IF(A1946="","",TEXT(A1946,"yyyy-mm-dd")&amp;"|"&amp;B1946&amp;"|"&amp;C1946)</f>
        <v/>
      </c>
    </row>
    <row r="1947">
      <c r="A1947" s="4" t="n"/>
      <c r="D1947" s="5" t="n"/>
      <c r="E1947" s="5" t="n"/>
      <c r="G1947" s="6">
        <f>IF(OR(A1947="",D1947="",E1947=""),"",ROUND(MOD(E1947-D1947,1)*24-N(F1947)/60,2))</f>
        <v/>
      </c>
      <c r="H1947" s="7">
        <f>IF(C1947="","",IFERROR(INDEX(Sites!$B$2:$B$501,MATCH(C1947,Sites!$A$2:$A$501,0)),"?"))</f>
        <v/>
      </c>
      <c r="I1947" s="8">
        <f>IF(A1947="","",A1947-WEEKDAY(A1947,3))</f>
        <v/>
      </c>
      <c r="K1947" s="7">
        <f>IF(A1947="","",IF(OR(B1947="",C1947="",D1947="",E1947=""),"Missing info",IF(ISNA(MATCH(B1947,Staff!$A$2:$A$101,0)),"Unknown employee",IF(H1947="?","Unknown site",IF(G1947&lt;=0,"Check times",IF(G1947&gt;12,"Over 12h",IF(COUNTIFS($L$2:$L$2001,L1947)&gt;1,"Duplicate?",IF(A1947&gt;TODAY(),"Future date","OK"))))))))</f>
        <v/>
      </c>
      <c r="L1947">
        <f>IF(A1947="","",TEXT(A1947,"yyyy-mm-dd")&amp;"|"&amp;B1947&amp;"|"&amp;C1947)</f>
        <v/>
      </c>
    </row>
    <row r="1948">
      <c r="A1948" s="4" t="n"/>
      <c r="D1948" s="5" t="n"/>
      <c r="E1948" s="5" t="n"/>
      <c r="G1948" s="6">
        <f>IF(OR(A1948="",D1948="",E1948=""),"",ROUND(MOD(E1948-D1948,1)*24-N(F1948)/60,2))</f>
        <v/>
      </c>
      <c r="H1948" s="7">
        <f>IF(C1948="","",IFERROR(INDEX(Sites!$B$2:$B$501,MATCH(C1948,Sites!$A$2:$A$501,0)),"?"))</f>
        <v/>
      </c>
      <c r="I1948" s="8">
        <f>IF(A1948="","",A1948-WEEKDAY(A1948,3))</f>
        <v/>
      </c>
      <c r="K1948" s="7">
        <f>IF(A1948="","",IF(OR(B1948="",C1948="",D1948="",E1948=""),"Missing info",IF(ISNA(MATCH(B1948,Staff!$A$2:$A$101,0)),"Unknown employee",IF(H1948="?","Unknown site",IF(G1948&lt;=0,"Check times",IF(G1948&gt;12,"Over 12h",IF(COUNTIFS($L$2:$L$2001,L1948)&gt;1,"Duplicate?",IF(A1948&gt;TODAY(),"Future date","OK"))))))))</f>
        <v/>
      </c>
      <c r="L1948">
        <f>IF(A1948="","",TEXT(A1948,"yyyy-mm-dd")&amp;"|"&amp;B1948&amp;"|"&amp;C1948)</f>
        <v/>
      </c>
    </row>
    <row r="1949">
      <c r="A1949" s="4" t="n"/>
      <c r="D1949" s="5" t="n"/>
      <c r="E1949" s="5" t="n"/>
      <c r="G1949" s="6">
        <f>IF(OR(A1949="",D1949="",E1949=""),"",ROUND(MOD(E1949-D1949,1)*24-N(F1949)/60,2))</f>
        <v/>
      </c>
      <c r="H1949" s="7">
        <f>IF(C1949="","",IFERROR(INDEX(Sites!$B$2:$B$501,MATCH(C1949,Sites!$A$2:$A$501,0)),"?"))</f>
        <v/>
      </c>
      <c r="I1949" s="8">
        <f>IF(A1949="","",A1949-WEEKDAY(A1949,3))</f>
        <v/>
      </c>
      <c r="K1949" s="7">
        <f>IF(A1949="","",IF(OR(B1949="",C1949="",D1949="",E1949=""),"Missing info",IF(ISNA(MATCH(B1949,Staff!$A$2:$A$101,0)),"Unknown employee",IF(H1949="?","Unknown site",IF(G1949&lt;=0,"Check times",IF(G1949&gt;12,"Over 12h",IF(COUNTIFS($L$2:$L$2001,L1949)&gt;1,"Duplicate?",IF(A1949&gt;TODAY(),"Future date","OK"))))))))</f>
        <v/>
      </c>
      <c r="L1949">
        <f>IF(A1949="","",TEXT(A1949,"yyyy-mm-dd")&amp;"|"&amp;B1949&amp;"|"&amp;C1949)</f>
        <v/>
      </c>
    </row>
    <row r="1950">
      <c r="A1950" s="4" t="n"/>
      <c r="D1950" s="5" t="n"/>
      <c r="E1950" s="5" t="n"/>
      <c r="G1950" s="6">
        <f>IF(OR(A1950="",D1950="",E1950=""),"",ROUND(MOD(E1950-D1950,1)*24-N(F1950)/60,2))</f>
        <v/>
      </c>
      <c r="H1950" s="7">
        <f>IF(C1950="","",IFERROR(INDEX(Sites!$B$2:$B$501,MATCH(C1950,Sites!$A$2:$A$501,0)),"?"))</f>
        <v/>
      </c>
      <c r="I1950" s="8">
        <f>IF(A1950="","",A1950-WEEKDAY(A1950,3))</f>
        <v/>
      </c>
      <c r="K1950" s="7">
        <f>IF(A1950="","",IF(OR(B1950="",C1950="",D1950="",E1950=""),"Missing info",IF(ISNA(MATCH(B1950,Staff!$A$2:$A$101,0)),"Unknown employee",IF(H1950="?","Unknown site",IF(G1950&lt;=0,"Check times",IF(G1950&gt;12,"Over 12h",IF(COUNTIFS($L$2:$L$2001,L1950)&gt;1,"Duplicate?",IF(A1950&gt;TODAY(),"Future date","OK"))))))))</f>
        <v/>
      </c>
      <c r="L1950">
        <f>IF(A1950="","",TEXT(A1950,"yyyy-mm-dd")&amp;"|"&amp;B1950&amp;"|"&amp;C1950)</f>
        <v/>
      </c>
    </row>
    <row r="1951">
      <c r="A1951" s="4" t="n"/>
      <c r="D1951" s="5" t="n"/>
      <c r="E1951" s="5" t="n"/>
      <c r="G1951" s="6">
        <f>IF(OR(A1951="",D1951="",E1951=""),"",ROUND(MOD(E1951-D1951,1)*24-N(F1951)/60,2))</f>
        <v/>
      </c>
      <c r="H1951" s="7">
        <f>IF(C1951="","",IFERROR(INDEX(Sites!$B$2:$B$501,MATCH(C1951,Sites!$A$2:$A$501,0)),"?"))</f>
        <v/>
      </c>
      <c r="I1951" s="8">
        <f>IF(A1951="","",A1951-WEEKDAY(A1951,3))</f>
        <v/>
      </c>
      <c r="K1951" s="7">
        <f>IF(A1951="","",IF(OR(B1951="",C1951="",D1951="",E1951=""),"Missing info",IF(ISNA(MATCH(B1951,Staff!$A$2:$A$101,0)),"Unknown employee",IF(H1951="?","Unknown site",IF(G1951&lt;=0,"Check times",IF(G1951&gt;12,"Over 12h",IF(COUNTIFS($L$2:$L$2001,L1951)&gt;1,"Duplicate?",IF(A1951&gt;TODAY(),"Future date","OK"))))))))</f>
        <v/>
      </c>
      <c r="L1951">
        <f>IF(A1951="","",TEXT(A1951,"yyyy-mm-dd")&amp;"|"&amp;B1951&amp;"|"&amp;C1951)</f>
        <v/>
      </c>
    </row>
    <row r="1952">
      <c r="A1952" s="4" t="n"/>
      <c r="D1952" s="5" t="n"/>
      <c r="E1952" s="5" t="n"/>
      <c r="G1952" s="6">
        <f>IF(OR(A1952="",D1952="",E1952=""),"",ROUND(MOD(E1952-D1952,1)*24-N(F1952)/60,2))</f>
        <v/>
      </c>
      <c r="H1952" s="7">
        <f>IF(C1952="","",IFERROR(INDEX(Sites!$B$2:$B$501,MATCH(C1952,Sites!$A$2:$A$501,0)),"?"))</f>
        <v/>
      </c>
      <c r="I1952" s="8">
        <f>IF(A1952="","",A1952-WEEKDAY(A1952,3))</f>
        <v/>
      </c>
      <c r="K1952" s="7">
        <f>IF(A1952="","",IF(OR(B1952="",C1952="",D1952="",E1952=""),"Missing info",IF(ISNA(MATCH(B1952,Staff!$A$2:$A$101,0)),"Unknown employee",IF(H1952="?","Unknown site",IF(G1952&lt;=0,"Check times",IF(G1952&gt;12,"Over 12h",IF(COUNTIFS($L$2:$L$2001,L1952)&gt;1,"Duplicate?",IF(A1952&gt;TODAY(),"Future date","OK"))))))))</f>
        <v/>
      </c>
      <c r="L1952">
        <f>IF(A1952="","",TEXT(A1952,"yyyy-mm-dd")&amp;"|"&amp;B1952&amp;"|"&amp;C1952)</f>
        <v/>
      </c>
    </row>
    <row r="1953">
      <c r="A1953" s="4" t="n"/>
      <c r="D1953" s="5" t="n"/>
      <c r="E1953" s="5" t="n"/>
      <c r="G1953" s="6">
        <f>IF(OR(A1953="",D1953="",E1953=""),"",ROUND(MOD(E1953-D1953,1)*24-N(F1953)/60,2))</f>
        <v/>
      </c>
      <c r="H1953" s="7">
        <f>IF(C1953="","",IFERROR(INDEX(Sites!$B$2:$B$501,MATCH(C1953,Sites!$A$2:$A$501,0)),"?"))</f>
        <v/>
      </c>
      <c r="I1953" s="8">
        <f>IF(A1953="","",A1953-WEEKDAY(A1953,3))</f>
        <v/>
      </c>
      <c r="K1953" s="7">
        <f>IF(A1953="","",IF(OR(B1953="",C1953="",D1953="",E1953=""),"Missing info",IF(ISNA(MATCH(B1953,Staff!$A$2:$A$101,0)),"Unknown employee",IF(H1953="?","Unknown site",IF(G1953&lt;=0,"Check times",IF(G1953&gt;12,"Over 12h",IF(COUNTIFS($L$2:$L$2001,L1953)&gt;1,"Duplicate?",IF(A1953&gt;TODAY(),"Future date","OK"))))))))</f>
        <v/>
      </c>
      <c r="L1953">
        <f>IF(A1953="","",TEXT(A1953,"yyyy-mm-dd")&amp;"|"&amp;B1953&amp;"|"&amp;C1953)</f>
        <v/>
      </c>
    </row>
    <row r="1954">
      <c r="A1954" s="4" t="n"/>
      <c r="D1954" s="5" t="n"/>
      <c r="E1954" s="5" t="n"/>
      <c r="G1954" s="6">
        <f>IF(OR(A1954="",D1954="",E1954=""),"",ROUND(MOD(E1954-D1954,1)*24-N(F1954)/60,2))</f>
        <v/>
      </c>
      <c r="H1954" s="7">
        <f>IF(C1954="","",IFERROR(INDEX(Sites!$B$2:$B$501,MATCH(C1954,Sites!$A$2:$A$501,0)),"?"))</f>
        <v/>
      </c>
      <c r="I1954" s="8">
        <f>IF(A1954="","",A1954-WEEKDAY(A1954,3))</f>
        <v/>
      </c>
      <c r="K1954" s="7">
        <f>IF(A1954="","",IF(OR(B1954="",C1954="",D1954="",E1954=""),"Missing info",IF(ISNA(MATCH(B1954,Staff!$A$2:$A$101,0)),"Unknown employee",IF(H1954="?","Unknown site",IF(G1954&lt;=0,"Check times",IF(G1954&gt;12,"Over 12h",IF(COUNTIFS($L$2:$L$2001,L1954)&gt;1,"Duplicate?",IF(A1954&gt;TODAY(),"Future date","OK"))))))))</f>
        <v/>
      </c>
      <c r="L1954">
        <f>IF(A1954="","",TEXT(A1954,"yyyy-mm-dd")&amp;"|"&amp;B1954&amp;"|"&amp;C1954)</f>
        <v/>
      </c>
    </row>
    <row r="1955">
      <c r="A1955" s="4" t="n"/>
      <c r="D1955" s="5" t="n"/>
      <c r="E1955" s="5" t="n"/>
      <c r="G1955" s="6">
        <f>IF(OR(A1955="",D1955="",E1955=""),"",ROUND(MOD(E1955-D1955,1)*24-N(F1955)/60,2))</f>
        <v/>
      </c>
      <c r="H1955" s="7">
        <f>IF(C1955="","",IFERROR(INDEX(Sites!$B$2:$B$501,MATCH(C1955,Sites!$A$2:$A$501,0)),"?"))</f>
        <v/>
      </c>
      <c r="I1955" s="8">
        <f>IF(A1955="","",A1955-WEEKDAY(A1955,3))</f>
        <v/>
      </c>
      <c r="K1955" s="7">
        <f>IF(A1955="","",IF(OR(B1955="",C1955="",D1955="",E1955=""),"Missing info",IF(ISNA(MATCH(B1955,Staff!$A$2:$A$101,0)),"Unknown employee",IF(H1955="?","Unknown site",IF(G1955&lt;=0,"Check times",IF(G1955&gt;12,"Over 12h",IF(COUNTIFS($L$2:$L$2001,L1955)&gt;1,"Duplicate?",IF(A1955&gt;TODAY(),"Future date","OK"))))))))</f>
        <v/>
      </c>
      <c r="L1955">
        <f>IF(A1955="","",TEXT(A1955,"yyyy-mm-dd")&amp;"|"&amp;B1955&amp;"|"&amp;C1955)</f>
        <v/>
      </c>
    </row>
    <row r="1956">
      <c r="A1956" s="4" t="n"/>
      <c r="D1956" s="5" t="n"/>
      <c r="E1956" s="5" t="n"/>
      <c r="G1956" s="6">
        <f>IF(OR(A1956="",D1956="",E1956=""),"",ROUND(MOD(E1956-D1956,1)*24-N(F1956)/60,2))</f>
        <v/>
      </c>
      <c r="H1956" s="7">
        <f>IF(C1956="","",IFERROR(INDEX(Sites!$B$2:$B$501,MATCH(C1956,Sites!$A$2:$A$501,0)),"?"))</f>
        <v/>
      </c>
      <c r="I1956" s="8">
        <f>IF(A1956="","",A1956-WEEKDAY(A1956,3))</f>
        <v/>
      </c>
      <c r="K1956" s="7">
        <f>IF(A1956="","",IF(OR(B1956="",C1956="",D1956="",E1956=""),"Missing info",IF(ISNA(MATCH(B1956,Staff!$A$2:$A$101,0)),"Unknown employee",IF(H1956="?","Unknown site",IF(G1956&lt;=0,"Check times",IF(G1956&gt;12,"Over 12h",IF(COUNTIFS($L$2:$L$2001,L1956)&gt;1,"Duplicate?",IF(A1956&gt;TODAY(),"Future date","OK"))))))))</f>
        <v/>
      </c>
      <c r="L1956">
        <f>IF(A1956="","",TEXT(A1956,"yyyy-mm-dd")&amp;"|"&amp;B1956&amp;"|"&amp;C1956)</f>
        <v/>
      </c>
    </row>
    <row r="1957">
      <c r="A1957" s="4" t="n"/>
      <c r="D1957" s="5" t="n"/>
      <c r="E1957" s="5" t="n"/>
      <c r="G1957" s="6">
        <f>IF(OR(A1957="",D1957="",E1957=""),"",ROUND(MOD(E1957-D1957,1)*24-N(F1957)/60,2))</f>
        <v/>
      </c>
      <c r="H1957" s="7">
        <f>IF(C1957="","",IFERROR(INDEX(Sites!$B$2:$B$501,MATCH(C1957,Sites!$A$2:$A$501,0)),"?"))</f>
        <v/>
      </c>
      <c r="I1957" s="8">
        <f>IF(A1957="","",A1957-WEEKDAY(A1957,3))</f>
        <v/>
      </c>
      <c r="K1957" s="7">
        <f>IF(A1957="","",IF(OR(B1957="",C1957="",D1957="",E1957=""),"Missing info",IF(ISNA(MATCH(B1957,Staff!$A$2:$A$101,0)),"Unknown employee",IF(H1957="?","Unknown site",IF(G1957&lt;=0,"Check times",IF(G1957&gt;12,"Over 12h",IF(COUNTIFS($L$2:$L$2001,L1957)&gt;1,"Duplicate?",IF(A1957&gt;TODAY(),"Future date","OK"))))))))</f>
        <v/>
      </c>
      <c r="L1957">
        <f>IF(A1957="","",TEXT(A1957,"yyyy-mm-dd")&amp;"|"&amp;B1957&amp;"|"&amp;C1957)</f>
        <v/>
      </c>
    </row>
    <row r="1958">
      <c r="A1958" s="4" t="n"/>
      <c r="D1958" s="5" t="n"/>
      <c r="E1958" s="5" t="n"/>
      <c r="G1958" s="6">
        <f>IF(OR(A1958="",D1958="",E1958=""),"",ROUND(MOD(E1958-D1958,1)*24-N(F1958)/60,2))</f>
        <v/>
      </c>
      <c r="H1958" s="7">
        <f>IF(C1958="","",IFERROR(INDEX(Sites!$B$2:$B$501,MATCH(C1958,Sites!$A$2:$A$501,0)),"?"))</f>
        <v/>
      </c>
      <c r="I1958" s="8">
        <f>IF(A1958="","",A1958-WEEKDAY(A1958,3))</f>
        <v/>
      </c>
      <c r="K1958" s="7">
        <f>IF(A1958="","",IF(OR(B1958="",C1958="",D1958="",E1958=""),"Missing info",IF(ISNA(MATCH(B1958,Staff!$A$2:$A$101,0)),"Unknown employee",IF(H1958="?","Unknown site",IF(G1958&lt;=0,"Check times",IF(G1958&gt;12,"Over 12h",IF(COUNTIFS($L$2:$L$2001,L1958)&gt;1,"Duplicate?",IF(A1958&gt;TODAY(),"Future date","OK"))))))))</f>
        <v/>
      </c>
      <c r="L1958">
        <f>IF(A1958="","",TEXT(A1958,"yyyy-mm-dd")&amp;"|"&amp;B1958&amp;"|"&amp;C1958)</f>
        <v/>
      </c>
    </row>
    <row r="1959">
      <c r="A1959" s="4" t="n"/>
      <c r="D1959" s="5" t="n"/>
      <c r="E1959" s="5" t="n"/>
      <c r="G1959" s="6">
        <f>IF(OR(A1959="",D1959="",E1959=""),"",ROUND(MOD(E1959-D1959,1)*24-N(F1959)/60,2))</f>
        <v/>
      </c>
      <c r="H1959" s="7">
        <f>IF(C1959="","",IFERROR(INDEX(Sites!$B$2:$B$501,MATCH(C1959,Sites!$A$2:$A$501,0)),"?"))</f>
        <v/>
      </c>
      <c r="I1959" s="8">
        <f>IF(A1959="","",A1959-WEEKDAY(A1959,3))</f>
        <v/>
      </c>
      <c r="K1959" s="7">
        <f>IF(A1959="","",IF(OR(B1959="",C1959="",D1959="",E1959=""),"Missing info",IF(ISNA(MATCH(B1959,Staff!$A$2:$A$101,0)),"Unknown employee",IF(H1959="?","Unknown site",IF(G1959&lt;=0,"Check times",IF(G1959&gt;12,"Over 12h",IF(COUNTIFS($L$2:$L$2001,L1959)&gt;1,"Duplicate?",IF(A1959&gt;TODAY(),"Future date","OK"))))))))</f>
        <v/>
      </c>
      <c r="L1959">
        <f>IF(A1959="","",TEXT(A1959,"yyyy-mm-dd")&amp;"|"&amp;B1959&amp;"|"&amp;C1959)</f>
        <v/>
      </c>
    </row>
    <row r="1960">
      <c r="A1960" s="4" t="n"/>
      <c r="D1960" s="5" t="n"/>
      <c r="E1960" s="5" t="n"/>
      <c r="G1960" s="6">
        <f>IF(OR(A1960="",D1960="",E1960=""),"",ROUND(MOD(E1960-D1960,1)*24-N(F1960)/60,2))</f>
        <v/>
      </c>
      <c r="H1960" s="7">
        <f>IF(C1960="","",IFERROR(INDEX(Sites!$B$2:$B$501,MATCH(C1960,Sites!$A$2:$A$501,0)),"?"))</f>
        <v/>
      </c>
      <c r="I1960" s="8">
        <f>IF(A1960="","",A1960-WEEKDAY(A1960,3))</f>
        <v/>
      </c>
      <c r="K1960" s="7">
        <f>IF(A1960="","",IF(OR(B1960="",C1960="",D1960="",E1960=""),"Missing info",IF(ISNA(MATCH(B1960,Staff!$A$2:$A$101,0)),"Unknown employee",IF(H1960="?","Unknown site",IF(G1960&lt;=0,"Check times",IF(G1960&gt;12,"Over 12h",IF(COUNTIFS($L$2:$L$2001,L1960)&gt;1,"Duplicate?",IF(A1960&gt;TODAY(),"Future date","OK"))))))))</f>
        <v/>
      </c>
      <c r="L1960">
        <f>IF(A1960="","",TEXT(A1960,"yyyy-mm-dd")&amp;"|"&amp;B1960&amp;"|"&amp;C1960)</f>
        <v/>
      </c>
    </row>
    <row r="1961">
      <c r="A1961" s="4" t="n"/>
      <c r="D1961" s="5" t="n"/>
      <c r="E1961" s="5" t="n"/>
      <c r="G1961" s="6">
        <f>IF(OR(A1961="",D1961="",E1961=""),"",ROUND(MOD(E1961-D1961,1)*24-N(F1961)/60,2))</f>
        <v/>
      </c>
      <c r="H1961" s="7">
        <f>IF(C1961="","",IFERROR(INDEX(Sites!$B$2:$B$501,MATCH(C1961,Sites!$A$2:$A$501,0)),"?"))</f>
        <v/>
      </c>
      <c r="I1961" s="8">
        <f>IF(A1961="","",A1961-WEEKDAY(A1961,3))</f>
        <v/>
      </c>
      <c r="K1961" s="7">
        <f>IF(A1961="","",IF(OR(B1961="",C1961="",D1961="",E1961=""),"Missing info",IF(ISNA(MATCH(B1961,Staff!$A$2:$A$101,0)),"Unknown employee",IF(H1961="?","Unknown site",IF(G1961&lt;=0,"Check times",IF(G1961&gt;12,"Over 12h",IF(COUNTIFS($L$2:$L$2001,L1961)&gt;1,"Duplicate?",IF(A1961&gt;TODAY(),"Future date","OK"))))))))</f>
        <v/>
      </c>
      <c r="L1961">
        <f>IF(A1961="","",TEXT(A1961,"yyyy-mm-dd")&amp;"|"&amp;B1961&amp;"|"&amp;C1961)</f>
        <v/>
      </c>
    </row>
    <row r="1962">
      <c r="A1962" s="4" t="n"/>
      <c r="D1962" s="5" t="n"/>
      <c r="E1962" s="5" t="n"/>
      <c r="G1962" s="6">
        <f>IF(OR(A1962="",D1962="",E1962=""),"",ROUND(MOD(E1962-D1962,1)*24-N(F1962)/60,2))</f>
        <v/>
      </c>
      <c r="H1962" s="7">
        <f>IF(C1962="","",IFERROR(INDEX(Sites!$B$2:$B$501,MATCH(C1962,Sites!$A$2:$A$501,0)),"?"))</f>
        <v/>
      </c>
      <c r="I1962" s="8">
        <f>IF(A1962="","",A1962-WEEKDAY(A1962,3))</f>
        <v/>
      </c>
      <c r="K1962" s="7">
        <f>IF(A1962="","",IF(OR(B1962="",C1962="",D1962="",E1962=""),"Missing info",IF(ISNA(MATCH(B1962,Staff!$A$2:$A$101,0)),"Unknown employee",IF(H1962="?","Unknown site",IF(G1962&lt;=0,"Check times",IF(G1962&gt;12,"Over 12h",IF(COUNTIFS($L$2:$L$2001,L1962)&gt;1,"Duplicate?",IF(A1962&gt;TODAY(),"Future date","OK"))))))))</f>
        <v/>
      </c>
      <c r="L1962">
        <f>IF(A1962="","",TEXT(A1962,"yyyy-mm-dd")&amp;"|"&amp;B1962&amp;"|"&amp;C1962)</f>
        <v/>
      </c>
    </row>
    <row r="1963">
      <c r="A1963" s="4" t="n"/>
      <c r="D1963" s="5" t="n"/>
      <c r="E1963" s="5" t="n"/>
      <c r="G1963" s="6">
        <f>IF(OR(A1963="",D1963="",E1963=""),"",ROUND(MOD(E1963-D1963,1)*24-N(F1963)/60,2))</f>
        <v/>
      </c>
      <c r="H1963" s="7">
        <f>IF(C1963="","",IFERROR(INDEX(Sites!$B$2:$B$501,MATCH(C1963,Sites!$A$2:$A$501,0)),"?"))</f>
        <v/>
      </c>
      <c r="I1963" s="8">
        <f>IF(A1963="","",A1963-WEEKDAY(A1963,3))</f>
        <v/>
      </c>
      <c r="K1963" s="7">
        <f>IF(A1963="","",IF(OR(B1963="",C1963="",D1963="",E1963=""),"Missing info",IF(ISNA(MATCH(B1963,Staff!$A$2:$A$101,0)),"Unknown employee",IF(H1963="?","Unknown site",IF(G1963&lt;=0,"Check times",IF(G1963&gt;12,"Over 12h",IF(COUNTIFS($L$2:$L$2001,L1963)&gt;1,"Duplicate?",IF(A1963&gt;TODAY(),"Future date","OK"))))))))</f>
        <v/>
      </c>
      <c r="L1963">
        <f>IF(A1963="","",TEXT(A1963,"yyyy-mm-dd")&amp;"|"&amp;B1963&amp;"|"&amp;C1963)</f>
        <v/>
      </c>
    </row>
    <row r="1964">
      <c r="A1964" s="4" t="n"/>
      <c r="D1964" s="5" t="n"/>
      <c r="E1964" s="5" t="n"/>
      <c r="G1964" s="6">
        <f>IF(OR(A1964="",D1964="",E1964=""),"",ROUND(MOD(E1964-D1964,1)*24-N(F1964)/60,2))</f>
        <v/>
      </c>
      <c r="H1964" s="7">
        <f>IF(C1964="","",IFERROR(INDEX(Sites!$B$2:$B$501,MATCH(C1964,Sites!$A$2:$A$501,0)),"?"))</f>
        <v/>
      </c>
      <c r="I1964" s="8">
        <f>IF(A1964="","",A1964-WEEKDAY(A1964,3))</f>
        <v/>
      </c>
      <c r="K1964" s="7">
        <f>IF(A1964="","",IF(OR(B1964="",C1964="",D1964="",E1964=""),"Missing info",IF(ISNA(MATCH(B1964,Staff!$A$2:$A$101,0)),"Unknown employee",IF(H1964="?","Unknown site",IF(G1964&lt;=0,"Check times",IF(G1964&gt;12,"Over 12h",IF(COUNTIFS($L$2:$L$2001,L1964)&gt;1,"Duplicate?",IF(A1964&gt;TODAY(),"Future date","OK"))))))))</f>
        <v/>
      </c>
      <c r="L1964">
        <f>IF(A1964="","",TEXT(A1964,"yyyy-mm-dd")&amp;"|"&amp;B1964&amp;"|"&amp;C1964)</f>
        <v/>
      </c>
    </row>
    <row r="1965">
      <c r="A1965" s="4" t="n"/>
      <c r="D1965" s="5" t="n"/>
      <c r="E1965" s="5" t="n"/>
      <c r="G1965" s="6">
        <f>IF(OR(A1965="",D1965="",E1965=""),"",ROUND(MOD(E1965-D1965,1)*24-N(F1965)/60,2))</f>
        <v/>
      </c>
      <c r="H1965" s="7">
        <f>IF(C1965="","",IFERROR(INDEX(Sites!$B$2:$B$501,MATCH(C1965,Sites!$A$2:$A$501,0)),"?"))</f>
        <v/>
      </c>
      <c r="I1965" s="8">
        <f>IF(A1965="","",A1965-WEEKDAY(A1965,3))</f>
        <v/>
      </c>
      <c r="K1965" s="7">
        <f>IF(A1965="","",IF(OR(B1965="",C1965="",D1965="",E1965=""),"Missing info",IF(ISNA(MATCH(B1965,Staff!$A$2:$A$101,0)),"Unknown employee",IF(H1965="?","Unknown site",IF(G1965&lt;=0,"Check times",IF(G1965&gt;12,"Over 12h",IF(COUNTIFS($L$2:$L$2001,L1965)&gt;1,"Duplicate?",IF(A1965&gt;TODAY(),"Future date","OK"))))))))</f>
        <v/>
      </c>
      <c r="L1965">
        <f>IF(A1965="","",TEXT(A1965,"yyyy-mm-dd")&amp;"|"&amp;B1965&amp;"|"&amp;C1965)</f>
        <v/>
      </c>
    </row>
    <row r="1966">
      <c r="A1966" s="4" t="n"/>
      <c r="D1966" s="5" t="n"/>
      <c r="E1966" s="5" t="n"/>
      <c r="G1966" s="6">
        <f>IF(OR(A1966="",D1966="",E1966=""),"",ROUND(MOD(E1966-D1966,1)*24-N(F1966)/60,2))</f>
        <v/>
      </c>
      <c r="H1966" s="7">
        <f>IF(C1966="","",IFERROR(INDEX(Sites!$B$2:$B$501,MATCH(C1966,Sites!$A$2:$A$501,0)),"?"))</f>
        <v/>
      </c>
      <c r="I1966" s="8">
        <f>IF(A1966="","",A1966-WEEKDAY(A1966,3))</f>
        <v/>
      </c>
      <c r="K1966" s="7">
        <f>IF(A1966="","",IF(OR(B1966="",C1966="",D1966="",E1966=""),"Missing info",IF(ISNA(MATCH(B1966,Staff!$A$2:$A$101,0)),"Unknown employee",IF(H1966="?","Unknown site",IF(G1966&lt;=0,"Check times",IF(G1966&gt;12,"Over 12h",IF(COUNTIFS($L$2:$L$2001,L1966)&gt;1,"Duplicate?",IF(A1966&gt;TODAY(),"Future date","OK"))))))))</f>
        <v/>
      </c>
      <c r="L1966">
        <f>IF(A1966="","",TEXT(A1966,"yyyy-mm-dd")&amp;"|"&amp;B1966&amp;"|"&amp;C1966)</f>
        <v/>
      </c>
    </row>
    <row r="1967">
      <c r="A1967" s="4" t="n"/>
      <c r="D1967" s="5" t="n"/>
      <c r="E1967" s="5" t="n"/>
      <c r="G1967" s="6">
        <f>IF(OR(A1967="",D1967="",E1967=""),"",ROUND(MOD(E1967-D1967,1)*24-N(F1967)/60,2))</f>
        <v/>
      </c>
      <c r="H1967" s="7">
        <f>IF(C1967="","",IFERROR(INDEX(Sites!$B$2:$B$501,MATCH(C1967,Sites!$A$2:$A$501,0)),"?"))</f>
        <v/>
      </c>
      <c r="I1967" s="8">
        <f>IF(A1967="","",A1967-WEEKDAY(A1967,3))</f>
        <v/>
      </c>
      <c r="K1967" s="7">
        <f>IF(A1967="","",IF(OR(B1967="",C1967="",D1967="",E1967=""),"Missing info",IF(ISNA(MATCH(B1967,Staff!$A$2:$A$101,0)),"Unknown employee",IF(H1967="?","Unknown site",IF(G1967&lt;=0,"Check times",IF(G1967&gt;12,"Over 12h",IF(COUNTIFS($L$2:$L$2001,L1967)&gt;1,"Duplicate?",IF(A1967&gt;TODAY(),"Future date","OK"))))))))</f>
        <v/>
      </c>
      <c r="L1967">
        <f>IF(A1967="","",TEXT(A1967,"yyyy-mm-dd")&amp;"|"&amp;B1967&amp;"|"&amp;C1967)</f>
        <v/>
      </c>
    </row>
    <row r="1968">
      <c r="A1968" s="4" t="n"/>
      <c r="D1968" s="5" t="n"/>
      <c r="E1968" s="5" t="n"/>
      <c r="G1968" s="6">
        <f>IF(OR(A1968="",D1968="",E1968=""),"",ROUND(MOD(E1968-D1968,1)*24-N(F1968)/60,2))</f>
        <v/>
      </c>
      <c r="H1968" s="7">
        <f>IF(C1968="","",IFERROR(INDEX(Sites!$B$2:$B$501,MATCH(C1968,Sites!$A$2:$A$501,0)),"?"))</f>
        <v/>
      </c>
      <c r="I1968" s="8">
        <f>IF(A1968="","",A1968-WEEKDAY(A1968,3))</f>
        <v/>
      </c>
      <c r="K1968" s="7">
        <f>IF(A1968="","",IF(OR(B1968="",C1968="",D1968="",E1968=""),"Missing info",IF(ISNA(MATCH(B1968,Staff!$A$2:$A$101,0)),"Unknown employee",IF(H1968="?","Unknown site",IF(G1968&lt;=0,"Check times",IF(G1968&gt;12,"Over 12h",IF(COUNTIFS($L$2:$L$2001,L1968)&gt;1,"Duplicate?",IF(A1968&gt;TODAY(),"Future date","OK"))))))))</f>
        <v/>
      </c>
      <c r="L1968">
        <f>IF(A1968="","",TEXT(A1968,"yyyy-mm-dd")&amp;"|"&amp;B1968&amp;"|"&amp;C1968)</f>
        <v/>
      </c>
    </row>
    <row r="1969">
      <c r="A1969" s="4" t="n"/>
      <c r="D1969" s="5" t="n"/>
      <c r="E1969" s="5" t="n"/>
      <c r="G1969" s="6">
        <f>IF(OR(A1969="",D1969="",E1969=""),"",ROUND(MOD(E1969-D1969,1)*24-N(F1969)/60,2))</f>
        <v/>
      </c>
      <c r="H1969" s="7">
        <f>IF(C1969="","",IFERROR(INDEX(Sites!$B$2:$B$501,MATCH(C1969,Sites!$A$2:$A$501,0)),"?"))</f>
        <v/>
      </c>
      <c r="I1969" s="8">
        <f>IF(A1969="","",A1969-WEEKDAY(A1969,3))</f>
        <v/>
      </c>
      <c r="K1969" s="7">
        <f>IF(A1969="","",IF(OR(B1969="",C1969="",D1969="",E1969=""),"Missing info",IF(ISNA(MATCH(B1969,Staff!$A$2:$A$101,0)),"Unknown employee",IF(H1969="?","Unknown site",IF(G1969&lt;=0,"Check times",IF(G1969&gt;12,"Over 12h",IF(COUNTIFS($L$2:$L$2001,L1969)&gt;1,"Duplicate?",IF(A1969&gt;TODAY(),"Future date","OK"))))))))</f>
        <v/>
      </c>
      <c r="L1969">
        <f>IF(A1969="","",TEXT(A1969,"yyyy-mm-dd")&amp;"|"&amp;B1969&amp;"|"&amp;C1969)</f>
        <v/>
      </c>
    </row>
    <row r="1970">
      <c r="A1970" s="4" t="n"/>
      <c r="D1970" s="5" t="n"/>
      <c r="E1970" s="5" t="n"/>
      <c r="G1970" s="6">
        <f>IF(OR(A1970="",D1970="",E1970=""),"",ROUND(MOD(E1970-D1970,1)*24-N(F1970)/60,2))</f>
        <v/>
      </c>
      <c r="H1970" s="7">
        <f>IF(C1970="","",IFERROR(INDEX(Sites!$B$2:$B$501,MATCH(C1970,Sites!$A$2:$A$501,0)),"?"))</f>
        <v/>
      </c>
      <c r="I1970" s="8">
        <f>IF(A1970="","",A1970-WEEKDAY(A1970,3))</f>
        <v/>
      </c>
      <c r="K1970" s="7">
        <f>IF(A1970="","",IF(OR(B1970="",C1970="",D1970="",E1970=""),"Missing info",IF(ISNA(MATCH(B1970,Staff!$A$2:$A$101,0)),"Unknown employee",IF(H1970="?","Unknown site",IF(G1970&lt;=0,"Check times",IF(G1970&gt;12,"Over 12h",IF(COUNTIFS($L$2:$L$2001,L1970)&gt;1,"Duplicate?",IF(A1970&gt;TODAY(),"Future date","OK"))))))))</f>
        <v/>
      </c>
      <c r="L1970">
        <f>IF(A1970="","",TEXT(A1970,"yyyy-mm-dd")&amp;"|"&amp;B1970&amp;"|"&amp;C1970)</f>
        <v/>
      </c>
    </row>
    <row r="1971">
      <c r="A1971" s="4" t="n"/>
      <c r="D1971" s="5" t="n"/>
      <c r="E1971" s="5" t="n"/>
      <c r="G1971" s="6">
        <f>IF(OR(A1971="",D1971="",E1971=""),"",ROUND(MOD(E1971-D1971,1)*24-N(F1971)/60,2))</f>
        <v/>
      </c>
      <c r="H1971" s="7">
        <f>IF(C1971="","",IFERROR(INDEX(Sites!$B$2:$B$501,MATCH(C1971,Sites!$A$2:$A$501,0)),"?"))</f>
        <v/>
      </c>
      <c r="I1971" s="8">
        <f>IF(A1971="","",A1971-WEEKDAY(A1971,3))</f>
        <v/>
      </c>
      <c r="K1971" s="7">
        <f>IF(A1971="","",IF(OR(B1971="",C1971="",D1971="",E1971=""),"Missing info",IF(ISNA(MATCH(B1971,Staff!$A$2:$A$101,0)),"Unknown employee",IF(H1971="?","Unknown site",IF(G1971&lt;=0,"Check times",IF(G1971&gt;12,"Over 12h",IF(COUNTIFS($L$2:$L$2001,L1971)&gt;1,"Duplicate?",IF(A1971&gt;TODAY(),"Future date","OK"))))))))</f>
        <v/>
      </c>
      <c r="L1971">
        <f>IF(A1971="","",TEXT(A1971,"yyyy-mm-dd")&amp;"|"&amp;B1971&amp;"|"&amp;C1971)</f>
        <v/>
      </c>
    </row>
    <row r="1972">
      <c r="A1972" s="4" t="n"/>
      <c r="D1972" s="5" t="n"/>
      <c r="E1972" s="5" t="n"/>
      <c r="G1972" s="6">
        <f>IF(OR(A1972="",D1972="",E1972=""),"",ROUND(MOD(E1972-D1972,1)*24-N(F1972)/60,2))</f>
        <v/>
      </c>
      <c r="H1972" s="7">
        <f>IF(C1972="","",IFERROR(INDEX(Sites!$B$2:$B$501,MATCH(C1972,Sites!$A$2:$A$501,0)),"?"))</f>
        <v/>
      </c>
      <c r="I1972" s="8">
        <f>IF(A1972="","",A1972-WEEKDAY(A1972,3))</f>
        <v/>
      </c>
      <c r="K1972" s="7">
        <f>IF(A1972="","",IF(OR(B1972="",C1972="",D1972="",E1972=""),"Missing info",IF(ISNA(MATCH(B1972,Staff!$A$2:$A$101,0)),"Unknown employee",IF(H1972="?","Unknown site",IF(G1972&lt;=0,"Check times",IF(G1972&gt;12,"Over 12h",IF(COUNTIFS($L$2:$L$2001,L1972)&gt;1,"Duplicate?",IF(A1972&gt;TODAY(),"Future date","OK"))))))))</f>
        <v/>
      </c>
      <c r="L1972">
        <f>IF(A1972="","",TEXT(A1972,"yyyy-mm-dd")&amp;"|"&amp;B1972&amp;"|"&amp;C1972)</f>
        <v/>
      </c>
    </row>
    <row r="1973">
      <c r="A1973" s="4" t="n"/>
      <c r="D1973" s="5" t="n"/>
      <c r="E1973" s="5" t="n"/>
      <c r="G1973" s="6">
        <f>IF(OR(A1973="",D1973="",E1973=""),"",ROUND(MOD(E1973-D1973,1)*24-N(F1973)/60,2))</f>
        <v/>
      </c>
      <c r="H1973" s="7">
        <f>IF(C1973="","",IFERROR(INDEX(Sites!$B$2:$B$501,MATCH(C1973,Sites!$A$2:$A$501,0)),"?"))</f>
        <v/>
      </c>
      <c r="I1973" s="8">
        <f>IF(A1973="","",A1973-WEEKDAY(A1973,3))</f>
        <v/>
      </c>
      <c r="K1973" s="7">
        <f>IF(A1973="","",IF(OR(B1973="",C1973="",D1973="",E1973=""),"Missing info",IF(ISNA(MATCH(B1973,Staff!$A$2:$A$101,0)),"Unknown employee",IF(H1973="?","Unknown site",IF(G1973&lt;=0,"Check times",IF(G1973&gt;12,"Over 12h",IF(COUNTIFS($L$2:$L$2001,L1973)&gt;1,"Duplicate?",IF(A1973&gt;TODAY(),"Future date","OK"))))))))</f>
        <v/>
      </c>
      <c r="L1973">
        <f>IF(A1973="","",TEXT(A1973,"yyyy-mm-dd")&amp;"|"&amp;B1973&amp;"|"&amp;C1973)</f>
        <v/>
      </c>
    </row>
    <row r="1974">
      <c r="A1974" s="4" t="n"/>
      <c r="D1974" s="5" t="n"/>
      <c r="E1974" s="5" t="n"/>
      <c r="G1974" s="6">
        <f>IF(OR(A1974="",D1974="",E1974=""),"",ROUND(MOD(E1974-D1974,1)*24-N(F1974)/60,2))</f>
        <v/>
      </c>
      <c r="H1974" s="7">
        <f>IF(C1974="","",IFERROR(INDEX(Sites!$B$2:$B$501,MATCH(C1974,Sites!$A$2:$A$501,0)),"?"))</f>
        <v/>
      </c>
      <c r="I1974" s="8">
        <f>IF(A1974="","",A1974-WEEKDAY(A1974,3))</f>
        <v/>
      </c>
      <c r="K1974" s="7">
        <f>IF(A1974="","",IF(OR(B1974="",C1974="",D1974="",E1974=""),"Missing info",IF(ISNA(MATCH(B1974,Staff!$A$2:$A$101,0)),"Unknown employee",IF(H1974="?","Unknown site",IF(G1974&lt;=0,"Check times",IF(G1974&gt;12,"Over 12h",IF(COUNTIFS($L$2:$L$2001,L1974)&gt;1,"Duplicate?",IF(A1974&gt;TODAY(),"Future date","OK"))))))))</f>
        <v/>
      </c>
      <c r="L1974">
        <f>IF(A1974="","",TEXT(A1974,"yyyy-mm-dd")&amp;"|"&amp;B1974&amp;"|"&amp;C1974)</f>
        <v/>
      </c>
    </row>
    <row r="1975">
      <c r="A1975" s="4" t="n"/>
      <c r="D1975" s="5" t="n"/>
      <c r="E1975" s="5" t="n"/>
      <c r="G1975" s="6">
        <f>IF(OR(A1975="",D1975="",E1975=""),"",ROUND(MOD(E1975-D1975,1)*24-N(F1975)/60,2))</f>
        <v/>
      </c>
      <c r="H1975" s="7">
        <f>IF(C1975="","",IFERROR(INDEX(Sites!$B$2:$B$501,MATCH(C1975,Sites!$A$2:$A$501,0)),"?"))</f>
        <v/>
      </c>
      <c r="I1975" s="8">
        <f>IF(A1975="","",A1975-WEEKDAY(A1975,3))</f>
        <v/>
      </c>
      <c r="K1975" s="7">
        <f>IF(A1975="","",IF(OR(B1975="",C1975="",D1975="",E1975=""),"Missing info",IF(ISNA(MATCH(B1975,Staff!$A$2:$A$101,0)),"Unknown employee",IF(H1975="?","Unknown site",IF(G1975&lt;=0,"Check times",IF(G1975&gt;12,"Over 12h",IF(COUNTIFS($L$2:$L$2001,L1975)&gt;1,"Duplicate?",IF(A1975&gt;TODAY(),"Future date","OK"))))))))</f>
        <v/>
      </c>
      <c r="L1975">
        <f>IF(A1975="","",TEXT(A1975,"yyyy-mm-dd")&amp;"|"&amp;B1975&amp;"|"&amp;C1975)</f>
        <v/>
      </c>
    </row>
    <row r="1976">
      <c r="A1976" s="4" t="n"/>
      <c r="D1976" s="5" t="n"/>
      <c r="E1976" s="5" t="n"/>
      <c r="G1976" s="6">
        <f>IF(OR(A1976="",D1976="",E1976=""),"",ROUND(MOD(E1976-D1976,1)*24-N(F1976)/60,2))</f>
        <v/>
      </c>
      <c r="H1976" s="7">
        <f>IF(C1976="","",IFERROR(INDEX(Sites!$B$2:$B$501,MATCH(C1976,Sites!$A$2:$A$501,0)),"?"))</f>
        <v/>
      </c>
      <c r="I1976" s="8">
        <f>IF(A1976="","",A1976-WEEKDAY(A1976,3))</f>
        <v/>
      </c>
      <c r="K1976" s="7">
        <f>IF(A1976="","",IF(OR(B1976="",C1976="",D1976="",E1976=""),"Missing info",IF(ISNA(MATCH(B1976,Staff!$A$2:$A$101,0)),"Unknown employee",IF(H1976="?","Unknown site",IF(G1976&lt;=0,"Check times",IF(G1976&gt;12,"Over 12h",IF(COUNTIFS($L$2:$L$2001,L1976)&gt;1,"Duplicate?",IF(A1976&gt;TODAY(),"Future date","OK"))))))))</f>
        <v/>
      </c>
      <c r="L1976">
        <f>IF(A1976="","",TEXT(A1976,"yyyy-mm-dd")&amp;"|"&amp;B1976&amp;"|"&amp;C1976)</f>
        <v/>
      </c>
    </row>
    <row r="1977">
      <c r="A1977" s="4" t="n"/>
      <c r="D1977" s="5" t="n"/>
      <c r="E1977" s="5" t="n"/>
      <c r="G1977" s="6">
        <f>IF(OR(A1977="",D1977="",E1977=""),"",ROUND(MOD(E1977-D1977,1)*24-N(F1977)/60,2))</f>
        <v/>
      </c>
      <c r="H1977" s="7">
        <f>IF(C1977="","",IFERROR(INDEX(Sites!$B$2:$B$501,MATCH(C1977,Sites!$A$2:$A$501,0)),"?"))</f>
        <v/>
      </c>
      <c r="I1977" s="8">
        <f>IF(A1977="","",A1977-WEEKDAY(A1977,3))</f>
        <v/>
      </c>
      <c r="K1977" s="7">
        <f>IF(A1977="","",IF(OR(B1977="",C1977="",D1977="",E1977=""),"Missing info",IF(ISNA(MATCH(B1977,Staff!$A$2:$A$101,0)),"Unknown employee",IF(H1977="?","Unknown site",IF(G1977&lt;=0,"Check times",IF(G1977&gt;12,"Over 12h",IF(COUNTIFS($L$2:$L$2001,L1977)&gt;1,"Duplicate?",IF(A1977&gt;TODAY(),"Future date","OK"))))))))</f>
        <v/>
      </c>
      <c r="L1977">
        <f>IF(A1977="","",TEXT(A1977,"yyyy-mm-dd")&amp;"|"&amp;B1977&amp;"|"&amp;C1977)</f>
        <v/>
      </c>
    </row>
    <row r="1978">
      <c r="A1978" s="4" t="n"/>
      <c r="D1978" s="5" t="n"/>
      <c r="E1978" s="5" t="n"/>
      <c r="G1978" s="6">
        <f>IF(OR(A1978="",D1978="",E1978=""),"",ROUND(MOD(E1978-D1978,1)*24-N(F1978)/60,2))</f>
        <v/>
      </c>
      <c r="H1978" s="7">
        <f>IF(C1978="","",IFERROR(INDEX(Sites!$B$2:$B$501,MATCH(C1978,Sites!$A$2:$A$501,0)),"?"))</f>
        <v/>
      </c>
      <c r="I1978" s="8">
        <f>IF(A1978="","",A1978-WEEKDAY(A1978,3))</f>
        <v/>
      </c>
      <c r="K1978" s="7">
        <f>IF(A1978="","",IF(OR(B1978="",C1978="",D1978="",E1978=""),"Missing info",IF(ISNA(MATCH(B1978,Staff!$A$2:$A$101,0)),"Unknown employee",IF(H1978="?","Unknown site",IF(G1978&lt;=0,"Check times",IF(G1978&gt;12,"Over 12h",IF(COUNTIFS($L$2:$L$2001,L1978)&gt;1,"Duplicate?",IF(A1978&gt;TODAY(),"Future date","OK"))))))))</f>
        <v/>
      </c>
      <c r="L1978">
        <f>IF(A1978="","",TEXT(A1978,"yyyy-mm-dd")&amp;"|"&amp;B1978&amp;"|"&amp;C1978)</f>
        <v/>
      </c>
    </row>
    <row r="1979">
      <c r="A1979" s="4" t="n"/>
      <c r="D1979" s="5" t="n"/>
      <c r="E1979" s="5" t="n"/>
      <c r="G1979" s="6">
        <f>IF(OR(A1979="",D1979="",E1979=""),"",ROUND(MOD(E1979-D1979,1)*24-N(F1979)/60,2))</f>
        <v/>
      </c>
      <c r="H1979" s="7">
        <f>IF(C1979="","",IFERROR(INDEX(Sites!$B$2:$B$501,MATCH(C1979,Sites!$A$2:$A$501,0)),"?"))</f>
        <v/>
      </c>
      <c r="I1979" s="8">
        <f>IF(A1979="","",A1979-WEEKDAY(A1979,3))</f>
        <v/>
      </c>
      <c r="K1979" s="7">
        <f>IF(A1979="","",IF(OR(B1979="",C1979="",D1979="",E1979=""),"Missing info",IF(ISNA(MATCH(B1979,Staff!$A$2:$A$101,0)),"Unknown employee",IF(H1979="?","Unknown site",IF(G1979&lt;=0,"Check times",IF(G1979&gt;12,"Over 12h",IF(COUNTIFS($L$2:$L$2001,L1979)&gt;1,"Duplicate?",IF(A1979&gt;TODAY(),"Future date","OK"))))))))</f>
        <v/>
      </c>
      <c r="L1979">
        <f>IF(A1979="","",TEXT(A1979,"yyyy-mm-dd")&amp;"|"&amp;B1979&amp;"|"&amp;C1979)</f>
        <v/>
      </c>
    </row>
    <row r="1980">
      <c r="A1980" s="4" t="n"/>
      <c r="D1980" s="5" t="n"/>
      <c r="E1980" s="5" t="n"/>
      <c r="G1980" s="6">
        <f>IF(OR(A1980="",D1980="",E1980=""),"",ROUND(MOD(E1980-D1980,1)*24-N(F1980)/60,2))</f>
        <v/>
      </c>
      <c r="H1980" s="7">
        <f>IF(C1980="","",IFERROR(INDEX(Sites!$B$2:$B$501,MATCH(C1980,Sites!$A$2:$A$501,0)),"?"))</f>
        <v/>
      </c>
      <c r="I1980" s="8">
        <f>IF(A1980="","",A1980-WEEKDAY(A1980,3))</f>
        <v/>
      </c>
      <c r="K1980" s="7">
        <f>IF(A1980="","",IF(OR(B1980="",C1980="",D1980="",E1980=""),"Missing info",IF(ISNA(MATCH(B1980,Staff!$A$2:$A$101,0)),"Unknown employee",IF(H1980="?","Unknown site",IF(G1980&lt;=0,"Check times",IF(G1980&gt;12,"Over 12h",IF(COUNTIFS($L$2:$L$2001,L1980)&gt;1,"Duplicate?",IF(A1980&gt;TODAY(),"Future date","OK"))))))))</f>
        <v/>
      </c>
      <c r="L1980">
        <f>IF(A1980="","",TEXT(A1980,"yyyy-mm-dd")&amp;"|"&amp;B1980&amp;"|"&amp;C1980)</f>
        <v/>
      </c>
    </row>
    <row r="1981">
      <c r="A1981" s="4" t="n"/>
      <c r="D1981" s="5" t="n"/>
      <c r="E1981" s="5" t="n"/>
      <c r="G1981" s="6">
        <f>IF(OR(A1981="",D1981="",E1981=""),"",ROUND(MOD(E1981-D1981,1)*24-N(F1981)/60,2))</f>
        <v/>
      </c>
      <c r="H1981" s="7">
        <f>IF(C1981="","",IFERROR(INDEX(Sites!$B$2:$B$501,MATCH(C1981,Sites!$A$2:$A$501,0)),"?"))</f>
        <v/>
      </c>
      <c r="I1981" s="8">
        <f>IF(A1981="","",A1981-WEEKDAY(A1981,3))</f>
        <v/>
      </c>
      <c r="K1981" s="7">
        <f>IF(A1981="","",IF(OR(B1981="",C1981="",D1981="",E1981=""),"Missing info",IF(ISNA(MATCH(B1981,Staff!$A$2:$A$101,0)),"Unknown employee",IF(H1981="?","Unknown site",IF(G1981&lt;=0,"Check times",IF(G1981&gt;12,"Over 12h",IF(COUNTIFS($L$2:$L$2001,L1981)&gt;1,"Duplicate?",IF(A1981&gt;TODAY(),"Future date","OK"))))))))</f>
        <v/>
      </c>
      <c r="L1981">
        <f>IF(A1981="","",TEXT(A1981,"yyyy-mm-dd")&amp;"|"&amp;B1981&amp;"|"&amp;C1981)</f>
        <v/>
      </c>
    </row>
    <row r="1982">
      <c r="A1982" s="4" t="n"/>
      <c r="D1982" s="5" t="n"/>
      <c r="E1982" s="5" t="n"/>
      <c r="G1982" s="6">
        <f>IF(OR(A1982="",D1982="",E1982=""),"",ROUND(MOD(E1982-D1982,1)*24-N(F1982)/60,2))</f>
        <v/>
      </c>
      <c r="H1982" s="7">
        <f>IF(C1982="","",IFERROR(INDEX(Sites!$B$2:$B$501,MATCH(C1982,Sites!$A$2:$A$501,0)),"?"))</f>
        <v/>
      </c>
      <c r="I1982" s="8">
        <f>IF(A1982="","",A1982-WEEKDAY(A1982,3))</f>
        <v/>
      </c>
      <c r="K1982" s="7">
        <f>IF(A1982="","",IF(OR(B1982="",C1982="",D1982="",E1982=""),"Missing info",IF(ISNA(MATCH(B1982,Staff!$A$2:$A$101,0)),"Unknown employee",IF(H1982="?","Unknown site",IF(G1982&lt;=0,"Check times",IF(G1982&gt;12,"Over 12h",IF(COUNTIFS($L$2:$L$2001,L1982)&gt;1,"Duplicate?",IF(A1982&gt;TODAY(),"Future date","OK"))))))))</f>
        <v/>
      </c>
      <c r="L1982">
        <f>IF(A1982="","",TEXT(A1982,"yyyy-mm-dd")&amp;"|"&amp;B1982&amp;"|"&amp;C1982)</f>
        <v/>
      </c>
    </row>
    <row r="1983">
      <c r="A1983" s="4" t="n"/>
      <c r="D1983" s="5" t="n"/>
      <c r="E1983" s="5" t="n"/>
      <c r="G1983" s="6">
        <f>IF(OR(A1983="",D1983="",E1983=""),"",ROUND(MOD(E1983-D1983,1)*24-N(F1983)/60,2))</f>
        <v/>
      </c>
      <c r="H1983" s="7">
        <f>IF(C1983="","",IFERROR(INDEX(Sites!$B$2:$B$501,MATCH(C1983,Sites!$A$2:$A$501,0)),"?"))</f>
        <v/>
      </c>
      <c r="I1983" s="8">
        <f>IF(A1983="","",A1983-WEEKDAY(A1983,3))</f>
        <v/>
      </c>
      <c r="K1983" s="7">
        <f>IF(A1983="","",IF(OR(B1983="",C1983="",D1983="",E1983=""),"Missing info",IF(ISNA(MATCH(B1983,Staff!$A$2:$A$101,0)),"Unknown employee",IF(H1983="?","Unknown site",IF(G1983&lt;=0,"Check times",IF(G1983&gt;12,"Over 12h",IF(COUNTIFS($L$2:$L$2001,L1983)&gt;1,"Duplicate?",IF(A1983&gt;TODAY(),"Future date","OK"))))))))</f>
        <v/>
      </c>
      <c r="L1983">
        <f>IF(A1983="","",TEXT(A1983,"yyyy-mm-dd")&amp;"|"&amp;B1983&amp;"|"&amp;C1983)</f>
        <v/>
      </c>
    </row>
    <row r="1984">
      <c r="A1984" s="4" t="n"/>
      <c r="D1984" s="5" t="n"/>
      <c r="E1984" s="5" t="n"/>
      <c r="G1984" s="6">
        <f>IF(OR(A1984="",D1984="",E1984=""),"",ROUND(MOD(E1984-D1984,1)*24-N(F1984)/60,2))</f>
        <v/>
      </c>
      <c r="H1984" s="7">
        <f>IF(C1984="","",IFERROR(INDEX(Sites!$B$2:$B$501,MATCH(C1984,Sites!$A$2:$A$501,0)),"?"))</f>
        <v/>
      </c>
      <c r="I1984" s="8">
        <f>IF(A1984="","",A1984-WEEKDAY(A1984,3))</f>
        <v/>
      </c>
      <c r="K1984" s="7">
        <f>IF(A1984="","",IF(OR(B1984="",C1984="",D1984="",E1984=""),"Missing info",IF(ISNA(MATCH(B1984,Staff!$A$2:$A$101,0)),"Unknown employee",IF(H1984="?","Unknown site",IF(G1984&lt;=0,"Check times",IF(G1984&gt;12,"Over 12h",IF(COUNTIFS($L$2:$L$2001,L1984)&gt;1,"Duplicate?",IF(A1984&gt;TODAY(),"Future date","OK"))))))))</f>
        <v/>
      </c>
      <c r="L1984">
        <f>IF(A1984="","",TEXT(A1984,"yyyy-mm-dd")&amp;"|"&amp;B1984&amp;"|"&amp;C1984)</f>
        <v/>
      </c>
    </row>
    <row r="1985">
      <c r="A1985" s="4" t="n"/>
      <c r="D1985" s="5" t="n"/>
      <c r="E1985" s="5" t="n"/>
      <c r="G1985" s="6">
        <f>IF(OR(A1985="",D1985="",E1985=""),"",ROUND(MOD(E1985-D1985,1)*24-N(F1985)/60,2))</f>
        <v/>
      </c>
      <c r="H1985" s="7">
        <f>IF(C1985="","",IFERROR(INDEX(Sites!$B$2:$B$501,MATCH(C1985,Sites!$A$2:$A$501,0)),"?"))</f>
        <v/>
      </c>
      <c r="I1985" s="8">
        <f>IF(A1985="","",A1985-WEEKDAY(A1985,3))</f>
        <v/>
      </c>
      <c r="K1985" s="7">
        <f>IF(A1985="","",IF(OR(B1985="",C1985="",D1985="",E1985=""),"Missing info",IF(ISNA(MATCH(B1985,Staff!$A$2:$A$101,0)),"Unknown employee",IF(H1985="?","Unknown site",IF(G1985&lt;=0,"Check times",IF(G1985&gt;12,"Over 12h",IF(COUNTIFS($L$2:$L$2001,L1985)&gt;1,"Duplicate?",IF(A1985&gt;TODAY(),"Future date","OK"))))))))</f>
        <v/>
      </c>
      <c r="L1985">
        <f>IF(A1985="","",TEXT(A1985,"yyyy-mm-dd")&amp;"|"&amp;B1985&amp;"|"&amp;C1985)</f>
        <v/>
      </c>
    </row>
    <row r="1986">
      <c r="A1986" s="4" t="n"/>
      <c r="D1986" s="5" t="n"/>
      <c r="E1986" s="5" t="n"/>
      <c r="G1986" s="6">
        <f>IF(OR(A1986="",D1986="",E1986=""),"",ROUND(MOD(E1986-D1986,1)*24-N(F1986)/60,2))</f>
        <v/>
      </c>
      <c r="H1986" s="7">
        <f>IF(C1986="","",IFERROR(INDEX(Sites!$B$2:$B$501,MATCH(C1986,Sites!$A$2:$A$501,0)),"?"))</f>
        <v/>
      </c>
      <c r="I1986" s="8">
        <f>IF(A1986="","",A1986-WEEKDAY(A1986,3))</f>
        <v/>
      </c>
      <c r="K1986" s="7">
        <f>IF(A1986="","",IF(OR(B1986="",C1986="",D1986="",E1986=""),"Missing info",IF(ISNA(MATCH(B1986,Staff!$A$2:$A$101,0)),"Unknown employee",IF(H1986="?","Unknown site",IF(G1986&lt;=0,"Check times",IF(G1986&gt;12,"Over 12h",IF(COUNTIFS($L$2:$L$2001,L1986)&gt;1,"Duplicate?",IF(A1986&gt;TODAY(),"Future date","OK"))))))))</f>
        <v/>
      </c>
      <c r="L1986">
        <f>IF(A1986="","",TEXT(A1986,"yyyy-mm-dd")&amp;"|"&amp;B1986&amp;"|"&amp;C1986)</f>
        <v/>
      </c>
    </row>
    <row r="1987">
      <c r="A1987" s="4" t="n"/>
      <c r="D1987" s="5" t="n"/>
      <c r="E1987" s="5" t="n"/>
      <c r="G1987" s="6">
        <f>IF(OR(A1987="",D1987="",E1987=""),"",ROUND(MOD(E1987-D1987,1)*24-N(F1987)/60,2))</f>
        <v/>
      </c>
      <c r="H1987" s="7">
        <f>IF(C1987="","",IFERROR(INDEX(Sites!$B$2:$B$501,MATCH(C1987,Sites!$A$2:$A$501,0)),"?"))</f>
        <v/>
      </c>
      <c r="I1987" s="8">
        <f>IF(A1987="","",A1987-WEEKDAY(A1987,3))</f>
        <v/>
      </c>
      <c r="K1987" s="7">
        <f>IF(A1987="","",IF(OR(B1987="",C1987="",D1987="",E1987=""),"Missing info",IF(ISNA(MATCH(B1987,Staff!$A$2:$A$101,0)),"Unknown employee",IF(H1987="?","Unknown site",IF(G1987&lt;=0,"Check times",IF(G1987&gt;12,"Over 12h",IF(COUNTIFS($L$2:$L$2001,L1987)&gt;1,"Duplicate?",IF(A1987&gt;TODAY(),"Future date","OK"))))))))</f>
        <v/>
      </c>
      <c r="L1987">
        <f>IF(A1987="","",TEXT(A1987,"yyyy-mm-dd")&amp;"|"&amp;B1987&amp;"|"&amp;C1987)</f>
        <v/>
      </c>
    </row>
    <row r="1988">
      <c r="A1988" s="4" t="n"/>
      <c r="D1988" s="5" t="n"/>
      <c r="E1988" s="5" t="n"/>
      <c r="G1988" s="6">
        <f>IF(OR(A1988="",D1988="",E1988=""),"",ROUND(MOD(E1988-D1988,1)*24-N(F1988)/60,2))</f>
        <v/>
      </c>
      <c r="H1988" s="7">
        <f>IF(C1988="","",IFERROR(INDEX(Sites!$B$2:$B$501,MATCH(C1988,Sites!$A$2:$A$501,0)),"?"))</f>
        <v/>
      </c>
      <c r="I1988" s="8">
        <f>IF(A1988="","",A1988-WEEKDAY(A1988,3))</f>
        <v/>
      </c>
      <c r="K1988" s="7">
        <f>IF(A1988="","",IF(OR(B1988="",C1988="",D1988="",E1988=""),"Missing info",IF(ISNA(MATCH(B1988,Staff!$A$2:$A$101,0)),"Unknown employee",IF(H1988="?","Unknown site",IF(G1988&lt;=0,"Check times",IF(G1988&gt;12,"Over 12h",IF(COUNTIFS($L$2:$L$2001,L1988)&gt;1,"Duplicate?",IF(A1988&gt;TODAY(),"Future date","OK"))))))))</f>
        <v/>
      </c>
      <c r="L1988">
        <f>IF(A1988="","",TEXT(A1988,"yyyy-mm-dd")&amp;"|"&amp;B1988&amp;"|"&amp;C1988)</f>
        <v/>
      </c>
    </row>
    <row r="1989">
      <c r="A1989" s="4" t="n"/>
      <c r="D1989" s="5" t="n"/>
      <c r="E1989" s="5" t="n"/>
      <c r="G1989" s="6">
        <f>IF(OR(A1989="",D1989="",E1989=""),"",ROUND(MOD(E1989-D1989,1)*24-N(F1989)/60,2))</f>
        <v/>
      </c>
      <c r="H1989" s="7">
        <f>IF(C1989="","",IFERROR(INDEX(Sites!$B$2:$B$501,MATCH(C1989,Sites!$A$2:$A$501,0)),"?"))</f>
        <v/>
      </c>
      <c r="I1989" s="8">
        <f>IF(A1989="","",A1989-WEEKDAY(A1989,3))</f>
        <v/>
      </c>
      <c r="K1989" s="7">
        <f>IF(A1989="","",IF(OR(B1989="",C1989="",D1989="",E1989=""),"Missing info",IF(ISNA(MATCH(B1989,Staff!$A$2:$A$101,0)),"Unknown employee",IF(H1989="?","Unknown site",IF(G1989&lt;=0,"Check times",IF(G1989&gt;12,"Over 12h",IF(COUNTIFS($L$2:$L$2001,L1989)&gt;1,"Duplicate?",IF(A1989&gt;TODAY(),"Future date","OK"))))))))</f>
        <v/>
      </c>
      <c r="L1989">
        <f>IF(A1989="","",TEXT(A1989,"yyyy-mm-dd")&amp;"|"&amp;B1989&amp;"|"&amp;C1989)</f>
        <v/>
      </c>
    </row>
    <row r="1990">
      <c r="A1990" s="4" t="n"/>
      <c r="D1990" s="5" t="n"/>
      <c r="E1990" s="5" t="n"/>
      <c r="G1990" s="6">
        <f>IF(OR(A1990="",D1990="",E1990=""),"",ROUND(MOD(E1990-D1990,1)*24-N(F1990)/60,2))</f>
        <v/>
      </c>
      <c r="H1990" s="7">
        <f>IF(C1990="","",IFERROR(INDEX(Sites!$B$2:$B$501,MATCH(C1990,Sites!$A$2:$A$501,0)),"?"))</f>
        <v/>
      </c>
      <c r="I1990" s="8">
        <f>IF(A1990="","",A1990-WEEKDAY(A1990,3))</f>
        <v/>
      </c>
      <c r="K1990" s="7">
        <f>IF(A1990="","",IF(OR(B1990="",C1990="",D1990="",E1990=""),"Missing info",IF(ISNA(MATCH(B1990,Staff!$A$2:$A$101,0)),"Unknown employee",IF(H1990="?","Unknown site",IF(G1990&lt;=0,"Check times",IF(G1990&gt;12,"Over 12h",IF(COUNTIFS($L$2:$L$2001,L1990)&gt;1,"Duplicate?",IF(A1990&gt;TODAY(),"Future date","OK"))))))))</f>
        <v/>
      </c>
      <c r="L1990">
        <f>IF(A1990="","",TEXT(A1990,"yyyy-mm-dd")&amp;"|"&amp;B1990&amp;"|"&amp;C1990)</f>
        <v/>
      </c>
    </row>
    <row r="1991">
      <c r="A1991" s="4" t="n"/>
      <c r="D1991" s="5" t="n"/>
      <c r="E1991" s="5" t="n"/>
      <c r="G1991" s="6">
        <f>IF(OR(A1991="",D1991="",E1991=""),"",ROUND(MOD(E1991-D1991,1)*24-N(F1991)/60,2))</f>
        <v/>
      </c>
      <c r="H1991" s="7">
        <f>IF(C1991="","",IFERROR(INDEX(Sites!$B$2:$B$501,MATCH(C1991,Sites!$A$2:$A$501,0)),"?"))</f>
        <v/>
      </c>
      <c r="I1991" s="8">
        <f>IF(A1991="","",A1991-WEEKDAY(A1991,3))</f>
        <v/>
      </c>
      <c r="K1991" s="7">
        <f>IF(A1991="","",IF(OR(B1991="",C1991="",D1991="",E1991=""),"Missing info",IF(ISNA(MATCH(B1991,Staff!$A$2:$A$101,0)),"Unknown employee",IF(H1991="?","Unknown site",IF(G1991&lt;=0,"Check times",IF(G1991&gt;12,"Over 12h",IF(COUNTIFS($L$2:$L$2001,L1991)&gt;1,"Duplicate?",IF(A1991&gt;TODAY(),"Future date","OK"))))))))</f>
        <v/>
      </c>
      <c r="L1991">
        <f>IF(A1991="","",TEXT(A1991,"yyyy-mm-dd")&amp;"|"&amp;B1991&amp;"|"&amp;C1991)</f>
        <v/>
      </c>
    </row>
    <row r="1992">
      <c r="A1992" s="4" t="n"/>
      <c r="D1992" s="5" t="n"/>
      <c r="E1992" s="5" t="n"/>
      <c r="G1992" s="6">
        <f>IF(OR(A1992="",D1992="",E1992=""),"",ROUND(MOD(E1992-D1992,1)*24-N(F1992)/60,2))</f>
        <v/>
      </c>
      <c r="H1992" s="7">
        <f>IF(C1992="","",IFERROR(INDEX(Sites!$B$2:$B$501,MATCH(C1992,Sites!$A$2:$A$501,0)),"?"))</f>
        <v/>
      </c>
      <c r="I1992" s="8">
        <f>IF(A1992="","",A1992-WEEKDAY(A1992,3))</f>
        <v/>
      </c>
      <c r="K1992" s="7">
        <f>IF(A1992="","",IF(OR(B1992="",C1992="",D1992="",E1992=""),"Missing info",IF(ISNA(MATCH(B1992,Staff!$A$2:$A$101,0)),"Unknown employee",IF(H1992="?","Unknown site",IF(G1992&lt;=0,"Check times",IF(G1992&gt;12,"Over 12h",IF(COUNTIFS($L$2:$L$2001,L1992)&gt;1,"Duplicate?",IF(A1992&gt;TODAY(),"Future date","OK"))))))))</f>
        <v/>
      </c>
      <c r="L1992">
        <f>IF(A1992="","",TEXT(A1992,"yyyy-mm-dd")&amp;"|"&amp;B1992&amp;"|"&amp;C1992)</f>
        <v/>
      </c>
    </row>
    <row r="1993">
      <c r="A1993" s="4" t="n"/>
      <c r="D1993" s="5" t="n"/>
      <c r="E1993" s="5" t="n"/>
      <c r="G1993" s="6">
        <f>IF(OR(A1993="",D1993="",E1993=""),"",ROUND(MOD(E1993-D1993,1)*24-N(F1993)/60,2))</f>
        <v/>
      </c>
      <c r="H1993" s="7">
        <f>IF(C1993="","",IFERROR(INDEX(Sites!$B$2:$B$501,MATCH(C1993,Sites!$A$2:$A$501,0)),"?"))</f>
        <v/>
      </c>
      <c r="I1993" s="8">
        <f>IF(A1993="","",A1993-WEEKDAY(A1993,3))</f>
        <v/>
      </c>
      <c r="K1993" s="7">
        <f>IF(A1993="","",IF(OR(B1993="",C1993="",D1993="",E1993=""),"Missing info",IF(ISNA(MATCH(B1993,Staff!$A$2:$A$101,0)),"Unknown employee",IF(H1993="?","Unknown site",IF(G1993&lt;=0,"Check times",IF(G1993&gt;12,"Over 12h",IF(COUNTIFS($L$2:$L$2001,L1993)&gt;1,"Duplicate?",IF(A1993&gt;TODAY(),"Future date","OK"))))))))</f>
        <v/>
      </c>
      <c r="L1993">
        <f>IF(A1993="","",TEXT(A1993,"yyyy-mm-dd")&amp;"|"&amp;B1993&amp;"|"&amp;C1993)</f>
        <v/>
      </c>
    </row>
    <row r="1994">
      <c r="A1994" s="4" t="n"/>
      <c r="D1994" s="5" t="n"/>
      <c r="E1994" s="5" t="n"/>
      <c r="G1994" s="6">
        <f>IF(OR(A1994="",D1994="",E1994=""),"",ROUND(MOD(E1994-D1994,1)*24-N(F1994)/60,2))</f>
        <v/>
      </c>
      <c r="H1994" s="7">
        <f>IF(C1994="","",IFERROR(INDEX(Sites!$B$2:$B$501,MATCH(C1994,Sites!$A$2:$A$501,0)),"?"))</f>
        <v/>
      </c>
      <c r="I1994" s="8">
        <f>IF(A1994="","",A1994-WEEKDAY(A1994,3))</f>
        <v/>
      </c>
      <c r="K1994" s="7">
        <f>IF(A1994="","",IF(OR(B1994="",C1994="",D1994="",E1994=""),"Missing info",IF(ISNA(MATCH(B1994,Staff!$A$2:$A$101,0)),"Unknown employee",IF(H1994="?","Unknown site",IF(G1994&lt;=0,"Check times",IF(G1994&gt;12,"Over 12h",IF(COUNTIFS($L$2:$L$2001,L1994)&gt;1,"Duplicate?",IF(A1994&gt;TODAY(),"Future date","OK"))))))))</f>
        <v/>
      </c>
      <c r="L1994">
        <f>IF(A1994="","",TEXT(A1994,"yyyy-mm-dd")&amp;"|"&amp;B1994&amp;"|"&amp;C1994)</f>
        <v/>
      </c>
    </row>
    <row r="1995">
      <c r="A1995" s="4" t="n"/>
      <c r="D1995" s="5" t="n"/>
      <c r="E1995" s="5" t="n"/>
      <c r="G1995" s="6">
        <f>IF(OR(A1995="",D1995="",E1995=""),"",ROUND(MOD(E1995-D1995,1)*24-N(F1995)/60,2))</f>
        <v/>
      </c>
      <c r="H1995" s="7">
        <f>IF(C1995="","",IFERROR(INDEX(Sites!$B$2:$B$501,MATCH(C1995,Sites!$A$2:$A$501,0)),"?"))</f>
        <v/>
      </c>
      <c r="I1995" s="8">
        <f>IF(A1995="","",A1995-WEEKDAY(A1995,3))</f>
        <v/>
      </c>
      <c r="K1995" s="7">
        <f>IF(A1995="","",IF(OR(B1995="",C1995="",D1995="",E1995=""),"Missing info",IF(ISNA(MATCH(B1995,Staff!$A$2:$A$101,0)),"Unknown employee",IF(H1995="?","Unknown site",IF(G1995&lt;=0,"Check times",IF(G1995&gt;12,"Over 12h",IF(COUNTIFS($L$2:$L$2001,L1995)&gt;1,"Duplicate?",IF(A1995&gt;TODAY(),"Future date","OK"))))))))</f>
        <v/>
      </c>
      <c r="L1995">
        <f>IF(A1995="","",TEXT(A1995,"yyyy-mm-dd")&amp;"|"&amp;B1995&amp;"|"&amp;C1995)</f>
        <v/>
      </c>
    </row>
    <row r="1996">
      <c r="A1996" s="4" t="n"/>
      <c r="D1996" s="5" t="n"/>
      <c r="E1996" s="5" t="n"/>
      <c r="G1996" s="6">
        <f>IF(OR(A1996="",D1996="",E1996=""),"",ROUND(MOD(E1996-D1996,1)*24-N(F1996)/60,2))</f>
        <v/>
      </c>
      <c r="H1996" s="7">
        <f>IF(C1996="","",IFERROR(INDEX(Sites!$B$2:$B$501,MATCH(C1996,Sites!$A$2:$A$501,0)),"?"))</f>
        <v/>
      </c>
      <c r="I1996" s="8">
        <f>IF(A1996="","",A1996-WEEKDAY(A1996,3))</f>
        <v/>
      </c>
      <c r="K1996" s="7">
        <f>IF(A1996="","",IF(OR(B1996="",C1996="",D1996="",E1996=""),"Missing info",IF(ISNA(MATCH(B1996,Staff!$A$2:$A$101,0)),"Unknown employee",IF(H1996="?","Unknown site",IF(G1996&lt;=0,"Check times",IF(G1996&gt;12,"Over 12h",IF(COUNTIFS($L$2:$L$2001,L1996)&gt;1,"Duplicate?",IF(A1996&gt;TODAY(),"Future date","OK"))))))))</f>
        <v/>
      </c>
      <c r="L1996">
        <f>IF(A1996="","",TEXT(A1996,"yyyy-mm-dd")&amp;"|"&amp;B1996&amp;"|"&amp;C1996)</f>
        <v/>
      </c>
    </row>
    <row r="1997">
      <c r="A1997" s="4" t="n"/>
      <c r="D1997" s="5" t="n"/>
      <c r="E1997" s="5" t="n"/>
      <c r="G1997" s="6">
        <f>IF(OR(A1997="",D1997="",E1997=""),"",ROUND(MOD(E1997-D1997,1)*24-N(F1997)/60,2))</f>
        <v/>
      </c>
      <c r="H1997" s="7">
        <f>IF(C1997="","",IFERROR(INDEX(Sites!$B$2:$B$501,MATCH(C1997,Sites!$A$2:$A$501,0)),"?"))</f>
        <v/>
      </c>
      <c r="I1997" s="8">
        <f>IF(A1997="","",A1997-WEEKDAY(A1997,3))</f>
        <v/>
      </c>
      <c r="K1997" s="7">
        <f>IF(A1997="","",IF(OR(B1997="",C1997="",D1997="",E1997=""),"Missing info",IF(ISNA(MATCH(B1997,Staff!$A$2:$A$101,0)),"Unknown employee",IF(H1997="?","Unknown site",IF(G1997&lt;=0,"Check times",IF(G1997&gt;12,"Over 12h",IF(COUNTIFS($L$2:$L$2001,L1997)&gt;1,"Duplicate?",IF(A1997&gt;TODAY(),"Future date","OK"))))))))</f>
        <v/>
      </c>
      <c r="L1997">
        <f>IF(A1997="","",TEXT(A1997,"yyyy-mm-dd")&amp;"|"&amp;B1997&amp;"|"&amp;C1997)</f>
        <v/>
      </c>
    </row>
    <row r="1998">
      <c r="A1998" s="4" t="n"/>
      <c r="D1998" s="5" t="n"/>
      <c r="E1998" s="5" t="n"/>
      <c r="G1998" s="6">
        <f>IF(OR(A1998="",D1998="",E1998=""),"",ROUND(MOD(E1998-D1998,1)*24-N(F1998)/60,2))</f>
        <v/>
      </c>
      <c r="H1998" s="7">
        <f>IF(C1998="","",IFERROR(INDEX(Sites!$B$2:$B$501,MATCH(C1998,Sites!$A$2:$A$501,0)),"?"))</f>
        <v/>
      </c>
      <c r="I1998" s="8">
        <f>IF(A1998="","",A1998-WEEKDAY(A1998,3))</f>
        <v/>
      </c>
      <c r="K1998" s="7">
        <f>IF(A1998="","",IF(OR(B1998="",C1998="",D1998="",E1998=""),"Missing info",IF(ISNA(MATCH(B1998,Staff!$A$2:$A$101,0)),"Unknown employee",IF(H1998="?","Unknown site",IF(G1998&lt;=0,"Check times",IF(G1998&gt;12,"Over 12h",IF(COUNTIFS($L$2:$L$2001,L1998)&gt;1,"Duplicate?",IF(A1998&gt;TODAY(),"Future date","OK"))))))))</f>
        <v/>
      </c>
      <c r="L1998">
        <f>IF(A1998="","",TEXT(A1998,"yyyy-mm-dd")&amp;"|"&amp;B1998&amp;"|"&amp;C1998)</f>
        <v/>
      </c>
    </row>
    <row r="1999">
      <c r="A1999" s="4" t="n"/>
      <c r="D1999" s="5" t="n"/>
      <c r="E1999" s="5" t="n"/>
      <c r="G1999" s="6">
        <f>IF(OR(A1999="",D1999="",E1999=""),"",ROUND(MOD(E1999-D1999,1)*24-N(F1999)/60,2))</f>
        <v/>
      </c>
      <c r="H1999" s="7">
        <f>IF(C1999="","",IFERROR(INDEX(Sites!$B$2:$B$501,MATCH(C1999,Sites!$A$2:$A$501,0)),"?"))</f>
        <v/>
      </c>
      <c r="I1999" s="8">
        <f>IF(A1999="","",A1999-WEEKDAY(A1999,3))</f>
        <v/>
      </c>
      <c r="K1999" s="7">
        <f>IF(A1999="","",IF(OR(B1999="",C1999="",D1999="",E1999=""),"Missing info",IF(ISNA(MATCH(B1999,Staff!$A$2:$A$101,0)),"Unknown employee",IF(H1999="?","Unknown site",IF(G1999&lt;=0,"Check times",IF(G1999&gt;12,"Over 12h",IF(COUNTIFS($L$2:$L$2001,L1999)&gt;1,"Duplicate?",IF(A1999&gt;TODAY(),"Future date","OK"))))))))</f>
        <v/>
      </c>
      <c r="L1999">
        <f>IF(A1999="","",TEXT(A1999,"yyyy-mm-dd")&amp;"|"&amp;B1999&amp;"|"&amp;C1999)</f>
        <v/>
      </c>
    </row>
    <row r="2000">
      <c r="A2000" s="4" t="n"/>
      <c r="D2000" s="5" t="n"/>
      <c r="E2000" s="5" t="n"/>
      <c r="G2000" s="6">
        <f>IF(OR(A2000="",D2000="",E2000=""),"",ROUND(MOD(E2000-D2000,1)*24-N(F2000)/60,2))</f>
        <v/>
      </c>
      <c r="H2000" s="7">
        <f>IF(C2000="","",IFERROR(INDEX(Sites!$B$2:$B$501,MATCH(C2000,Sites!$A$2:$A$501,0)),"?"))</f>
        <v/>
      </c>
      <c r="I2000" s="8">
        <f>IF(A2000="","",A2000-WEEKDAY(A2000,3))</f>
        <v/>
      </c>
      <c r="K2000" s="7">
        <f>IF(A2000="","",IF(OR(B2000="",C2000="",D2000="",E2000=""),"Missing info",IF(ISNA(MATCH(B2000,Staff!$A$2:$A$101,0)),"Unknown employee",IF(H2000="?","Unknown site",IF(G2000&lt;=0,"Check times",IF(G2000&gt;12,"Over 12h",IF(COUNTIFS($L$2:$L$2001,L2000)&gt;1,"Duplicate?",IF(A2000&gt;TODAY(),"Future date","OK"))))))))</f>
        <v/>
      </c>
      <c r="L2000">
        <f>IF(A2000="","",TEXT(A2000,"yyyy-mm-dd")&amp;"|"&amp;B2000&amp;"|"&amp;C2000)</f>
        <v/>
      </c>
    </row>
    <row r="2001">
      <c r="A2001" s="4" t="n"/>
      <c r="D2001" s="5" t="n"/>
      <c r="E2001" s="5" t="n"/>
      <c r="G2001" s="6">
        <f>IF(OR(A2001="",D2001="",E2001=""),"",ROUND(MOD(E2001-D2001,1)*24-N(F2001)/60,2))</f>
        <v/>
      </c>
      <c r="H2001" s="7">
        <f>IF(C2001="","",IFERROR(INDEX(Sites!$B$2:$B$501,MATCH(C2001,Sites!$A$2:$A$501,0)),"?"))</f>
        <v/>
      </c>
      <c r="I2001" s="8">
        <f>IF(A2001="","",A2001-WEEKDAY(A2001,3))</f>
        <v/>
      </c>
      <c r="K2001" s="7">
        <f>IF(A2001="","",IF(OR(B2001="",C2001="",D2001="",E2001=""),"Missing info",IF(ISNA(MATCH(B2001,Staff!$A$2:$A$101,0)),"Unknown employee",IF(H2001="?","Unknown site",IF(G2001&lt;=0,"Check times",IF(G2001&gt;12,"Over 12h",IF(COUNTIFS($L$2:$L$2001,L2001)&gt;1,"Duplicate?",IF(A2001&gt;TODAY(),"Future date","OK"))))))))</f>
        <v/>
      </c>
      <c r="L2001">
        <f>IF(A2001="","",TEXT(A2001,"yyyy-mm-dd")&amp;"|"&amp;B2001&amp;"|"&amp;C2001)</f>
        <v/>
      </c>
    </row>
  </sheetData>
  <conditionalFormatting sqref="A2:K2001">
    <cfRule type="expression" priority="1" dxfId="0">
      <formula>AND($K2&lt;&gt;"",$K2&lt;&gt;"OK")</formula>
    </cfRule>
  </conditionalFormatting>
  <dataValidations count="5">
    <dataValidation sqref="B2:B2001" showDropDown="0" showInputMessage="0" showErrorMessage="1" allowBlank="1" error="Pick from the list or enter a valid value." type="list">
      <formula1>=Staff!$A$2:$A$101</formula1>
    </dataValidation>
    <dataValidation sqref="C2:C2001" showDropDown="0" showInputMessage="0" showErrorMessage="1" allowBlank="1" error="Pick from the list or enter a valid value." type="list">
      <formula1>=Sites!$A$2:$A$501</formula1>
    </dataValidation>
    <dataValidation sqref="A2:A2001" showDropDown="0" showInputMessage="0" showErrorMessage="1" allowBlank="1" error="Pick from the list or enter a valid value." type="date" operator="greaterThan">
      <formula1>DATE(2020,1,1)</formula1>
    </dataValidation>
    <dataValidation sqref="D2:D2001 E2:E2001" showDropDown="0" showInputMessage="0" showErrorMessage="1" allowBlank="1" error="Pick from the list or enter a valid value." type="time" operator="between">
      <formula1>0</formula1>
      <formula2>0.999988</formula2>
    </dataValidation>
    <dataValidation sqref="F2:F2001" showDropDown="0" showInputMessage="0" showErrorMessage="1" allowBlank="1" error="Pick from the list or enter a valid value." type="whole" operator="between">
      <formula1>0</formula1>
      <formula2>240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2" customWidth="1" min="4" max="4"/>
    <col width="12" customWidth="1" min="5" max="5"/>
    <col width="40" customWidth="1" min="6" max="6"/>
  </cols>
  <sheetData>
    <row r="1">
      <c r="A1" s="3" t="inlineStr">
        <is>
          <t>Employee</t>
        </is>
      </c>
      <c r="B1" s="3" t="inlineStr">
        <is>
          <t>Region</t>
        </is>
      </c>
      <c r="C1" s="3" t="inlineStr">
        <is>
          <t>Role</t>
        </is>
      </c>
      <c r="D1" s="3" t="inlineStr">
        <is>
          <t>Hourly rate</t>
        </is>
      </c>
      <c r="E1" s="3" t="inlineStr">
        <is>
          <t>Active (Y/N)</t>
        </is>
      </c>
      <c r="F1" s="3" t="inlineStr">
        <is>
          <t>Notes</t>
        </is>
      </c>
      <c r="H1" t="inlineStr">
        <is>
          <t>Names must be unique. Set Active to N instead of deleting someone who has logged hours.</t>
        </is>
      </c>
    </row>
    <row r="2">
      <c r="A2" t="inlineStr">
        <is>
          <t>Ali</t>
        </is>
      </c>
      <c r="B2" t="inlineStr">
        <is>
          <t>Yellowknife</t>
        </is>
      </c>
      <c r="C2" t="inlineStr">
        <is>
          <t>Manager</t>
        </is>
      </c>
      <c r="D2" s="9" t="n">
        <v>28</v>
      </c>
      <c r="E2" t="inlineStr">
        <is>
          <t>Y</t>
        </is>
      </c>
    </row>
    <row r="3">
      <c r="A3" t="inlineStr">
        <is>
          <t>Floater 1 (replace name)</t>
        </is>
      </c>
      <c r="B3" t="inlineStr">
        <is>
          <t>Yellowknife</t>
        </is>
      </c>
      <c r="C3" t="inlineStr">
        <is>
          <t>Floater</t>
        </is>
      </c>
      <c r="D3" s="9" t="n">
        <v>25</v>
      </c>
      <c r="E3" t="inlineStr">
        <is>
          <t>Y</t>
        </is>
      </c>
    </row>
    <row r="4">
      <c r="A4" t="inlineStr">
        <is>
          <t>Floater 2 (replace name)</t>
        </is>
      </c>
      <c r="B4" t="inlineStr">
        <is>
          <t>Yellowknife</t>
        </is>
      </c>
      <c r="C4" t="inlineStr">
        <is>
          <t>Floater</t>
        </is>
      </c>
      <c r="D4" s="9" t="n">
        <v>25</v>
      </c>
      <c r="E4" t="inlineStr">
        <is>
          <t>Y</t>
        </is>
      </c>
    </row>
    <row r="5">
      <c r="A5" t="inlineStr">
        <is>
          <t>Floater 3 (replace name)</t>
        </is>
      </c>
      <c r="B5" t="inlineStr">
        <is>
          <t>Yellowknife</t>
        </is>
      </c>
      <c r="C5" t="inlineStr">
        <is>
          <t>Floater</t>
        </is>
      </c>
      <c r="D5" s="9" t="n">
        <v>25</v>
      </c>
      <c r="E5" t="inlineStr">
        <is>
          <t>Y</t>
        </is>
      </c>
    </row>
  </sheetData>
  <dataValidations count="2">
    <dataValidation sqref="B2:B101" showDropDown="0" showInputMessage="0" showErrorMessage="0" allowBlank="1" type="list">
      <formula1>"Yellowknife,Richmond/Vancouver"</formula1>
    </dataValidation>
    <dataValidation sqref="E2:E10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  <col width="12" customWidth="1" min="4" max="4"/>
  </cols>
  <sheetData>
    <row r="1">
      <c r="A1" s="3" t="inlineStr">
        <is>
          <t>Client / Site</t>
        </is>
      </c>
      <c r="B1" s="3" t="inlineStr">
        <is>
          <t>Region</t>
        </is>
      </c>
      <c r="C1" s="3" t="inlineStr">
        <is>
          <t>Type</t>
        </is>
      </c>
      <c r="D1" s="3" t="inlineStr">
        <is>
          <t>Active (Y/N)</t>
        </is>
      </c>
      <c r="F1" t="inlineStr">
        <is>
          <t>Use the client name exactly as it appears in Jobber. Source: Jobber invoices 2026-08-12 to 2026-10-09 + NACC.</t>
        </is>
      </c>
    </row>
    <row r="2">
      <c r="A2" t="inlineStr">
        <is>
          <t>507996 N.W.T. Ltd.</t>
        </is>
      </c>
      <c r="B2" t="inlineStr">
        <is>
          <t>Yellowknife</t>
        </is>
      </c>
      <c r="C2" t="inlineStr">
        <is>
          <t>Commercial</t>
        </is>
      </c>
      <c r="D2" t="inlineStr">
        <is>
          <t>Y</t>
        </is>
      </c>
    </row>
    <row r="3">
      <c r="A3" t="inlineStr">
        <is>
          <t>5950 N.W.T. LIMITED</t>
        </is>
      </c>
      <c r="B3" t="inlineStr">
        <is>
          <t>Yellowknife</t>
        </is>
      </c>
      <c r="C3" t="inlineStr">
        <is>
          <t>Commercial</t>
        </is>
      </c>
      <c r="D3" t="inlineStr">
        <is>
          <t>Y</t>
        </is>
      </c>
    </row>
    <row r="4">
      <c r="A4" t="inlineStr">
        <is>
          <t>Aakash Bhandari</t>
        </is>
      </c>
      <c r="B4" t="inlineStr">
        <is>
          <t>Yellowknife</t>
        </is>
      </c>
      <c r="C4" t="inlineStr">
        <is>
          <t>Residential</t>
        </is>
      </c>
      <c r="D4" t="inlineStr">
        <is>
          <t>Y</t>
        </is>
      </c>
    </row>
    <row r="5">
      <c r="A5" t="inlineStr">
        <is>
          <t>Adriana Ewen</t>
        </is>
      </c>
      <c r="B5" t="inlineStr">
        <is>
          <t>Yellowknife</t>
        </is>
      </c>
      <c r="C5" t="inlineStr">
        <is>
          <t>Residential</t>
        </is>
      </c>
      <c r="D5" t="inlineStr">
        <is>
          <t>Y</t>
        </is>
      </c>
    </row>
    <row r="6">
      <c r="A6" t="inlineStr">
        <is>
          <t>Alex Zimmerman</t>
        </is>
      </c>
      <c r="B6" t="inlineStr">
        <is>
          <t>Yellowknife</t>
        </is>
      </c>
      <c r="C6" t="inlineStr">
        <is>
          <t>Residential</t>
        </is>
      </c>
      <c r="D6" t="inlineStr">
        <is>
          <t>Y</t>
        </is>
      </c>
    </row>
    <row r="7">
      <c r="A7" t="inlineStr">
        <is>
          <t>Allison Simpson</t>
        </is>
      </c>
      <c r="B7" t="inlineStr">
        <is>
          <t>Yellowknife</t>
        </is>
      </c>
      <c r="C7" t="inlineStr">
        <is>
          <t>Residential</t>
        </is>
      </c>
      <c r="D7" t="inlineStr">
        <is>
          <t>Y</t>
        </is>
      </c>
    </row>
    <row r="8">
      <c r="A8" t="inlineStr">
        <is>
          <t>Amber Liang</t>
        </is>
      </c>
      <c r="B8" t="inlineStr">
        <is>
          <t>Yellowknife</t>
        </is>
      </c>
      <c r="C8" t="inlineStr">
        <is>
          <t>Residential</t>
        </is>
      </c>
      <c r="D8" t="inlineStr">
        <is>
          <t>Y</t>
        </is>
      </c>
    </row>
    <row r="9">
      <c r="A9" t="inlineStr">
        <is>
          <t>Angelique Rossouw</t>
        </is>
      </c>
      <c r="B9" t="inlineStr">
        <is>
          <t>Yellowknife</t>
        </is>
      </c>
      <c r="C9" t="inlineStr">
        <is>
          <t>Residential</t>
        </is>
      </c>
      <c r="D9" t="inlineStr">
        <is>
          <t>Y</t>
        </is>
      </c>
    </row>
    <row r="10">
      <c r="A10" t="inlineStr">
        <is>
          <t>Ann Wind</t>
        </is>
      </c>
      <c r="B10" t="inlineStr">
        <is>
          <t>Yellowknife</t>
        </is>
      </c>
      <c r="C10" t="inlineStr">
        <is>
          <t>Residential</t>
        </is>
      </c>
      <c r="D10" t="inlineStr">
        <is>
          <t>Y</t>
        </is>
      </c>
    </row>
    <row r="11">
      <c r="A11" t="inlineStr">
        <is>
          <t>Arlene Hache</t>
        </is>
      </c>
      <c r="B11" t="inlineStr">
        <is>
          <t>Yellowknife</t>
        </is>
      </c>
      <c r="C11" t="inlineStr">
        <is>
          <t>Residential</t>
        </is>
      </c>
      <c r="D11" t="inlineStr">
        <is>
          <t>Y</t>
        </is>
      </c>
    </row>
    <row r="12">
      <c r="A12" t="inlineStr">
        <is>
          <t>Arlene Yaceyko</t>
        </is>
      </c>
      <c r="B12" t="inlineStr">
        <is>
          <t>Yellowknife</t>
        </is>
      </c>
      <c r="C12" t="inlineStr">
        <is>
          <t>Residential</t>
        </is>
      </c>
      <c r="D12" t="inlineStr">
        <is>
          <t>Y</t>
        </is>
      </c>
    </row>
    <row r="13">
      <c r="A13" t="inlineStr">
        <is>
          <t>Athena Wells</t>
        </is>
      </c>
      <c r="B13" t="inlineStr">
        <is>
          <t>Yellowknife</t>
        </is>
      </c>
      <c r="C13" t="inlineStr">
        <is>
          <t>Residential</t>
        </is>
      </c>
      <c r="D13" t="inlineStr">
        <is>
          <t>Y</t>
        </is>
      </c>
    </row>
    <row r="14">
      <c r="A14" t="inlineStr">
        <is>
          <t>Ben Fraser</t>
        </is>
      </c>
      <c r="B14" t="inlineStr">
        <is>
          <t>Yellowknife</t>
        </is>
      </c>
      <c r="C14" t="inlineStr">
        <is>
          <t>Residential</t>
        </is>
      </c>
      <c r="D14" t="inlineStr">
        <is>
          <t>Y</t>
        </is>
      </c>
    </row>
    <row r="15">
      <c r="A15" t="inlineStr">
        <is>
          <t>Beverly Speight</t>
        </is>
      </c>
      <c r="B15" t="inlineStr">
        <is>
          <t>Yellowknife</t>
        </is>
      </c>
      <c r="C15" t="inlineStr">
        <is>
          <t>Residential</t>
        </is>
      </c>
      <c r="D15" t="inlineStr">
        <is>
          <t>Y</t>
        </is>
      </c>
    </row>
    <row r="16">
      <c r="A16" t="inlineStr">
        <is>
          <t>Boston Pizza Yellowknife</t>
        </is>
      </c>
      <c r="B16" t="inlineStr">
        <is>
          <t>Yellowknife</t>
        </is>
      </c>
      <c r="C16" t="inlineStr">
        <is>
          <t>Commercial</t>
        </is>
      </c>
      <c r="D16" t="inlineStr">
        <is>
          <t>Y</t>
        </is>
      </c>
    </row>
    <row r="17">
      <c r="A17" t="inlineStr">
        <is>
          <t>Bradley Dusome</t>
        </is>
      </c>
      <c r="B17" t="inlineStr">
        <is>
          <t>Yellowknife</t>
        </is>
      </c>
      <c r="C17" t="inlineStr">
        <is>
          <t>Residential</t>
        </is>
      </c>
      <c r="D17" t="inlineStr">
        <is>
          <t>Y</t>
        </is>
      </c>
    </row>
    <row r="18">
      <c r="A18" t="inlineStr">
        <is>
          <t>Brandon Kolb</t>
        </is>
      </c>
      <c r="B18" t="inlineStr">
        <is>
          <t>Yellowknife</t>
        </is>
      </c>
      <c r="C18" t="inlineStr">
        <is>
          <t>Residential</t>
        </is>
      </c>
      <c r="D18" t="inlineStr">
        <is>
          <t>Y</t>
        </is>
      </c>
    </row>
    <row r="19">
      <c r="A19" t="inlineStr">
        <is>
          <t>Callet Jeffrey</t>
        </is>
      </c>
      <c r="B19" t="inlineStr">
        <is>
          <t>Yellowknife</t>
        </is>
      </c>
      <c r="C19" t="inlineStr">
        <is>
          <t>Residential</t>
        </is>
      </c>
      <c r="D19" t="inlineStr">
        <is>
          <t>Y</t>
        </is>
      </c>
    </row>
    <row r="20">
      <c r="A20" t="inlineStr">
        <is>
          <t>Carol Pinto (Jamie Lavers)</t>
        </is>
      </c>
      <c r="B20" t="inlineStr">
        <is>
          <t>Yellowknife</t>
        </is>
      </c>
      <c r="C20" t="inlineStr">
        <is>
          <t>Residential</t>
        </is>
      </c>
      <c r="D20" t="inlineStr">
        <is>
          <t>Y</t>
        </is>
      </c>
    </row>
    <row r="21">
      <c r="A21" t="inlineStr">
        <is>
          <t>Cathie Harper</t>
        </is>
      </c>
      <c r="B21" t="inlineStr">
        <is>
          <t>Yellowknife</t>
        </is>
      </c>
      <c r="C21" t="inlineStr">
        <is>
          <t>Residential</t>
        </is>
      </c>
      <c r="D21" t="inlineStr">
        <is>
          <t>Y</t>
        </is>
      </c>
    </row>
    <row r="22">
      <c r="A22" t="inlineStr">
        <is>
          <t>Chris Van Drunen</t>
        </is>
      </c>
      <c r="B22" t="inlineStr">
        <is>
          <t>Yellowknife</t>
        </is>
      </c>
      <c r="C22" t="inlineStr">
        <is>
          <t>Residential</t>
        </is>
      </c>
      <c r="D22" t="inlineStr">
        <is>
          <t>Y</t>
        </is>
      </c>
    </row>
    <row r="23">
      <c r="A23" t="inlineStr">
        <is>
          <t>Chris Van Dyke</t>
        </is>
      </c>
      <c r="B23" t="inlineStr">
        <is>
          <t>Yellowknife</t>
        </is>
      </c>
      <c r="C23" t="inlineStr">
        <is>
          <t>Residential</t>
        </is>
      </c>
      <c r="D23" t="inlineStr">
        <is>
          <t>Y</t>
        </is>
      </c>
    </row>
    <row r="24">
      <c r="A24" t="inlineStr">
        <is>
          <t>CT REIT - Mark's Yellowknife</t>
        </is>
      </c>
      <c r="B24" t="inlineStr">
        <is>
          <t>Yellowknife</t>
        </is>
      </c>
      <c r="C24" t="inlineStr">
        <is>
          <t>Commercial</t>
        </is>
      </c>
      <c r="D24" t="inlineStr">
        <is>
          <t>Y</t>
        </is>
      </c>
    </row>
    <row r="25">
      <c r="A25" t="inlineStr">
        <is>
          <t>Custom Electric Ltd.</t>
        </is>
      </c>
      <c r="B25" t="inlineStr">
        <is>
          <t>Yellowknife</t>
        </is>
      </c>
      <c r="C25" t="inlineStr">
        <is>
          <t>Commercial</t>
        </is>
      </c>
      <c r="D25" t="inlineStr">
        <is>
          <t>Y</t>
        </is>
      </c>
    </row>
    <row r="26">
      <c r="A26" t="inlineStr">
        <is>
          <t>Danielle Desmarais</t>
        </is>
      </c>
      <c r="B26" t="inlineStr">
        <is>
          <t>Yellowknife</t>
        </is>
      </c>
      <c r="C26" t="inlineStr">
        <is>
          <t>Residential</t>
        </is>
      </c>
      <c r="D26" t="inlineStr">
        <is>
          <t>Y</t>
        </is>
      </c>
    </row>
    <row r="27">
      <c r="A27" t="inlineStr">
        <is>
          <t>David Jones</t>
        </is>
      </c>
      <c r="B27" t="inlineStr">
        <is>
          <t>Yellowknife</t>
        </is>
      </c>
      <c r="C27" t="inlineStr">
        <is>
          <t>Residential</t>
        </is>
      </c>
      <c r="D27" t="inlineStr">
        <is>
          <t>Y</t>
        </is>
      </c>
    </row>
    <row r="28">
      <c r="A28" t="inlineStr">
        <is>
          <t>Dechinta Centre for Research and Learning</t>
        </is>
      </c>
      <c r="B28" t="inlineStr">
        <is>
          <t>Yellowknife</t>
        </is>
      </c>
      <c r="C28" t="inlineStr">
        <is>
          <t>Commercial</t>
        </is>
      </c>
      <c r="D28" t="inlineStr">
        <is>
          <t>Y</t>
        </is>
      </c>
    </row>
    <row r="29">
      <c r="A29" t="inlineStr">
        <is>
          <t>Dennis Althouse</t>
        </is>
      </c>
      <c r="B29" t="inlineStr">
        <is>
          <t>Yellowknife</t>
        </is>
      </c>
      <c r="C29" t="inlineStr">
        <is>
          <t>Residential</t>
        </is>
      </c>
      <c r="D29" t="inlineStr">
        <is>
          <t>Y</t>
        </is>
      </c>
    </row>
    <row r="30">
      <c r="A30" t="inlineStr">
        <is>
          <t>Dexterra Group Inc.</t>
        </is>
      </c>
      <c r="B30" t="inlineStr">
        <is>
          <t>Yellowknife</t>
        </is>
      </c>
      <c r="C30" t="inlineStr">
        <is>
          <t>Commercial</t>
        </is>
      </c>
      <c r="D30" t="inlineStr">
        <is>
          <t>Y</t>
        </is>
      </c>
    </row>
    <row r="31">
      <c r="A31" t="inlineStr">
        <is>
          <t>Diavik Diamond Mine</t>
        </is>
      </c>
      <c r="B31" t="inlineStr">
        <is>
          <t>Yellowknife</t>
        </is>
      </c>
      <c r="C31" t="inlineStr">
        <is>
          <t>Commercial</t>
        </is>
      </c>
      <c r="D31" t="inlineStr">
        <is>
          <t>Y</t>
        </is>
      </c>
    </row>
    <row r="32">
      <c r="A32" t="inlineStr">
        <is>
          <t>Diocese of The Arctic</t>
        </is>
      </c>
      <c r="B32" t="inlineStr">
        <is>
          <t>Yellowknife</t>
        </is>
      </c>
      <c r="C32" t="inlineStr">
        <is>
          <t>Commercial</t>
        </is>
      </c>
      <c r="D32" t="inlineStr">
        <is>
          <t>Y</t>
        </is>
      </c>
    </row>
    <row r="33">
      <c r="A33" t="inlineStr">
        <is>
          <t>Gladys Eggenberger</t>
        </is>
      </c>
      <c r="B33" t="inlineStr">
        <is>
          <t>Yellowknife</t>
        </is>
      </c>
      <c r="C33" t="inlineStr">
        <is>
          <t>Residential</t>
        </is>
      </c>
      <c r="D33" t="inlineStr">
        <is>
          <t>Y</t>
        </is>
      </c>
    </row>
    <row r="34">
      <c r="A34" t="inlineStr">
        <is>
          <t>GreenHaven Guest House</t>
        </is>
      </c>
      <c r="B34" t="inlineStr">
        <is>
          <t>Yellowknife</t>
        </is>
      </c>
      <c r="C34" t="inlineStr">
        <is>
          <t>Commercial</t>
        </is>
      </c>
      <c r="D34" t="inlineStr">
        <is>
          <t>Y</t>
        </is>
      </c>
    </row>
    <row r="35">
      <c r="A35" t="inlineStr">
        <is>
          <t>Janet Pacey</t>
        </is>
      </c>
      <c r="B35" t="inlineStr">
        <is>
          <t>Yellowknife</t>
        </is>
      </c>
      <c r="C35" t="inlineStr">
        <is>
          <t>Residential</t>
        </is>
      </c>
      <c r="D35" t="inlineStr">
        <is>
          <t>Y</t>
        </is>
      </c>
    </row>
    <row r="36">
      <c r="A36" t="inlineStr">
        <is>
          <t>Janice McKenna</t>
        </is>
      </c>
      <c r="B36" t="inlineStr">
        <is>
          <t>Yellowknife</t>
        </is>
      </c>
      <c r="C36" t="inlineStr">
        <is>
          <t>Residential</t>
        </is>
      </c>
      <c r="D36" t="inlineStr">
        <is>
          <t>Y</t>
        </is>
      </c>
    </row>
    <row r="37">
      <c r="A37" t="inlineStr">
        <is>
          <t>Jeff Kincaid</t>
        </is>
      </c>
      <c r="B37" t="inlineStr">
        <is>
          <t>Yellowknife</t>
        </is>
      </c>
      <c r="C37" t="inlineStr">
        <is>
          <t>Residential</t>
        </is>
      </c>
      <c r="D37" t="inlineStr">
        <is>
          <t>Y</t>
        </is>
      </c>
    </row>
    <row r="38">
      <c r="A38" t="inlineStr">
        <is>
          <t>Kajsa Heyes</t>
        </is>
      </c>
      <c r="B38" t="inlineStr">
        <is>
          <t>Yellowknife</t>
        </is>
      </c>
      <c r="C38" t="inlineStr">
        <is>
          <t>Residential</t>
        </is>
      </c>
      <c r="D38" t="inlineStr">
        <is>
          <t>Y</t>
        </is>
      </c>
    </row>
    <row r="39">
      <c r="A39" t="inlineStr">
        <is>
          <t>Karen Brown</t>
        </is>
      </c>
      <c r="B39" t="inlineStr">
        <is>
          <t>Yellowknife</t>
        </is>
      </c>
      <c r="C39" t="inlineStr">
        <is>
          <t>Residential</t>
        </is>
      </c>
      <c r="D39" t="inlineStr">
        <is>
          <t>Y</t>
        </is>
      </c>
    </row>
    <row r="40">
      <c r="A40" t="inlineStr">
        <is>
          <t>Kat Marlowe</t>
        </is>
      </c>
      <c r="B40" t="inlineStr">
        <is>
          <t>Yellowknife</t>
        </is>
      </c>
      <c r="C40" t="inlineStr">
        <is>
          <t>Residential</t>
        </is>
      </c>
      <c r="D40" t="inlineStr">
        <is>
          <t>Y</t>
        </is>
      </c>
    </row>
    <row r="41">
      <c r="A41" t="inlineStr">
        <is>
          <t>Keith MacNeil</t>
        </is>
      </c>
      <c r="B41" t="inlineStr">
        <is>
          <t>Yellowknife</t>
        </is>
      </c>
      <c r="C41" t="inlineStr">
        <is>
          <t>Residential</t>
        </is>
      </c>
      <c r="D41" t="inlineStr">
        <is>
          <t>Y</t>
        </is>
      </c>
    </row>
    <row r="42">
      <c r="A42" t="inlineStr">
        <is>
          <t>Kelly Irwin</t>
        </is>
      </c>
      <c r="B42" t="inlineStr">
        <is>
          <t>Yellowknife</t>
        </is>
      </c>
      <c r="C42" t="inlineStr">
        <is>
          <t>Residential</t>
        </is>
      </c>
      <c r="D42" t="inlineStr">
        <is>
          <t>Y</t>
        </is>
      </c>
    </row>
    <row r="43">
      <c r="A43" t="inlineStr">
        <is>
          <t>Kevin Paul</t>
        </is>
      </c>
      <c r="B43" t="inlineStr">
        <is>
          <t>Yellowknife</t>
        </is>
      </c>
      <c r="C43" t="inlineStr">
        <is>
          <t>Residential</t>
        </is>
      </c>
      <c r="D43" t="inlineStr">
        <is>
          <t>Y</t>
        </is>
      </c>
    </row>
    <row r="44">
      <c r="A44" t="inlineStr">
        <is>
          <t>La Taniere, CSFTNO</t>
        </is>
      </c>
      <c r="B44" t="inlineStr">
        <is>
          <t>Yellowknife</t>
        </is>
      </c>
      <c r="C44" t="inlineStr">
        <is>
          <t>Commercial</t>
        </is>
      </c>
      <c r="D44" t="inlineStr">
        <is>
          <t>Y</t>
        </is>
      </c>
    </row>
    <row r="45">
      <c r="A45" t="inlineStr">
        <is>
          <t>Loretta Ransom</t>
        </is>
      </c>
      <c r="B45" t="inlineStr">
        <is>
          <t>Yellowknife</t>
        </is>
      </c>
      <c r="C45" t="inlineStr">
        <is>
          <t>Residential</t>
        </is>
      </c>
      <c r="D45" t="inlineStr">
        <is>
          <t>Y</t>
        </is>
      </c>
    </row>
    <row r="46">
      <c r="A46" t="inlineStr">
        <is>
          <t>Lynda Comerford</t>
        </is>
      </c>
      <c r="B46" t="inlineStr">
        <is>
          <t>Yellowknife</t>
        </is>
      </c>
      <c r="C46" t="inlineStr">
        <is>
          <t>Residential</t>
        </is>
      </c>
      <c r="D46" t="inlineStr">
        <is>
          <t>Y</t>
        </is>
      </c>
    </row>
    <row r="47">
      <c r="A47" t="inlineStr">
        <is>
          <t>Maneli Alipour</t>
        </is>
      </c>
      <c r="B47" t="inlineStr">
        <is>
          <t>Yellowknife</t>
        </is>
      </c>
      <c r="C47" t="inlineStr">
        <is>
          <t>Residential</t>
        </is>
      </c>
      <c r="D47" t="inlineStr">
        <is>
          <t>Y</t>
        </is>
      </c>
    </row>
    <row r="48">
      <c r="A48" t="inlineStr">
        <is>
          <t>Mary-Lynn Sputek</t>
        </is>
      </c>
      <c r="B48" t="inlineStr">
        <is>
          <t>Yellowknife</t>
        </is>
      </c>
      <c r="C48" t="inlineStr">
        <is>
          <t>Residential</t>
        </is>
      </c>
      <c r="D48" t="inlineStr">
        <is>
          <t>Y</t>
        </is>
      </c>
    </row>
    <row r="49">
      <c r="A49" t="inlineStr">
        <is>
          <t>Melissa Kruger</t>
        </is>
      </c>
      <c r="B49" t="inlineStr">
        <is>
          <t>Yellowknife</t>
        </is>
      </c>
      <c r="C49" t="inlineStr">
        <is>
          <t>Residential</t>
        </is>
      </c>
      <c r="D49" t="inlineStr">
        <is>
          <t>Y</t>
        </is>
      </c>
    </row>
    <row r="50">
      <c r="A50" t="inlineStr">
        <is>
          <t>Michael Liddiard</t>
        </is>
      </c>
      <c r="B50" t="inlineStr">
        <is>
          <t>Yellowknife</t>
        </is>
      </c>
      <c r="C50" t="inlineStr">
        <is>
          <t>Residential</t>
        </is>
      </c>
      <c r="D50" t="inlineStr">
        <is>
          <t>Y</t>
        </is>
      </c>
    </row>
    <row r="51">
      <c r="A51" t="inlineStr">
        <is>
          <t>Michael Targett</t>
        </is>
      </c>
      <c r="B51" t="inlineStr">
        <is>
          <t>Yellowknife</t>
        </is>
      </c>
      <c r="C51" t="inlineStr">
        <is>
          <t>Residential</t>
        </is>
      </c>
      <c r="D51" t="inlineStr">
        <is>
          <t>Y</t>
        </is>
      </c>
    </row>
    <row r="52">
      <c r="A52" t="inlineStr">
        <is>
          <t>Michel Legault</t>
        </is>
      </c>
      <c r="B52" t="inlineStr">
        <is>
          <t>Yellowknife</t>
        </is>
      </c>
      <c r="C52" t="inlineStr">
        <is>
          <t>Residential</t>
        </is>
      </c>
      <c r="D52" t="inlineStr">
        <is>
          <t>Y</t>
        </is>
      </c>
    </row>
    <row r="53">
      <c r="A53" t="inlineStr">
        <is>
          <t>Moses Hernandez</t>
        </is>
      </c>
      <c r="B53" t="inlineStr">
        <is>
          <t>Yellowknife</t>
        </is>
      </c>
      <c r="C53" t="inlineStr">
        <is>
          <t>Residential</t>
        </is>
      </c>
      <c r="D53" t="inlineStr">
        <is>
          <t>Y</t>
        </is>
      </c>
    </row>
    <row r="54">
      <c r="A54" t="inlineStr">
        <is>
          <t>NACC</t>
        </is>
      </c>
      <c r="B54" t="inlineStr">
        <is>
          <t>Yellowknife</t>
        </is>
      </c>
      <c r="C54" t="inlineStr">
        <is>
          <t>Commercial</t>
        </is>
      </c>
      <c r="D54" t="inlineStr">
        <is>
          <t>Y</t>
        </is>
      </c>
    </row>
    <row r="55">
      <c r="A55" t="inlineStr">
        <is>
          <t>Naka Power Utilities (NWT) Ltd.</t>
        </is>
      </c>
      <c r="B55" t="inlineStr">
        <is>
          <t>Yellowknife</t>
        </is>
      </c>
      <c r="C55" t="inlineStr">
        <is>
          <t>Commercial</t>
        </is>
      </c>
      <c r="D55" t="inlineStr">
        <is>
          <t>Y</t>
        </is>
      </c>
    </row>
    <row r="56">
      <c r="A56" t="inlineStr">
        <is>
          <t>Nancy MacNeill</t>
        </is>
      </c>
      <c r="B56" t="inlineStr">
        <is>
          <t>Yellowknife</t>
        </is>
      </c>
      <c r="C56" t="inlineStr">
        <is>
          <t>Residential</t>
        </is>
      </c>
      <c r="D56" t="inlineStr">
        <is>
          <t>Y</t>
        </is>
      </c>
    </row>
    <row r="57">
      <c r="A57" t="inlineStr">
        <is>
          <t>Natasha Sanders</t>
        </is>
      </c>
      <c r="B57" t="inlineStr">
        <is>
          <t>Yellowknife</t>
        </is>
      </c>
      <c r="C57" t="inlineStr">
        <is>
          <t>Residential</t>
        </is>
      </c>
      <c r="D57" t="inlineStr">
        <is>
          <t>Y</t>
        </is>
      </c>
    </row>
    <row r="58">
      <c r="A58" t="inlineStr">
        <is>
          <t>Northview Residential (NHF LP)</t>
        </is>
      </c>
      <c r="B58" t="inlineStr">
        <is>
          <t>Yellowknife</t>
        </is>
      </c>
      <c r="C58" t="inlineStr">
        <is>
          <t>Commercial</t>
        </is>
      </c>
      <c r="D58" t="inlineStr">
        <is>
          <t>Y</t>
        </is>
      </c>
    </row>
    <row r="59">
      <c r="A59" t="inlineStr">
        <is>
          <t>Orna Phelan</t>
        </is>
      </c>
      <c r="B59" t="inlineStr">
        <is>
          <t>Yellowknife</t>
        </is>
      </c>
      <c r="C59" t="inlineStr">
        <is>
          <t>Residential</t>
        </is>
      </c>
      <c r="D59" t="inlineStr">
        <is>
          <t>Y</t>
        </is>
      </c>
    </row>
    <row r="60">
      <c r="A60" t="inlineStr">
        <is>
          <t>P and P Integrated</t>
        </is>
      </c>
      <c r="B60" t="inlineStr">
        <is>
          <t>Yellowknife</t>
        </is>
      </c>
      <c r="C60" t="inlineStr">
        <is>
          <t>Commercial</t>
        </is>
      </c>
      <c r="D60" t="inlineStr">
        <is>
          <t>Y</t>
        </is>
      </c>
    </row>
    <row r="61">
      <c r="A61" t="inlineStr">
        <is>
          <t>Sandra Bradbury</t>
        </is>
      </c>
      <c r="B61" t="inlineStr">
        <is>
          <t>Yellowknife</t>
        </is>
      </c>
      <c r="C61" t="inlineStr">
        <is>
          <t>Residential</t>
        </is>
      </c>
      <c r="D61" t="inlineStr">
        <is>
          <t>Y</t>
        </is>
      </c>
    </row>
    <row r="62">
      <c r="A62" t="inlineStr">
        <is>
          <t>Sandra MacKenzie</t>
        </is>
      </c>
      <c r="B62" t="inlineStr">
        <is>
          <t>Yellowknife</t>
        </is>
      </c>
      <c r="C62" t="inlineStr">
        <is>
          <t>Residential</t>
        </is>
      </c>
      <c r="D62" t="inlineStr">
        <is>
          <t>Y</t>
        </is>
      </c>
    </row>
    <row r="63">
      <c r="A63" t="inlineStr">
        <is>
          <t>Shawn McCann</t>
        </is>
      </c>
      <c r="B63" t="inlineStr">
        <is>
          <t>Yellowknife</t>
        </is>
      </c>
      <c r="C63" t="inlineStr">
        <is>
          <t>Residential</t>
        </is>
      </c>
      <c r="D63" t="inlineStr">
        <is>
          <t>Y</t>
        </is>
      </c>
    </row>
    <row r="64">
      <c r="A64" t="inlineStr">
        <is>
          <t>Shawna Gills</t>
        </is>
      </c>
      <c r="B64" t="inlineStr">
        <is>
          <t>Yellowknife</t>
        </is>
      </c>
      <c r="C64" t="inlineStr">
        <is>
          <t>Residential</t>
        </is>
      </c>
      <c r="D64" t="inlineStr">
        <is>
          <t>Y</t>
        </is>
      </c>
    </row>
    <row r="65">
      <c r="A65" t="inlineStr">
        <is>
          <t>Simran Gosain</t>
        </is>
      </c>
      <c r="B65" t="inlineStr">
        <is>
          <t>Yellowknife</t>
        </is>
      </c>
      <c r="C65" t="inlineStr">
        <is>
          <t>Residential</t>
        </is>
      </c>
      <c r="D65" t="inlineStr">
        <is>
          <t>Y</t>
        </is>
      </c>
    </row>
    <row r="66">
      <c r="A66" t="inlineStr">
        <is>
          <t>Soham Srimani (Sayani Dirghangi)</t>
        </is>
      </c>
      <c r="B66" t="inlineStr">
        <is>
          <t>Yellowknife</t>
        </is>
      </c>
      <c r="C66" t="inlineStr">
        <is>
          <t>Residential</t>
        </is>
      </c>
      <c r="D66" t="inlineStr">
        <is>
          <t>Y</t>
        </is>
      </c>
    </row>
    <row r="67">
      <c r="A67" t="inlineStr">
        <is>
          <t>Sonia D'Angelo-Vibert</t>
        </is>
      </c>
      <c r="B67" t="inlineStr">
        <is>
          <t>Yellowknife</t>
        </is>
      </c>
      <c r="C67" t="inlineStr">
        <is>
          <t>Residential</t>
        </is>
      </c>
      <c r="D67" t="inlineStr">
        <is>
          <t>Y</t>
        </is>
      </c>
    </row>
    <row r="68">
      <c r="A68" t="inlineStr">
        <is>
          <t>Stanley Hotte</t>
        </is>
      </c>
      <c r="B68" t="inlineStr">
        <is>
          <t>Yellowknife</t>
        </is>
      </c>
      <c r="C68" t="inlineStr">
        <is>
          <t>Residential</t>
        </is>
      </c>
      <c r="D68" t="inlineStr">
        <is>
          <t>Y</t>
        </is>
      </c>
    </row>
    <row r="69">
      <c r="A69" t="inlineStr">
        <is>
          <t>Stefanie Pandke</t>
        </is>
      </c>
      <c r="B69" t="inlineStr">
        <is>
          <t>Yellowknife</t>
        </is>
      </c>
      <c r="C69" t="inlineStr">
        <is>
          <t>Residential</t>
        </is>
      </c>
      <c r="D69" t="inlineStr">
        <is>
          <t>Y</t>
        </is>
      </c>
    </row>
    <row r="70">
      <c r="A70" t="inlineStr">
        <is>
          <t>Steve Swan</t>
        </is>
      </c>
      <c r="B70" t="inlineStr">
        <is>
          <t>Yellowknife</t>
        </is>
      </c>
      <c r="C70" t="inlineStr">
        <is>
          <t>Residential</t>
        </is>
      </c>
      <c r="D70" t="inlineStr">
        <is>
          <t>Y</t>
        </is>
      </c>
    </row>
    <row r="71">
      <c r="A71" t="inlineStr">
        <is>
          <t>Stuart York</t>
        </is>
      </c>
      <c r="B71" t="inlineStr">
        <is>
          <t>Yellowknife</t>
        </is>
      </c>
      <c r="C71" t="inlineStr">
        <is>
          <t>Residential</t>
        </is>
      </c>
      <c r="D71" t="inlineStr">
        <is>
          <t>Y</t>
        </is>
      </c>
    </row>
    <row r="72">
      <c r="A72" t="inlineStr">
        <is>
          <t>Susan Eaton</t>
        </is>
      </c>
      <c r="B72" t="inlineStr">
        <is>
          <t>Yellowknife</t>
        </is>
      </c>
      <c r="C72" t="inlineStr">
        <is>
          <t>Residential</t>
        </is>
      </c>
      <c r="D72" t="inlineStr">
        <is>
          <t>Y</t>
        </is>
      </c>
    </row>
    <row r="73">
      <c r="A73" t="inlineStr">
        <is>
          <t>Susanne Matthews</t>
        </is>
      </c>
      <c r="B73" t="inlineStr">
        <is>
          <t>Yellowknife</t>
        </is>
      </c>
      <c r="C73" t="inlineStr">
        <is>
          <t>Residential</t>
        </is>
      </c>
      <c r="D73" t="inlineStr">
        <is>
          <t>Y</t>
        </is>
      </c>
    </row>
    <row r="74">
      <c r="A74" t="inlineStr">
        <is>
          <t>Sutherland's Drugs</t>
        </is>
      </c>
      <c r="B74" t="inlineStr">
        <is>
          <t>Yellowknife</t>
        </is>
      </c>
      <c r="C74" t="inlineStr">
        <is>
          <t>Commercial</t>
        </is>
      </c>
      <c r="D74" t="inlineStr">
        <is>
          <t>Y</t>
        </is>
      </c>
    </row>
    <row r="75">
      <c r="A75" t="inlineStr">
        <is>
          <t>Tammy Connors</t>
        </is>
      </c>
      <c r="B75" t="inlineStr">
        <is>
          <t>Yellowknife</t>
        </is>
      </c>
      <c r="C75" t="inlineStr">
        <is>
          <t>Residential</t>
        </is>
      </c>
      <c r="D75" t="inlineStr">
        <is>
          <t>Y</t>
        </is>
      </c>
    </row>
    <row r="76">
      <c r="A76" t="inlineStr">
        <is>
          <t>The Co-operators c/o Nathalie Gauthier Dore</t>
        </is>
      </c>
      <c r="B76" t="inlineStr">
        <is>
          <t>Yellowknife</t>
        </is>
      </c>
      <c r="C76" t="inlineStr">
        <is>
          <t>Commercial</t>
        </is>
      </c>
      <c r="D76" t="inlineStr">
        <is>
          <t>Y</t>
        </is>
      </c>
    </row>
    <row r="77">
      <c r="A77" t="inlineStr">
        <is>
          <t>Thea Gillis Campbell</t>
        </is>
      </c>
      <c r="B77" t="inlineStr">
        <is>
          <t>Yellowknife</t>
        </is>
      </c>
      <c r="C77" t="inlineStr">
        <is>
          <t>Residential</t>
        </is>
      </c>
      <c r="D77" t="inlineStr">
        <is>
          <t>Y</t>
        </is>
      </c>
    </row>
    <row r="78">
      <c r="A78" t="inlineStr">
        <is>
          <t>Triton Enterprises Ltd.</t>
        </is>
      </c>
      <c r="B78" t="inlineStr">
        <is>
          <t>Yellowknife</t>
        </is>
      </c>
      <c r="C78" t="inlineStr">
        <is>
          <t>Commercial</t>
        </is>
      </c>
      <c r="D78" t="inlineStr">
        <is>
          <t>Y</t>
        </is>
      </c>
    </row>
    <row r="79">
      <c r="A79" t="inlineStr">
        <is>
          <t>Valerie Fournier</t>
        </is>
      </c>
      <c r="B79" t="inlineStr">
        <is>
          <t>Yellowknife</t>
        </is>
      </c>
      <c r="C79" t="inlineStr">
        <is>
          <t>Residential</t>
        </is>
      </c>
      <c r="D79" t="inlineStr">
        <is>
          <t>Y</t>
        </is>
      </c>
    </row>
    <row r="80">
      <c r="A80" t="inlineStr">
        <is>
          <t>Yvonne Pokiak-Asher</t>
        </is>
      </c>
      <c r="B80" t="inlineStr">
        <is>
          <t>Yellowknife</t>
        </is>
      </c>
      <c r="C80" t="inlineStr">
        <is>
          <t>Residential</t>
        </is>
      </c>
      <c r="D80" t="inlineStr">
        <is>
          <t>Y</t>
        </is>
      </c>
    </row>
    <row r="81">
      <c r="A81" t="inlineStr">
        <is>
          <t>École Allain St-Cyr, CSFTNO</t>
        </is>
      </c>
      <c r="B81" t="inlineStr">
        <is>
          <t>Yellowknife</t>
        </is>
      </c>
      <c r="C81" t="inlineStr">
        <is>
          <t>Commercial</t>
        </is>
      </c>
      <c r="D81" t="inlineStr">
        <is>
          <t>Y</t>
        </is>
      </c>
    </row>
  </sheetData>
  <dataValidations count="1">
    <dataValidation sqref="B2:B501" showDropDown="0" showInputMessage="0" showErrorMessage="0" allowBlank="1" type="list">
      <formula1>"Yellowknife,Richmond/Vancouver"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26A00"/>
    <outlinePr summaryBelow="1" summaryRight="1"/>
    <pageSetUpPr/>
  </sheetPr>
  <dimension ref="A1:H10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Pay Period</t>
        </is>
      </c>
    </row>
    <row r="2">
      <c r="A2" t="inlineStr">
        <is>
          <t>Months back (0 = this month, 1 = last month)</t>
        </is>
      </c>
      <c r="B2" s="10" t="n">
        <v>0</v>
      </c>
      <c r="H2" t="inlineStr">
        <is>
          <t>Payroll steps: 1) Rows flagged = 0 for everyone.  2) Hours match Jobber timesheets (Weekly tab).  3) Run payroll from this table.</t>
        </is>
      </c>
    </row>
    <row r="3">
      <c r="A3" t="inlineStr">
        <is>
          <t>Pay is monthly. Run payroll from last month (Months back = 1).</t>
        </is>
      </c>
    </row>
    <row r="5">
      <c r="A5" t="inlineStr">
        <is>
          <t>Period start</t>
        </is>
      </c>
      <c r="B5" s="11">
        <f>DATE(YEAR(TODAY()),MONTH(TODAY())-B2,1)</f>
        <v/>
      </c>
    </row>
    <row r="6">
      <c r="A6" t="inlineStr">
        <is>
          <t>Period end</t>
        </is>
      </c>
      <c r="B6" s="11">
        <f>DATE(YEAR(TODAY()),MONTH(TODAY())-B2+1,0)</f>
        <v/>
      </c>
    </row>
    <row r="8">
      <c r="A8" s="12" t="inlineStr">
        <is>
          <t>Employee</t>
        </is>
      </c>
      <c r="B8" s="12" t="inlineStr">
        <is>
          <t>Hours</t>
        </is>
      </c>
      <c r="C8" s="12" t="inlineStr">
        <is>
          <t>Shifts</t>
        </is>
      </c>
      <c r="D8" s="12" t="inlineStr">
        <is>
          <t>Hourly rate</t>
        </is>
      </c>
      <c r="E8" s="12" t="inlineStr">
        <is>
          <t>Gross pay</t>
        </is>
      </c>
      <c r="F8" s="12" t="inlineStr">
        <is>
          <t>Rows flagged</t>
        </is>
      </c>
    </row>
    <row r="9">
      <c r="A9">
        <f>IF(Staff!A2="","",Staff!A2)</f>
        <v/>
      </c>
      <c r="B9" s="13">
        <f>IF(A9="","",SUMIFS('Hours Log'!$G$2:$G$2001,'Hours Log'!$B$2:$B$2001,A9,'Hours Log'!$A$2:$A$2001,"&gt;="&amp;$B$5,'Hours Log'!$A$2:$A$2001,"&lt;="&amp;$B$6))</f>
        <v/>
      </c>
      <c r="C9">
        <f>IF(A9="","",COUNTIFS('Hours Log'!$B$2:$B$2001,A9,'Hours Log'!$A$2:$A$2001,"&gt;="&amp;$B$5,'Hours Log'!$A$2:$A$2001,"&lt;="&amp;$B$6))</f>
        <v/>
      </c>
      <c r="D9" s="9">
        <f>IF(A9="","",IFERROR(INDEX(Staff!$D$2:$D$101,MATCH(A9,Staff!$A$2:$A$101,0)),0))</f>
        <v/>
      </c>
      <c r="E9" s="9">
        <f>IF(A9="","",B9*D9)</f>
        <v/>
      </c>
      <c r="F9">
        <f>IF(A9="","",COUNTIFS('Hours Log'!$B$2:$B$2001,A9,'Hours Log'!$A$2:$A$2001,"&gt;="&amp;$B$5,'Hours Log'!$A$2:$A$2001,"&lt;="&amp;$B$6,'Hours Log'!$K$2:$K$2001,"&lt;&gt;OK"))</f>
        <v/>
      </c>
    </row>
    <row r="10">
      <c r="A10">
        <f>IF(Staff!A3="","",Staff!A3)</f>
        <v/>
      </c>
      <c r="B10" s="13">
        <f>IF(A10="","",SUMIFS('Hours Log'!$G$2:$G$2001,'Hours Log'!$B$2:$B$2001,A10,'Hours Log'!$A$2:$A$2001,"&gt;="&amp;$B$5,'Hours Log'!$A$2:$A$2001,"&lt;="&amp;$B$6))</f>
        <v/>
      </c>
      <c r="C10">
        <f>IF(A10="","",COUNTIFS('Hours Log'!$B$2:$B$2001,A10,'Hours Log'!$A$2:$A$2001,"&gt;="&amp;$B$5,'Hours Log'!$A$2:$A$2001,"&lt;="&amp;$B$6))</f>
        <v/>
      </c>
      <c r="D10" s="9">
        <f>IF(A10="","",IFERROR(INDEX(Staff!$D$2:$D$101,MATCH(A10,Staff!$A$2:$A$101,0)),0))</f>
        <v/>
      </c>
      <c r="E10" s="9">
        <f>IF(A10="","",B10*D10)</f>
        <v/>
      </c>
      <c r="F10">
        <f>IF(A10="","",COUNTIFS('Hours Log'!$B$2:$B$2001,A10,'Hours Log'!$A$2:$A$2001,"&gt;="&amp;$B$5,'Hours Log'!$A$2:$A$2001,"&lt;="&amp;$B$6,'Hours Log'!$K$2:$K$2001,"&lt;&gt;OK"))</f>
        <v/>
      </c>
    </row>
    <row r="11">
      <c r="A11">
        <f>IF(Staff!A4="","",Staff!A4)</f>
        <v/>
      </c>
      <c r="B11" s="13">
        <f>IF(A11="","",SUMIFS('Hours Log'!$G$2:$G$2001,'Hours Log'!$B$2:$B$2001,A11,'Hours Log'!$A$2:$A$2001,"&gt;="&amp;$B$5,'Hours Log'!$A$2:$A$2001,"&lt;="&amp;$B$6))</f>
        <v/>
      </c>
      <c r="C11">
        <f>IF(A11="","",COUNTIFS('Hours Log'!$B$2:$B$2001,A11,'Hours Log'!$A$2:$A$2001,"&gt;="&amp;$B$5,'Hours Log'!$A$2:$A$2001,"&lt;="&amp;$B$6))</f>
        <v/>
      </c>
      <c r="D11" s="9">
        <f>IF(A11="","",IFERROR(INDEX(Staff!$D$2:$D$101,MATCH(A11,Staff!$A$2:$A$101,0)),0))</f>
        <v/>
      </c>
      <c r="E11" s="9">
        <f>IF(A11="","",B11*D11)</f>
        <v/>
      </c>
      <c r="F11">
        <f>IF(A11="","",COUNTIFS('Hours Log'!$B$2:$B$2001,A11,'Hours Log'!$A$2:$A$2001,"&gt;="&amp;$B$5,'Hours Log'!$A$2:$A$2001,"&lt;="&amp;$B$6,'Hours Log'!$K$2:$K$2001,"&lt;&gt;OK"))</f>
        <v/>
      </c>
    </row>
    <row r="12">
      <c r="A12">
        <f>IF(Staff!A5="","",Staff!A5)</f>
        <v/>
      </c>
      <c r="B12" s="13">
        <f>IF(A12="","",SUMIFS('Hours Log'!$G$2:$G$2001,'Hours Log'!$B$2:$B$2001,A12,'Hours Log'!$A$2:$A$2001,"&gt;="&amp;$B$5,'Hours Log'!$A$2:$A$2001,"&lt;="&amp;$B$6))</f>
        <v/>
      </c>
      <c r="C12">
        <f>IF(A12="","",COUNTIFS('Hours Log'!$B$2:$B$2001,A12,'Hours Log'!$A$2:$A$2001,"&gt;="&amp;$B$5,'Hours Log'!$A$2:$A$2001,"&lt;="&amp;$B$6))</f>
        <v/>
      </c>
      <c r="D12" s="9">
        <f>IF(A12="","",IFERROR(INDEX(Staff!$D$2:$D$101,MATCH(A12,Staff!$A$2:$A$101,0)),0))</f>
        <v/>
      </c>
      <c r="E12" s="9">
        <f>IF(A12="","",B12*D12)</f>
        <v/>
      </c>
      <c r="F12">
        <f>IF(A12="","",COUNTIFS('Hours Log'!$B$2:$B$2001,A12,'Hours Log'!$A$2:$A$2001,"&gt;="&amp;$B$5,'Hours Log'!$A$2:$A$2001,"&lt;="&amp;$B$6,'Hours Log'!$K$2:$K$2001,"&lt;&gt;OK"))</f>
        <v/>
      </c>
    </row>
    <row r="13">
      <c r="A13">
        <f>IF(Staff!A6="","",Staff!A6)</f>
        <v/>
      </c>
      <c r="B13" s="13">
        <f>IF(A13="","",SUMIFS('Hours Log'!$G$2:$G$2001,'Hours Log'!$B$2:$B$2001,A13,'Hours Log'!$A$2:$A$2001,"&gt;="&amp;$B$5,'Hours Log'!$A$2:$A$2001,"&lt;="&amp;$B$6))</f>
        <v/>
      </c>
      <c r="C13">
        <f>IF(A13="","",COUNTIFS('Hours Log'!$B$2:$B$2001,A13,'Hours Log'!$A$2:$A$2001,"&gt;="&amp;$B$5,'Hours Log'!$A$2:$A$2001,"&lt;="&amp;$B$6))</f>
        <v/>
      </c>
      <c r="D13" s="9">
        <f>IF(A13="","",IFERROR(INDEX(Staff!$D$2:$D$101,MATCH(A13,Staff!$A$2:$A$101,0)),0))</f>
        <v/>
      </c>
      <c r="E13" s="9">
        <f>IF(A13="","",B13*D13)</f>
        <v/>
      </c>
      <c r="F13">
        <f>IF(A13="","",COUNTIFS('Hours Log'!$B$2:$B$2001,A13,'Hours Log'!$A$2:$A$2001,"&gt;="&amp;$B$5,'Hours Log'!$A$2:$A$2001,"&lt;="&amp;$B$6,'Hours Log'!$K$2:$K$2001,"&lt;&gt;OK"))</f>
        <v/>
      </c>
    </row>
    <row r="14">
      <c r="A14">
        <f>IF(Staff!A7="","",Staff!A7)</f>
        <v/>
      </c>
      <c r="B14" s="13">
        <f>IF(A14="","",SUMIFS('Hours Log'!$G$2:$G$2001,'Hours Log'!$B$2:$B$2001,A14,'Hours Log'!$A$2:$A$2001,"&gt;="&amp;$B$5,'Hours Log'!$A$2:$A$2001,"&lt;="&amp;$B$6))</f>
        <v/>
      </c>
      <c r="C14">
        <f>IF(A14="","",COUNTIFS('Hours Log'!$B$2:$B$2001,A14,'Hours Log'!$A$2:$A$2001,"&gt;="&amp;$B$5,'Hours Log'!$A$2:$A$2001,"&lt;="&amp;$B$6))</f>
        <v/>
      </c>
      <c r="D14" s="9">
        <f>IF(A14="","",IFERROR(INDEX(Staff!$D$2:$D$101,MATCH(A14,Staff!$A$2:$A$101,0)),0))</f>
        <v/>
      </c>
      <c r="E14" s="9">
        <f>IF(A14="","",B14*D14)</f>
        <v/>
      </c>
      <c r="F14">
        <f>IF(A14="","",COUNTIFS('Hours Log'!$B$2:$B$2001,A14,'Hours Log'!$A$2:$A$2001,"&gt;="&amp;$B$5,'Hours Log'!$A$2:$A$2001,"&lt;="&amp;$B$6,'Hours Log'!$K$2:$K$2001,"&lt;&gt;OK"))</f>
        <v/>
      </c>
    </row>
    <row r="15">
      <c r="A15">
        <f>IF(Staff!A8="","",Staff!A8)</f>
        <v/>
      </c>
      <c r="B15" s="13">
        <f>IF(A15="","",SUMIFS('Hours Log'!$G$2:$G$2001,'Hours Log'!$B$2:$B$2001,A15,'Hours Log'!$A$2:$A$2001,"&gt;="&amp;$B$5,'Hours Log'!$A$2:$A$2001,"&lt;="&amp;$B$6))</f>
        <v/>
      </c>
      <c r="C15">
        <f>IF(A15="","",COUNTIFS('Hours Log'!$B$2:$B$2001,A15,'Hours Log'!$A$2:$A$2001,"&gt;="&amp;$B$5,'Hours Log'!$A$2:$A$2001,"&lt;="&amp;$B$6))</f>
        <v/>
      </c>
      <c r="D15" s="9">
        <f>IF(A15="","",IFERROR(INDEX(Staff!$D$2:$D$101,MATCH(A15,Staff!$A$2:$A$101,0)),0))</f>
        <v/>
      </c>
      <c r="E15" s="9">
        <f>IF(A15="","",B15*D15)</f>
        <v/>
      </c>
      <c r="F15">
        <f>IF(A15="","",COUNTIFS('Hours Log'!$B$2:$B$2001,A15,'Hours Log'!$A$2:$A$2001,"&gt;="&amp;$B$5,'Hours Log'!$A$2:$A$2001,"&lt;="&amp;$B$6,'Hours Log'!$K$2:$K$2001,"&lt;&gt;OK"))</f>
        <v/>
      </c>
    </row>
    <row r="16">
      <c r="A16">
        <f>IF(Staff!A9="","",Staff!A9)</f>
        <v/>
      </c>
      <c r="B16" s="13">
        <f>IF(A16="","",SUMIFS('Hours Log'!$G$2:$G$2001,'Hours Log'!$B$2:$B$2001,A16,'Hours Log'!$A$2:$A$2001,"&gt;="&amp;$B$5,'Hours Log'!$A$2:$A$2001,"&lt;="&amp;$B$6))</f>
        <v/>
      </c>
      <c r="C16">
        <f>IF(A16="","",COUNTIFS('Hours Log'!$B$2:$B$2001,A16,'Hours Log'!$A$2:$A$2001,"&gt;="&amp;$B$5,'Hours Log'!$A$2:$A$2001,"&lt;="&amp;$B$6))</f>
        <v/>
      </c>
      <c r="D16" s="9">
        <f>IF(A16="","",IFERROR(INDEX(Staff!$D$2:$D$101,MATCH(A16,Staff!$A$2:$A$101,0)),0))</f>
        <v/>
      </c>
      <c r="E16" s="9">
        <f>IF(A16="","",B16*D16)</f>
        <v/>
      </c>
      <c r="F16">
        <f>IF(A16="","",COUNTIFS('Hours Log'!$B$2:$B$2001,A16,'Hours Log'!$A$2:$A$2001,"&gt;="&amp;$B$5,'Hours Log'!$A$2:$A$2001,"&lt;="&amp;$B$6,'Hours Log'!$K$2:$K$2001,"&lt;&gt;OK"))</f>
        <v/>
      </c>
    </row>
    <row r="17">
      <c r="A17">
        <f>IF(Staff!A10="","",Staff!A10)</f>
        <v/>
      </c>
      <c r="B17" s="13">
        <f>IF(A17="","",SUMIFS('Hours Log'!$G$2:$G$2001,'Hours Log'!$B$2:$B$2001,A17,'Hours Log'!$A$2:$A$2001,"&gt;="&amp;$B$5,'Hours Log'!$A$2:$A$2001,"&lt;="&amp;$B$6))</f>
        <v/>
      </c>
      <c r="C17">
        <f>IF(A17="","",COUNTIFS('Hours Log'!$B$2:$B$2001,A17,'Hours Log'!$A$2:$A$2001,"&gt;="&amp;$B$5,'Hours Log'!$A$2:$A$2001,"&lt;="&amp;$B$6))</f>
        <v/>
      </c>
      <c r="D17" s="9">
        <f>IF(A17="","",IFERROR(INDEX(Staff!$D$2:$D$101,MATCH(A17,Staff!$A$2:$A$101,0)),0))</f>
        <v/>
      </c>
      <c r="E17" s="9">
        <f>IF(A17="","",B17*D17)</f>
        <v/>
      </c>
      <c r="F17">
        <f>IF(A17="","",COUNTIFS('Hours Log'!$B$2:$B$2001,A17,'Hours Log'!$A$2:$A$2001,"&gt;="&amp;$B$5,'Hours Log'!$A$2:$A$2001,"&lt;="&amp;$B$6,'Hours Log'!$K$2:$K$2001,"&lt;&gt;OK"))</f>
        <v/>
      </c>
    </row>
    <row r="18">
      <c r="A18">
        <f>IF(Staff!A11="","",Staff!A11)</f>
        <v/>
      </c>
      <c r="B18" s="13">
        <f>IF(A18="","",SUMIFS('Hours Log'!$G$2:$G$2001,'Hours Log'!$B$2:$B$2001,A18,'Hours Log'!$A$2:$A$2001,"&gt;="&amp;$B$5,'Hours Log'!$A$2:$A$2001,"&lt;="&amp;$B$6))</f>
        <v/>
      </c>
      <c r="C18">
        <f>IF(A18="","",COUNTIFS('Hours Log'!$B$2:$B$2001,A18,'Hours Log'!$A$2:$A$2001,"&gt;="&amp;$B$5,'Hours Log'!$A$2:$A$2001,"&lt;="&amp;$B$6))</f>
        <v/>
      </c>
      <c r="D18" s="9">
        <f>IF(A18="","",IFERROR(INDEX(Staff!$D$2:$D$101,MATCH(A18,Staff!$A$2:$A$101,0)),0))</f>
        <v/>
      </c>
      <c r="E18" s="9">
        <f>IF(A18="","",B18*D18)</f>
        <v/>
      </c>
      <c r="F18">
        <f>IF(A18="","",COUNTIFS('Hours Log'!$B$2:$B$2001,A18,'Hours Log'!$A$2:$A$2001,"&gt;="&amp;$B$5,'Hours Log'!$A$2:$A$2001,"&lt;="&amp;$B$6,'Hours Log'!$K$2:$K$2001,"&lt;&gt;OK"))</f>
        <v/>
      </c>
    </row>
    <row r="19">
      <c r="A19">
        <f>IF(Staff!A12="","",Staff!A12)</f>
        <v/>
      </c>
      <c r="B19" s="13">
        <f>IF(A19="","",SUMIFS('Hours Log'!$G$2:$G$2001,'Hours Log'!$B$2:$B$2001,A19,'Hours Log'!$A$2:$A$2001,"&gt;="&amp;$B$5,'Hours Log'!$A$2:$A$2001,"&lt;="&amp;$B$6))</f>
        <v/>
      </c>
      <c r="C19">
        <f>IF(A19="","",COUNTIFS('Hours Log'!$B$2:$B$2001,A19,'Hours Log'!$A$2:$A$2001,"&gt;="&amp;$B$5,'Hours Log'!$A$2:$A$2001,"&lt;="&amp;$B$6))</f>
        <v/>
      </c>
      <c r="D19" s="9">
        <f>IF(A19="","",IFERROR(INDEX(Staff!$D$2:$D$101,MATCH(A19,Staff!$A$2:$A$101,0)),0))</f>
        <v/>
      </c>
      <c r="E19" s="9">
        <f>IF(A19="","",B19*D19)</f>
        <v/>
      </c>
      <c r="F19">
        <f>IF(A19="","",COUNTIFS('Hours Log'!$B$2:$B$2001,A19,'Hours Log'!$A$2:$A$2001,"&gt;="&amp;$B$5,'Hours Log'!$A$2:$A$2001,"&lt;="&amp;$B$6,'Hours Log'!$K$2:$K$2001,"&lt;&gt;OK"))</f>
        <v/>
      </c>
    </row>
    <row r="20">
      <c r="A20">
        <f>IF(Staff!A13="","",Staff!A13)</f>
        <v/>
      </c>
      <c r="B20" s="13">
        <f>IF(A20="","",SUMIFS('Hours Log'!$G$2:$G$2001,'Hours Log'!$B$2:$B$2001,A20,'Hours Log'!$A$2:$A$2001,"&gt;="&amp;$B$5,'Hours Log'!$A$2:$A$2001,"&lt;="&amp;$B$6))</f>
        <v/>
      </c>
      <c r="C20">
        <f>IF(A20="","",COUNTIFS('Hours Log'!$B$2:$B$2001,A20,'Hours Log'!$A$2:$A$2001,"&gt;="&amp;$B$5,'Hours Log'!$A$2:$A$2001,"&lt;="&amp;$B$6))</f>
        <v/>
      </c>
      <c r="D20" s="9">
        <f>IF(A20="","",IFERROR(INDEX(Staff!$D$2:$D$101,MATCH(A20,Staff!$A$2:$A$101,0)),0))</f>
        <v/>
      </c>
      <c r="E20" s="9">
        <f>IF(A20="","",B20*D20)</f>
        <v/>
      </c>
      <c r="F20">
        <f>IF(A20="","",COUNTIFS('Hours Log'!$B$2:$B$2001,A20,'Hours Log'!$A$2:$A$2001,"&gt;="&amp;$B$5,'Hours Log'!$A$2:$A$2001,"&lt;="&amp;$B$6,'Hours Log'!$K$2:$K$2001,"&lt;&gt;OK"))</f>
        <v/>
      </c>
    </row>
    <row r="21">
      <c r="A21">
        <f>IF(Staff!A14="","",Staff!A14)</f>
        <v/>
      </c>
      <c r="B21" s="13">
        <f>IF(A21="","",SUMIFS('Hours Log'!$G$2:$G$2001,'Hours Log'!$B$2:$B$2001,A21,'Hours Log'!$A$2:$A$2001,"&gt;="&amp;$B$5,'Hours Log'!$A$2:$A$2001,"&lt;="&amp;$B$6))</f>
        <v/>
      </c>
      <c r="C21">
        <f>IF(A21="","",COUNTIFS('Hours Log'!$B$2:$B$2001,A21,'Hours Log'!$A$2:$A$2001,"&gt;="&amp;$B$5,'Hours Log'!$A$2:$A$2001,"&lt;="&amp;$B$6))</f>
        <v/>
      </c>
      <c r="D21" s="9">
        <f>IF(A21="","",IFERROR(INDEX(Staff!$D$2:$D$101,MATCH(A21,Staff!$A$2:$A$101,0)),0))</f>
        <v/>
      </c>
      <c r="E21" s="9">
        <f>IF(A21="","",B21*D21)</f>
        <v/>
      </c>
      <c r="F21">
        <f>IF(A21="","",COUNTIFS('Hours Log'!$B$2:$B$2001,A21,'Hours Log'!$A$2:$A$2001,"&gt;="&amp;$B$5,'Hours Log'!$A$2:$A$2001,"&lt;="&amp;$B$6,'Hours Log'!$K$2:$K$2001,"&lt;&gt;OK"))</f>
        <v/>
      </c>
    </row>
    <row r="22">
      <c r="A22">
        <f>IF(Staff!A15="","",Staff!A15)</f>
        <v/>
      </c>
      <c r="B22" s="13">
        <f>IF(A22="","",SUMIFS('Hours Log'!$G$2:$G$2001,'Hours Log'!$B$2:$B$2001,A22,'Hours Log'!$A$2:$A$2001,"&gt;="&amp;$B$5,'Hours Log'!$A$2:$A$2001,"&lt;="&amp;$B$6))</f>
        <v/>
      </c>
      <c r="C22">
        <f>IF(A22="","",COUNTIFS('Hours Log'!$B$2:$B$2001,A22,'Hours Log'!$A$2:$A$2001,"&gt;="&amp;$B$5,'Hours Log'!$A$2:$A$2001,"&lt;="&amp;$B$6))</f>
        <v/>
      </c>
      <c r="D22" s="9">
        <f>IF(A22="","",IFERROR(INDEX(Staff!$D$2:$D$101,MATCH(A22,Staff!$A$2:$A$101,0)),0))</f>
        <v/>
      </c>
      <c r="E22" s="9">
        <f>IF(A22="","",B22*D22)</f>
        <v/>
      </c>
      <c r="F22">
        <f>IF(A22="","",COUNTIFS('Hours Log'!$B$2:$B$2001,A22,'Hours Log'!$A$2:$A$2001,"&gt;="&amp;$B$5,'Hours Log'!$A$2:$A$2001,"&lt;="&amp;$B$6,'Hours Log'!$K$2:$K$2001,"&lt;&gt;OK"))</f>
        <v/>
      </c>
    </row>
    <row r="23">
      <c r="A23">
        <f>IF(Staff!A16="","",Staff!A16)</f>
        <v/>
      </c>
      <c r="B23" s="13">
        <f>IF(A23="","",SUMIFS('Hours Log'!$G$2:$G$2001,'Hours Log'!$B$2:$B$2001,A23,'Hours Log'!$A$2:$A$2001,"&gt;="&amp;$B$5,'Hours Log'!$A$2:$A$2001,"&lt;="&amp;$B$6))</f>
        <v/>
      </c>
      <c r="C23">
        <f>IF(A23="","",COUNTIFS('Hours Log'!$B$2:$B$2001,A23,'Hours Log'!$A$2:$A$2001,"&gt;="&amp;$B$5,'Hours Log'!$A$2:$A$2001,"&lt;="&amp;$B$6))</f>
        <v/>
      </c>
      <c r="D23" s="9">
        <f>IF(A23="","",IFERROR(INDEX(Staff!$D$2:$D$101,MATCH(A23,Staff!$A$2:$A$101,0)),0))</f>
        <v/>
      </c>
      <c r="E23" s="9">
        <f>IF(A23="","",B23*D23)</f>
        <v/>
      </c>
      <c r="F23">
        <f>IF(A23="","",COUNTIFS('Hours Log'!$B$2:$B$2001,A23,'Hours Log'!$A$2:$A$2001,"&gt;="&amp;$B$5,'Hours Log'!$A$2:$A$2001,"&lt;="&amp;$B$6,'Hours Log'!$K$2:$K$2001,"&lt;&gt;OK"))</f>
        <v/>
      </c>
    </row>
    <row r="24">
      <c r="A24">
        <f>IF(Staff!A17="","",Staff!A17)</f>
        <v/>
      </c>
      <c r="B24" s="13">
        <f>IF(A24="","",SUMIFS('Hours Log'!$G$2:$G$2001,'Hours Log'!$B$2:$B$2001,A24,'Hours Log'!$A$2:$A$2001,"&gt;="&amp;$B$5,'Hours Log'!$A$2:$A$2001,"&lt;="&amp;$B$6))</f>
        <v/>
      </c>
      <c r="C24">
        <f>IF(A24="","",COUNTIFS('Hours Log'!$B$2:$B$2001,A24,'Hours Log'!$A$2:$A$2001,"&gt;="&amp;$B$5,'Hours Log'!$A$2:$A$2001,"&lt;="&amp;$B$6))</f>
        <v/>
      </c>
      <c r="D24" s="9">
        <f>IF(A24="","",IFERROR(INDEX(Staff!$D$2:$D$101,MATCH(A24,Staff!$A$2:$A$101,0)),0))</f>
        <v/>
      </c>
      <c r="E24" s="9">
        <f>IF(A24="","",B24*D24)</f>
        <v/>
      </c>
      <c r="F24">
        <f>IF(A24="","",COUNTIFS('Hours Log'!$B$2:$B$2001,A24,'Hours Log'!$A$2:$A$2001,"&gt;="&amp;$B$5,'Hours Log'!$A$2:$A$2001,"&lt;="&amp;$B$6,'Hours Log'!$K$2:$K$2001,"&lt;&gt;OK"))</f>
        <v/>
      </c>
    </row>
    <row r="25">
      <c r="A25">
        <f>IF(Staff!A18="","",Staff!A18)</f>
        <v/>
      </c>
      <c r="B25" s="13">
        <f>IF(A25="","",SUMIFS('Hours Log'!$G$2:$G$2001,'Hours Log'!$B$2:$B$2001,A25,'Hours Log'!$A$2:$A$2001,"&gt;="&amp;$B$5,'Hours Log'!$A$2:$A$2001,"&lt;="&amp;$B$6))</f>
        <v/>
      </c>
      <c r="C25">
        <f>IF(A25="","",COUNTIFS('Hours Log'!$B$2:$B$2001,A25,'Hours Log'!$A$2:$A$2001,"&gt;="&amp;$B$5,'Hours Log'!$A$2:$A$2001,"&lt;="&amp;$B$6))</f>
        <v/>
      </c>
      <c r="D25" s="9">
        <f>IF(A25="","",IFERROR(INDEX(Staff!$D$2:$D$101,MATCH(A25,Staff!$A$2:$A$101,0)),0))</f>
        <v/>
      </c>
      <c r="E25" s="9">
        <f>IF(A25="","",B25*D25)</f>
        <v/>
      </c>
      <c r="F25">
        <f>IF(A25="","",COUNTIFS('Hours Log'!$B$2:$B$2001,A25,'Hours Log'!$A$2:$A$2001,"&gt;="&amp;$B$5,'Hours Log'!$A$2:$A$2001,"&lt;="&amp;$B$6,'Hours Log'!$K$2:$K$2001,"&lt;&gt;OK"))</f>
        <v/>
      </c>
    </row>
    <row r="26">
      <c r="A26">
        <f>IF(Staff!A19="","",Staff!A19)</f>
        <v/>
      </c>
      <c r="B26" s="13">
        <f>IF(A26="","",SUMIFS('Hours Log'!$G$2:$G$2001,'Hours Log'!$B$2:$B$2001,A26,'Hours Log'!$A$2:$A$2001,"&gt;="&amp;$B$5,'Hours Log'!$A$2:$A$2001,"&lt;="&amp;$B$6))</f>
        <v/>
      </c>
      <c r="C26">
        <f>IF(A26="","",COUNTIFS('Hours Log'!$B$2:$B$2001,A26,'Hours Log'!$A$2:$A$2001,"&gt;="&amp;$B$5,'Hours Log'!$A$2:$A$2001,"&lt;="&amp;$B$6))</f>
        <v/>
      </c>
      <c r="D26" s="9">
        <f>IF(A26="","",IFERROR(INDEX(Staff!$D$2:$D$101,MATCH(A26,Staff!$A$2:$A$101,0)),0))</f>
        <v/>
      </c>
      <c r="E26" s="9">
        <f>IF(A26="","",B26*D26)</f>
        <v/>
      </c>
      <c r="F26">
        <f>IF(A26="","",COUNTIFS('Hours Log'!$B$2:$B$2001,A26,'Hours Log'!$A$2:$A$2001,"&gt;="&amp;$B$5,'Hours Log'!$A$2:$A$2001,"&lt;="&amp;$B$6,'Hours Log'!$K$2:$K$2001,"&lt;&gt;OK"))</f>
        <v/>
      </c>
    </row>
    <row r="27">
      <c r="A27">
        <f>IF(Staff!A20="","",Staff!A20)</f>
        <v/>
      </c>
      <c r="B27" s="13">
        <f>IF(A27="","",SUMIFS('Hours Log'!$G$2:$G$2001,'Hours Log'!$B$2:$B$2001,A27,'Hours Log'!$A$2:$A$2001,"&gt;="&amp;$B$5,'Hours Log'!$A$2:$A$2001,"&lt;="&amp;$B$6))</f>
        <v/>
      </c>
      <c r="C27">
        <f>IF(A27="","",COUNTIFS('Hours Log'!$B$2:$B$2001,A27,'Hours Log'!$A$2:$A$2001,"&gt;="&amp;$B$5,'Hours Log'!$A$2:$A$2001,"&lt;="&amp;$B$6))</f>
        <v/>
      </c>
      <c r="D27" s="9">
        <f>IF(A27="","",IFERROR(INDEX(Staff!$D$2:$D$101,MATCH(A27,Staff!$A$2:$A$101,0)),0))</f>
        <v/>
      </c>
      <c r="E27" s="9">
        <f>IF(A27="","",B27*D27)</f>
        <v/>
      </c>
      <c r="F27">
        <f>IF(A27="","",COUNTIFS('Hours Log'!$B$2:$B$2001,A27,'Hours Log'!$A$2:$A$2001,"&gt;="&amp;$B$5,'Hours Log'!$A$2:$A$2001,"&lt;="&amp;$B$6,'Hours Log'!$K$2:$K$2001,"&lt;&gt;OK"))</f>
        <v/>
      </c>
    </row>
    <row r="28">
      <c r="A28">
        <f>IF(Staff!A21="","",Staff!A21)</f>
        <v/>
      </c>
      <c r="B28" s="13">
        <f>IF(A28="","",SUMIFS('Hours Log'!$G$2:$G$2001,'Hours Log'!$B$2:$B$2001,A28,'Hours Log'!$A$2:$A$2001,"&gt;="&amp;$B$5,'Hours Log'!$A$2:$A$2001,"&lt;="&amp;$B$6))</f>
        <v/>
      </c>
      <c r="C28">
        <f>IF(A28="","",COUNTIFS('Hours Log'!$B$2:$B$2001,A28,'Hours Log'!$A$2:$A$2001,"&gt;="&amp;$B$5,'Hours Log'!$A$2:$A$2001,"&lt;="&amp;$B$6))</f>
        <v/>
      </c>
      <c r="D28" s="9">
        <f>IF(A28="","",IFERROR(INDEX(Staff!$D$2:$D$101,MATCH(A28,Staff!$A$2:$A$101,0)),0))</f>
        <v/>
      </c>
      <c r="E28" s="9">
        <f>IF(A28="","",B28*D28)</f>
        <v/>
      </c>
      <c r="F28">
        <f>IF(A28="","",COUNTIFS('Hours Log'!$B$2:$B$2001,A28,'Hours Log'!$A$2:$A$2001,"&gt;="&amp;$B$5,'Hours Log'!$A$2:$A$2001,"&lt;="&amp;$B$6,'Hours Log'!$K$2:$K$2001,"&lt;&gt;OK"))</f>
        <v/>
      </c>
    </row>
    <row r="29">
      <c r="A29">
        <f>IF(Staff!A22="","",Staff!A22)</f>
        <v/>
      </c>
      <c r="B29" s="13">
        <f>IF(A29="","",SUMIFS('Hours Log'!$G$2:$G$2001,'Hours Log'!$B$2:$B$2001,A29,'Hours Log'!$A$2:$A$2001,"&gt;="&amp;$B$5,'Hours Log'!$A$2:$A$2001,"&lt;="&amp;$B$6))</f>
        <v/>
      </c>
      <c r="C29">
        <f>IF(A29="","",COUNTIFS('Hours Log'!$B$2:$B$2001,A29,'Hours Log'!$A$2:$A$2001,"&gt;="&amp;$B$5,'Hours Log'!$A$2:$A$2001,"&lt;="&amp;$B$6))</f>
        <v/>
      </c>
      <c r="D29" s="9">
        <f>IF(A29="","",IFERROR(INDEX(Staff!$D$2:$D$101,MATCH(A29,Staff!$A$2:$A$101,0)),0))</f>
        <v/>
      </c>
      <c r="E29" s="9">
        <f>IF(A29="","",B29*D29)</f>
        <v/>
      </c>
      <c r="F29">
        <f>IF(A29="","",COUNTIFS('Hours Log'!$B$2:$B$2001,A29,'Hours Log'!$A$2:$A$2001,"&gt;="&amp;$B$5,'Hours Log'!$A$2:$A$2001,"&lt;="&amp;$B$6,'Hours Log'!$K$2:$K$2001,"&lt;&gt;OK"))</f>
        <v/>
      </c>
    </row>
    <row r="30">
      <c r="A30">
        <f>IF(Staff!A23="","",Staff!A23)</f>
        <v/>
      </c>
      <c r="B30" s="13">
        <f>IF(A30="","",SUMIFS('Hours Log'!$G$2:$G$2001,'Hours Log'!$B$2:$B$2001,A30,'Hours Log'!$A$2:$A$2001,"&gt;="&amp;$B$5,'Hours Log'!$A$2:$A$2001,"&lt;="&amp;$B$6))</f>
        <v/>
      </c>
      <c r="C30">
        <f>IF(A30="","",COUNTIFS('Hours Log'!$B$2:$B$2001,A30,'Hours Log'!$A$2:$A$2001,"&gt;="&amp;$B$5,'Hours Log'!$A$2:$A$2001,"&lt;="&amp;$B$6))</f>
        <v/>
      </c>
      <c r="D30" s="9">
        <f>IF(A30="","",IFERROR(INDEX(Staff!$D$2:$D$101,MATCH(A30,Staff!$A$2:$A$101,0)),0))</f>
        <v/>
      </c>
      <c r="E30" s="9">
        <f>IF(A30="","",B30*D30)</f>
        <v/>
      </c>
      <c r="F30">
        <f>IF(A30="","",COUNTIFS('Hours Log'!$B$2:$B$2001,A30,'Hours Log'!$A$2:$A$2001,"&gt;="&amp;$B$5,'Hours Log'!$A$2:$A$2001,"&lt;="&amp;$B$6,'Hours Log'!$K$2:$K$2001,"&lt;&gt;OK"))</f>
        <v/>
      </c>
    </row>
    <row r="31">
      <c r="A31">
        <f>IF(Staff!A24="","",Staff!A24)</f>
        <v/>
      </c>
      <c r="B31" s="13">
        <f>IF(A31="","",SUMIFS('Hours Log'!$G$2:$G$2001,'Hours Log'!$B$2:$B$2001,A31,'Hours Log'!$A$2:$A$2001,"&gt;="&amp;$B$5,'Hours Log'!$A$2:$A$2001,"&lt;="&amp;$B$6))</f>
        <v/>
      </c>
      <c r="C31">
        <f>IF(A31="","",COUNTIFS('Hours Log'!$B$2:$B$2001,A31,'Hours Log'!$A$2:$A$2001,"&gt;="&amp;$B$5,'Hours Log'!$A$2:$A$2001,"&lt;="&amp;$B$6))</f>
        <v/>
      </c>
      <c r="D31" s="9">
        <f>IF(A31="","",IFERROR(INDEX(Staff!$D$2:$D$101,MATCH(A31,Staff!$A$2:$A$101,0)),0))</f>
        <v/>
      </c>
      <c r="E31" s="9">
        <f>IF(A31="","",B31*D31)</f>
        <v/>
      </c>
      <c r="F31">
        <f>IF(A31="","",COUNTIFS('Hours Log'!$B$2:$B$2001,A31,'Hours Log'!$A$2:$A$2001,"&gt;="&amp;$B$5,'Hours Log'!$A$2:$A$2001,"&lt;="&amp;$B$6,'Hours Log'!$K$2:$K$2001,"&lt;&gt;OK"))</f>
        <v/>
      </c>
    </row>
    <row r="32">
      <c r="A32">
        <f>IF(Staff!A25="","",Staff!A25)</f>
        <v/>
      </c>
      <c r="B32" s="13">
        <f>IF(A32="","",SUMIFS('Hours Log'!$G$2:$G$2001,'Hours Log'!$B$2:$B$2001,A32,'Hours Log'!$A$2:$A$2001,"&gt;="&amp;$B$5,'Hours Log'!$A$2:$A$2001,"&lt;="&amp;$B$6))</f>
        <v/>
      </c>
      <c r="C32">
        <f>IF(A32="","",COUNTIFS('Hours Log'!$B$2:$B$2001,A32,'Hours Log'!$A$2:$A$2001,"&gt;="&amp;$B$5,'Hours Log'!$A$2:$A$2001,"&lt;="&amp;$B$6))</f>
        <v/>
      </c>
      <c r="D32" s="9">
        <f>IF(A32="","",IFERROR(INDEX(Staff!$D$2:$D$101,MATCH(A32,Staff!$A$2:$A$101,0)),0))</f>
        <v/>
      </c>
      <c r="E32" s="9">
        <f>IF(A32="","",B32*D32)</f>
        <v/>
      </c>
      <c r="F32">
        <f>IF(A32="","",COUNTIFS('Hours Log'!$B$2:$B$2001,A32,'Hours Log'!$A$2:$A$2001,"&gt;="&amp;$B$5,'Hours Log'!$A$2:$A$2001,"&lt;="&amp;$B$6,'Hours Log'!$K$2:$K$2001,"&lt;&gt;OK"))</f>
        <v/>
      </c>
    </row>
    <row r="33">
      <c r="A33">
        <f>IF(Staff!A26="","",Staff!A26)</f>
        <v/>
      </c>
      <c r="B33" s="13">
        <f>IF(A33="","",SUMIFS('Hours Log'!$G$2:$G$2001,'Hours Log'!$B$2:$B$2001,A33,'Hours Log'!$A$2:$A$2001,"&gt;="&amp;$B$5,'Hours Log'!$A$2:$A$2001,"&lt;="&amp;$B$6))</f>
        <v/>
      </c>
      <c r="C33">
        <f>IF(A33="","",COUNTIFS('Hours Log'!$B$2:$B$2001,A33,'Hours Log'!$A$2:$A$2001,"&gt;="&amp;$B$5,'Hours Log'!$A$2:$A$2001,"&lt;="&amp;$B$6))</f>
        <v/>
      </c>
      <c r="D33" s="9">
        <f>IF(A33="","",IFERROR(INDEX(Staff!$D$2:$D$101,MATCH(A33,Staff!$A$2:$A$101,0)),0))</f>
        <v/>
      </c>
      <c r="E33" s="9">
        <f>IF(A33="","",B33*D33)</f>
        <v/>
      </c>
      <c r="F33">
        <f>IF(A33="","",COUNTIFS('Hours Log'!$B$2:$B$2001,A33,'Hours Log'!$A$2:$A$2001,"&gt;="&amp;$B$5,'Hours Log'!$A$2:$A$2001,"&lt;="&amp;$B$6,'Hours Log'!$K$2:$K$2001,"&lt;&gt;OK"))</f>
        <v/>
      </c>
    </row>
    <row r="34">
      <c r="A34">
        <f>IF(Staff!A27="","",Staff!A27)</f>
        <v/>
      </c>
      <c r="B34" s="13">
        <f>IF(A34="","",SUMIFS('Hours Log'!$G$2:$G$2001,'Hours Log'!$B$2:$B$2001,A34,'Hours Log'!$A$2:$A$2001,"&gt;="&amp;$B$5,'Hours Log'!$A$2:$A$2001,"&lt;="&amp;$B$6))</f>
        <v/>
      </c>
      <c r="C34">
        <f>IF(A34="","",COUNTIFS('Hours Log'!$B$2:$B$2001,A34,'Hours Log'!$A$2:$A$2001,"&gt;="&amp;$B$5,'Hours Log'!$A$2:$A$2001,"&lt;="&amp;$B$6))</f>
        <v/>
      </c>
      <c r="D34" s="9">
        <f>IF(A34="","",IFERROR(INDEX(Staff!$D$2:$D$101,MATCH(A34,Staff!$A$2:$A$101,0)),0))</f>
        <v/>
      </c>
      <c r="E34" s="9">
        <f>IF(A34="","",B34*D34)</f>
        <v/>
      </c>
      <c r="F34">
        <f>IF(A34="","",COUNTIFS('Hours Log'!$B$2:$B$2001,A34,'Hours Log'!$A$2:$A$2001,"&gt;="&amp;$B$5,'Hours Log'!$A$2:$A$2001,"&lt;="&amp;$B$6,'Hours Log'!$K$2:$K$2001,"&lt;&gt;OK"))</f>
        <v/>
      </c>
    </row>
    <row r="35">
      <c r="A35">
        <f>IF(Staff!A28="","",Staff!A28)</f>
        <v/>
      </c>
      <c r="B35" s="13">
        <f>IF(A35="","",SUMIFS('Hours Log'!$G$2:$G$2001,'Hours Log'!$B$2:$B$2001,A35,'Hours Log'!$A$2:$A$2001,"&gt;="&amp;$B$5,'Hours Log'!$A$2:$A$2001,"&lt;="&amp;$B$6))</f>
        <v/>
      </c>
      <c r="C35">
        <f>IF(A35="","",COUNTIFS('Hours Log'!$B$2:$B$2001,A35,'Hours Log'!$A$2:$A$2001,"&gt;="&amp;$B$5,'Hours Log'!$A$2:$A$2001,"&lt;="&amp;$B$6))</f>
        <v/>
      </c>
      <c r="D35" s="9">
        <f>IF(A35="","",IFERROR(INDEX(Staff!$D$2:$D$101,MATCH(A35,Staff!$A$2:$A$101,0)),0))</f>
        <v/>
      </c>
      <c r="E35" s="9">
        <f>IF(A35="","",B35*D35)</f>
        <v/>
      </c>
      <c r="F35">
        <f>IF(A35="","",COUNTIFS('Hours Log'!$B$2:$B$2001,A35,'Hours Log'!$A$2:$A$2001,"&gt;="&amp;$B$5,'Hours Log'!$A$2:$A$2001,"&lt;="&amp;$B$6,'Hours Log'!$K$2:$K$2001,"&lt;&gt;OK"))</f>
        <v/>
      </c>
    </row>
    <row r="36">
      <c r="A36">
        <f>IF(Staff!A29="","",Staff!A29)</f>
        <v/>
      </c>
      <c r="B36" s="13">
        <f>IF(A36="","",SUMIFS('Hours Log'!$G$2:$G$2001,'Hours Log'!$B$2:$B$2001,A36,'Hours Log'!$A$2:$A$2001,"&gt;="&amp;$B$5,'Hours Log'!$A$2:$A$2001,"&lt;="&amp;$B$6))</f>
        <v/>
      </c>
      <c r="C36">
        <f>IF(A36="","",COUNTIFS('Hours Log'!$B$2:$B$2001,A36,'Hours Log'!$A$2:$A$2001,"&gt;="&amp;$B$5,'Hours Log'!$A$2:$A$2001,"&lt;="&amp;$B$6))</f>
        <v/>
      </c>
      <c r="D36" s="9">
        <f>IF(A36="","",IFERROR(INDEX(Staff!$D$2:$D$101,MATCH(A36,Staff!$A$2:$A$101,0)),0))</f>
        <v/>
      </c>
      <c r="E36" s="9">
        <f>IF(A36="","",B36*D36)</f>
        <v/>
      </c>
      <c r="F36">
        <f>IF(A36="","",COUNTIFS('Hours Log'!$B$2:$B$2001,A36,'Hours Log'!$A$2:$A$2001,"&gt;="&amp;$B$5,'Hours Log'!$A$2:$A$2001,"&lt;="&amp;$B$6,'Hours Log'!$K$2:$K$2001,"&lt;&gt;OK"))</f>
        <v/>
      </c>
    </row>
    <row r="37">
      <c r="A37">
        <f>IF(Staff!A30="","",Staff!A30)</f>
        <v/>
      </c>
      <c r="B37" s="13">
        <f>IF(A37="","",SUMIFS('Hours Log'!$G$2:$G$2001,'Hours Log'!$B$2:$B$2001,A37,'Hours Log'!$A$2:$A$2001,"&gt;="&amp;$B$5,'Hours Log'!$A$2:$A$2001,"&lt;="&amp;$B$6))</f>
        <v/>
      </c>
      <c r="C37">
        <f>IF(A37="","",COUNTIFS('Hours Log'!$B$2:$B$2001,A37,'Hours Log'!$A$2:$A$2001,"&gt;="&amp;$B$5,'Hours Log'!$A$2:$A$2001,"&lt;="&amp;$B$6))</f>
        <v/>
      </c>
      <c r="D37" s="9">
        <f>IF(A37="","",IFERROR(INDEX(Staff!$D$2:$D$101,MATCH(A37,Staff!$A$2:$A$101,0)),0))</f>
        <v/>
      </c>
      <c r="E37" s="9">
        <f>IF(A37="","",B37*D37)</f>
        <v/>
      </c>
      <c r="F37">
        <f>IF(A37="","",COUNTIFS('Hours Log'!$B$2:$B$2001,A37,'Hours Log'!$A$2:$A$2001,"&gt;="&amp;$B$5,'Hours Log'!$A$2:$A$2001,"&lt;="&amp;$B$6,'Hours Log'!$K$2:$K$2001,"&lt;&gt;OK"))</f>
        <v/>
      </c>
    </row>
    <row r="38">
      <c r="A38">
        <f>IF(Staff!A31="","",Staff!A31)</f>
        <v/>
      </c>
      <c r="B38" s="13">
        <f>IF(A38="","",SUMIFS('Hours Log'!$G$2:$G$2001,'Hours Log'!$B$2:$B$2001,A38,'Hours Log'!$A$2:$A$2001,"&gt;="&amp;$B$5,'Hours Log'!$A$2:$A$2001,"&lt;="&amp;$B$6))</f>
        <v/>
      </c>
      <c r="C38">
        <f>IF(A38="","",COUNTIFS('Hours Log'!$B$2:$B$2001,A38,'Hours Log'!$A$2:$A$2001,"&gt;="&amp;$B$5,'Hours Log'!$A$2:$A$2001,"&lt;="&amp;$B$6))</f>
        <v/>
      </c>
      <c r="D38" s="9">
        <f>IF(A38="","",IFERROR(INDEX(Staff!$D$2:$D$101,MATCH(A38,Staff!$A$2:$A$101,0)),0))</f>
        <v/>
      </c>
      <c r="E38" s="9">
        <f>IF(A38="","",B38*D38)</f>
        <v/>
      </c>
      <c r="F38">
        <f>IF(A38="","",COUNTIFS('Hours Log'!$B$2:$B$2001,A38,'Hours Log'!$A$2:$A$2001,"&gt;="&amp;$B$5,'Hours Log'!$A$2:$A$2001,"&lt;="&amp;$B$6,'Hours Log'!$K$2:$K$2001,"&lt;&gt;OK"))</f>
        <v/>
      </c>
    </row>
    <row r="39">
      <c r="A39">
        <f>IF(Staff!A32="","",Staff!A32)</f>
        <v/>
      </c>
      <c r="B39" s="13">
        <f>IF(A39="","",SUMIFS('Hours Log'!$G$2:$G$2001,'Hours Log'!$B$2:$B$2001,A39,'Hours Log'!$A$2:$A$2001,"&gt;="&amp;$B$5,'Hours Log'!$A$2:$A$2001,"&lt;="&amp;$B$6))</f>
        <v/>
      </c>
      <c r="C39">
        <f>IF(A39="","",COUNTIFS('Hours Log'!$B$2:$B$2001,A39,'Hours Log'!$A$2:$A$2001,"&gt;="&amp;$B$5,'Hours Log'!$A$2:$A$2001,"&lt;="&amp;$B$6))</f>
        <v/>
      </c>
      <c r="D39" s="9">
        <f>IF(A39="","",IFERROR(INDEX(Staff!$D$2:$D$101,MATCH(A39,Staff!$A$2:$A$101,0)),0))</f>
        <v/>
      </c>
      <c r="E39" s="9">
        <f>IF(A39="","",B39*D39)</f>
        <v/>
      </c>
      <c r="F39">
        <f>IF(A39="","",COUNTIFS('Hours Log'!$B$2:$B$2001,A39,'Hours Log'!$A$2:$A$2001,"&gt;="&amp;$B$5,'Hours Log'!$A$2:$A$2001,"&lt;="&amp;$B$6,'Hours Log'!$K$2:$K$2001,"&lt;&gt;OK"))</f>
        <v/>
      </c>
    </row>
    <row r="40">
      <c r="A40">
        <f>IF(Staff!A33="","",Staff!A33)</f>
        <v/>
      </c>
      <c r="B40" s="13">
        <f>IF(A40="","",SUMIFS('Hours Log'!$G$2:$G$2001,'Hours Log'!$B$2:$B$2001,A40,'Hours Log'!$A$2:$A$2001,"&gt;="&amp;$B$5,'Hours Log'!$A$2:$A$2001,"&lt;="&amp;$B$6))</f>
        <v/>
      </c>
      <c r="C40">
        <f>IF(A40="","",COUNTIFS('Hours Log'!$B$2:$B$2001,A40,'Hours Log'!$A$2:$A$2001,"&gt;="&amp;$B$5,'Hours Log'!$A$2:$A$2001,"&lt;="&amp;$B$6))</f>
        <v/>
      </c>
      <c r="D40" s="9">
        <f>IF(A40="","",IFERROR(INDEX(Staff!$D$2:$D$101,MATCH(A40,Staff!$A$2:$A$101,0)),0))</f>
        <v/>
      </c>
      <c r="E40" s="9">
        <f>IF(A40="","",B40*D40)</f>
        <v/>
      </c>
      <c r="F40">
        <f>IF(A40="","",COUNTIFS('Hours Log'!$B$2:$B$2001,A40,'Hours Log'!$A$2:$A$2001,"&gt;="&amp;$B$5,'Hours Log'!$A$2:$A$2001,"&lt;="&amp;$B$6,'Hours Log'!$K$2:$K$2001,"&lt;&gt;OK"))</f>
        <v/>
      </c>
    </row>
    <row r="41">
      <c r="A41">
        <f>IF(Staff!A34="","",Staff!A34)</f>
        <v/>
      </c>
      <c r="B41" s="13">
        <f>IF(A41="","",SUMIFS('Hours Log'!$G$2:$G$2001,'Hours Log'!$B$2:$B$2001,A41,'Hours Log'!$A$2:$A$2001,"&gt;="&amp;$B$5,'Hours Log'!$A$2:$A$2001,"&lt;="&amp;$B$6))</f>
        <v/>
      </c>
      <c r="C41">
        <f>IF(A41="","",COUNTIFS('Hours Log'!$B$2:$B$2001,A41,'Hours Log'!$A$2:$A$2001,"&gt;="&amp;$B$5,'Hours Log'!$A$2:$A$2001,"&lt;="&amp;$B$6))</f>
        <v/>
      </c>
      <c r="D41" s="9">
        <f>IF(A41="","",IFERROR(INDEX(Staff!$D$2:$D$101,MATCH(A41,Staff!$A$2:$A$101,0)),0))</f>
        <v/>
      </c>
      <c r="E41" s="9">
        <f>IF(A41="","",B41*D41)</f>
        <v/>
      </c>
      <c r="F41">
        <f>IF(A41="","",COUNTIFS('Hours Log'!$B$2:$B$2001,A41,'Hours Log'!$A$2:$A$2001,"&gt;="&amp;$B$5,'Hours Log'!$A$2:$A$2001,"&lt;="&amp;$B$6,'Hours Log'!$K$2:$K$2001,"&lt;&gt;OK"))</f>
        <v/>
      </c>
    </row>
    <row r="42">
      <c r="A42">
        <f>IF(Staff!A35="","",Staff!A35)</f>
        <v/>
      </c>
      <c r="B42" s="13">
        <f>IF(A42="","",SUMIFS('Hours Log'!$G$2:$G$2001,'Hours Log'!$B$2:$B$2001,A42,'Hours Log'!$A$2:$A$2001,"&gt;="&amp;$B$5,'Hours Log'!$A$2:$A$2001,"&lt;="&amp;$B$6))</f>
        <v/>
      </c>
      <c r="C42">
        <f>IF(A42="","",COUNTIFS('Hours Log'!$B$2:$B$2001,A42,'Hours Log'!$A$2:$A$2001,"&gt;="&amp;$B$5,'Hours Log'!$A$2:$A$2001,"&lt;="&amp;$B$6))</f>
        <v/>
      </c>
      <c r="D42" s="9">
        <f>IF(A42="","",IFERROR(INDEX(Staff!$D$2:$D$101,MATCH(A42,Staff!$A$2:$A$101,0)),0))</f>
        <v/>
      </c>
      <c r="E42" s="9">
        <f>IF(A42="","",B42*D42)</f>
        <v/>
      </c>
      <c r="F42">
        <f>IF(A42="","",COUNTIFS('Hours Log'!$B$2:$B$2001,A42,'Hours Log'!$A$2:$A$2001,"&gt;="&amp;$B$5,'Hours Log'!$A$2:$A$2001,"&lt;="&amp;$B$6,'Hours Log'!$K$2:$K$2001,"&lt;&gt;OK"))</f>
        <v/>
      </c>
    </row>
    <row r="43">
      <c r="A43">
        <f>IF(Staff!A36="","",Staff!A36)</f>
        <v/>
      </c>
      <c r="B43" s="13">
        <f>IF(A43="","",SUMIFS('Hours Log'!$G$2:$G$2001,'Hours Log'!$B$2:$B$2001,A43,'Hours Log'!$A$2:$A$2001,"&gt;="&amp;$B$5,'Hours Log'!$A$2:$A$2001,"&lt;="&amp;$B$6))</f>
        <v/>
      </c>
      <c r="C43">
        <f>IF(A43="","",COUNTIFS('Hours Log'!$B$2:$B$2001,A43,'Hours Log'!$A$2:$A$2001,"&gt;="&amp;$B$5,'Hours Log'!$A$2:$A$2001,"&lt;="&amp;$B$6))</f>
        <v/>
      </c>
      <c r="D43" s="9">
        <f>IF(A43="","",IFERROR(INDEX(Staff!$D$2:$D$101,MATCH(A43,Staff!$A$2:$A$101,0)),0))</f>
        <v/>
      </c>
      <c r="E43" s="9">
        <f>IF(A43="","",B43*D43)</f>
        <v/>
      </c>
      <c r="F43">
        <f>IF(A43="","",COUNTIFS('Hours Log'!$B$2:$B$2001,A43,'Hours Log'!$A$2:$A$2001,"&gt;="&amp;$B$5,'Hours Log'!$A$2:$A$2001,"&lt;="&amp;$B$6,'Hours Log'!$K$2:$K$2001,"&lt;&gt;OK"))</f>
        <v/>
      </c>
    </row>
    <row r="44">
      <c r="A44">
        <f>IF(Staff!A37="","",Staff!A37)</f>
        <v/>
      </c>
      <c r="B44" s="13">
        <f>IF(A44="","",SUMIFS('Hours Log'!$G$2:$G$2001,'Hours Log'!$B$2:$B$2001,A44,'Hours Log'!$A$2:$A$2001,"&gt;="&amp;$B$5,'Hours Log'!$A$2:$A$2001,"&lt;="&amp;$B$6))</f>
        <v/>
      </c>
      <c r="C44">
        <f>IF(A44="","",COUNTIFS('Hours Log'!$B$2:$B$2001,A44,'Hours Log'!$A$2:$A$2001,"&gt;="&amp;$B$5,'Hours Log'!$A$2:$A$2001,"&lt;="&amp;$B$6))</f>
        <v/>
      </c>
      <c r="D44" s="9">
        <f>IF(A44="","",IFERROR(INDEX(Staff!$D$2:$D$101,MATCH(A44,Staff!$A$2:$A$101,0)),0))</f>
        <v/>
      </c>
      <c r="E44" s="9">
        <f>IF(A44="","",B44*D44)</f>
        <v/>
      </c>
      <c r="F44">
        <f>IF(A44="","",COUNTIFS('Hours Log'!$B$2:$B$2001,A44,'Hours Log'!$A$2:$A$2001,"&gt;="&amp;$B$5,'Hours Log'!$A$2:$A$2001,"&lt;="&amp;$B$6,'Hours Log'!$K$2:$K$2001,"&lt;&gt;OK"))</f>
        <v/>
      </c>
    </row>
    <row r="45">
      <c r="A45">
        <f>IF(Staff!A38="","",Staff!A38)</f>
        <v/>
      </c>
      <c r="B45" s="13">
        <f>IF(A45="","",SUMIFS('Hours Log'!$G$2:$G$2001,'Hours Log'!$B$2:$B$2001,A45,'Hours Log'!$A$2:$A$2001,"&gt;="&amp;$B$5,'Hours Log'!$A$2:$A$2001,"&lt;="&amp;$B$6))</f>
        <v/>
      </c>
      <c r="C45">
        <f>IF(A45="","",COUNTIFS('Hours Log'!$B$2:$B$2001,A45,'Hours Log'!$A$2:$A$2001,"&gt;="&amp;$B$5,'Hours Log'!$A$2:$A$2001,"&lt;="&amp;$B$6))</f>
        <v/>
      </c>
      <c r="D45" s="9">
        <f>IF(A45="","",IFERROR(INDEX(Staff!$D$2:$D$101,MATCH(A45,Staff!$A$2:$A$101,0)),0))</f>
        <v/>
      </c>
      <c r="E45" s="9">
        <f>IF(A45="","",B45*D45)</f>
        <v/>
      </c>
      <c r="F45">
        <f>IF(A45="","",COUNTIFS('Hours Log'!$B$2:$B$2001,A45,'Hours Log'!$A$2:$A$2001,"&gt;="&amp;$B$5,'Hours Log'!$A$2:$A$2001,"&lt;="&amp;$B$6,'Hours Log'!$K$2:$K$2001,"&lt;&gt;OK"))</f>
        <v/>
      </c>
    </row>
    <row r="46">
      <c r="A46">
        <f>IF(Staff!A39="","",Staff!A39)</f>
        <v/>
      </c>
      <c r="B46" s="13">
        <f>IF(A46="","",SUMIFS('Hours Log'!$G$2:$G$2001,'Hours Log'!$B$2:$B$2001,A46,'Hours Log'!$A$2:$A$2001,"&gt;="&amp;$B$5,'Hours Log'!$A$2:$A$2001,"&lt;="&amp;$B$6))</f>
        <v/>
      </c>
      <c r="C46">
        <f>IF(A46="","",COUNTIFS('Hours Log'!$B$2:$B$2001,A46,'Hours Log'!$A$2:$A$2001,"&gt;="&amp;$B$5,'Hours Log'!$A$2:$A$2001,"&lt;="&amp;$B$6))</f>
        <v/>
      </c>
      <c r="D46" s="9">
        <f>IF(A46="","",IFERROR(INDEX(Staff!$D$2:$D$101,MATCH(A46,Staff!$A$2:$A$101,0)),0))</f>
        <v/>
      </c>
      <c r="E46" s="9">
        <f>IF(A46="","",B46*D46)</f>
        <v/>
      </c>
      <c r="F46">
        <f>IF(A46="","",COUNTIFS('Hours Log'!$B$2:$B$2001,A46,'Hours Log'!$A$2:$A$2001,"&gt;="&amp;$B$5,'Hours Log'!$A$2:$A$2001,"&lt;="&amp;$B$6,'Hours Log'!$K$2:$K$2001,"&lt;&gt;OK"))</f>
        <v/>
      </c>
    </row>
    <row r="47">
      <c r="A47">
        <f>IF(Staff!A40="","",Staff!A40)</f>
        <v/>
      </c>
      <c r="B47" s="13">
        <f>IF(A47="","",SUMIFS('Hours Log'!$G$2:$G$2001,'Hours Log'!$B$2:$B$2001,A47,'Hours Log'!$A$2:$A$2001,"&gt;="&amp;$B$5,'Hours Log'!$A$2:$A$2001,"&lt;="&amp;$B$6))</f>
        <v/>
      </c>
      <c r="C47">
        <f>IF(A47="","",COUNTIFS('Hours Log'!$B$2:$B$2001,A47,'Hours Log'!$A$2:$A$2001,"&gt;="&amp;$B$5,'Hours Log'!$A$2:$A$2001,"&lt;="&amp;$B$6))</f>
        <v/>
      </c>
      <c r="D47" s="9">
        <f>IF(A47="","",IFERROR(INDEX(Staff!$D$2:$D$101,MATCH(A47,Staff!$A$2:$A$101,0)),0))</f>
        <v/>
      </c>
      <c r="E47" s="9">
        <f>IF(A47="","",B47*D47)</f>
        <v/>
      </c>
      <c r="F47">
        <f>IF(A47="","",COUNTIFS('Hours Log'!$B$2:$B$2001,A47,'Hours Log'!$A$2:$A$2001,"&gt;="&amp;$B$5,'Hours Log'!$A$2:$A$2001,"&lt;="&amp;$B$6,'Hours Log'!$K$2:$K$2001,"&lt;&gt;OK"))</f>
        <v/>
      </c>
    </row>
    <row r="48">
      <c r="A48">
        <f>IF(Staff!A41="","",Staff!A41)</f>
        <v/>
      </c>
      <c r="B48" s="13">
        <f>IF(A48="","",SUMIFS('Hours Log'!$G$2:$G$2001,'Hours Log'!$B$2:$B$2001,A48,'Hours Log'!$A$2:$A$2001,"&gt;="&amp;$B$5,'Hours Log'!$A$2:$A$2001,"&lt;="&amp;$B$6))</f>
        <v/>
      </c>
      <c r="C48">
        <f>IF(A48="","",COUNTIFS('Hours Log'!$B$2:$B$2001,A48,'Hours Log'!$A$2:$A$2001,"&gt;="&amp;$B$5,'Hours Log'!$A$2:$A$2001,"&lt;="&amp;$B$6))</f>
        <v/>
      </c>
      <c r="D48" s="9">
        <f>IF(A48="","",IFERROR(INDEX(Staff!$D$2:$D$101,MATCH(A48,Staff!$A$2:$A$101,0)),0))</f>
        <v/>
      </c>
      <c r="E48" s="9">
        <f>IF(A48="","",B48*D48)</f>
        <v/>
      </c>
      <c r="F48">
        <f>IF(A48="","",COUNTIFS('Hours Log'!$B$2:$B$2001,A48,'Hours Log'!$A$2:$A$2001,"&gt;="&amp;$B$5,'Hours Log'!$A$2:$A$2001,"&lt;="&amp;$B$6,'Hours Log'!$K$2:$K$2001,"&lt;&gt;OK"))</f>
        <v/>
      </c>
    </row>
    <row r="49">
      <c r="A49">
        <f>IF(Staff!A42="","",Staff!A42)</f>
        <v/>
      </c>
      <c r="B49" s="13">
        <f>IF(A49="","",SUMIFS('Hours Log'!$G$2:$G$2001,'Hours Log'!$B$2:$B$2001,A49,'Hours Log'!$A$2:$A$2001,"&gt;="&amp;$B$5,'Hours Log'!$A$2:$A$2001,"&lt;="&amp;$B$6))</f>
        <v/>
      </c>
      <c r="C49">
        <f>IF(A49="","",COUNTIFS('Hours Log'!$B$2:$B$2001,A49,'Hours Log'!$A$2:$A$2001,"&gt;="&amp;$B$5,'Hours Log'!$A$2:$A$2001,"&lt;="&amp;$B$6))</f>
        <v/>
      </c>
      <c r="D49" s="9">
        <f>IF(A49="","",IFERROR(INDEX(Staff!$D$2:$D$101,MATCH(A49,Staff!$A$2:$A$101,0)),0))</f>
        <v/>
      </c>
      <c r="E49" s="9">
        <f>IF(A49="","",B49*D49)</f>
        <v/>
      </c>
      <c r="F49">
        <f>IF(A49="","",COUNTIFS('Hours Log'!$B$2:$B$2001,A49,'Hours Log'!$A$2:$A$2001,"&gt;="&amp;$B$5,'Hours Log'!$A$2:$A$2001,"&lt;="&amp;$B$6,'Hours Log'!$K$2:$K$2001,"&lt;&gt;OK"))</f>
        <v/>
      </c>
    </row>
    <row r="50">
      <c r="A50">
        <f>IF(Staff!A43="","",Staff!A43)</f>
        <v/>
      </c>
      <c r="B50" s="13">
        <f>IF(A50="","",SUMIFS('Hours Log'!$G$2:$G$2001,'Hours Log'!$B$2:$B$2001,A50,'Hours Log'!$A$2:$A$2001,"&gt;="&amp;$B$5,'Hours Log'!$A$2:$A$2001,"&lt;="&amp;$B$6))</f>
        <v/>
      </c>
      <c r="C50">
        <f>IF(A50="","",COUNTIFS('Hours Log'!$B$2:$B$2001,A50,'Hours Log'!$A$2:$A$2001,"&gt;="&amp;$B$5,'Hours Log'!$A$2:$A$2001,"&lt;="&amp;$B$6))</f>
        <v/>
      </c>
      <c r="D50" s="9">
        <f>IF(A50="","",IFERROR(INDEX(Staff!$D$2:$D$101,MATCH(A50,Staff!$A$2:$A$101,0)),0))</f>
        <v/>
      </c>
      <c r="E50" s="9">
        <f>IF(A50="","",B50*D50)</f>
        <v/>
      </c>
      <c r="F50">
        <f>IF(A50="","",COUNTIFS('Hours Log'!$B$2:$B$2001,A50,'Hours Log'!$A$2:$A$2001,"&gt;="&amp;$B$5,'Hours Log'!$A$2:$A$2001,"&lt;="&amp;$B$6,'Hours Log'!$K$2:$K$2001,"&lt;&gt;OK"))</f>
        <v/>
      </c>
    </row>
    <row r="51">
      <c r="A51">
        <f>IF(Staff!A44="","",Staff!A44)</f>
        <v/>
      </c>
      <c r="B51" s="13">
        <f>IF(A51="","",SUMIFS('Hours Log'!$G$2:$G$2001,'Hours Log'!$B$2:$B$2001,A51,'Hours Log'!$A$2:$A$2001,"&gt;="&amp;$B$5,'Hours Log'!$A$2:$A$2001,"&lt;="&amp;$B$6))</f>
        <v/>
      </c>
      <c r="C51">
        <f>IF(A51="","",COUNTIFS('Hours Log'!$B$2:$B$2001,A51,'Hours Log'!$A$2:$A$2001,"&gt;="&amp;$B$5,'Hours Log'!$A$2:$A$2001,"&lt;="&amp;$B$6))</f>
        <v/>
      </c>
      <c r="D51" s="9">
        <f>IF(A51="","",IFERROR(INDEX(Staff!$D$2:$D$101,MATCH(A51,Staff!$A$2:$A$101,0)),0))</f>
        <v/>
      </c>
      <c r="E51" s="9">
        <f>IF(A51="","",B51*D51)</f>
        <v/>
      </c>
      <c r="F51">
        <f>IF(A51="","",COUNTIFS('Hours Log'!$B$2:$B$2001,A51,'Hours Log'!$A$2:$A$2001,"&gt;="&amp;$B$5,'Hours Log'!$A$2:$A$2001,"&lt;="&amp;$B$6,'Hours Log'!$K$2:$K$2001,"&lt;&gt;OK"))</f>
        <v/>
      </c>
    </row>
    <row r="52">
      <c r="A52">
        <f>IF(Staff!A45="","",Staff!A45)</f>
        <v/>
      </c>
      <c r="B52" s="13">
        <f>IF(A52="","",SUMIFS('Hours Log'!$G$2:$G$2001,'Hours Log'!$B$2:$B$2001,A52,'Hours Log'!$A$2:$A$2001,"&gt;="&amp;$B$5,'Hours Log'!$A$2:$A$2001,"&lt;="&amp;$B$6))</f>
        <v/>
      </c>
      <c r="C52">
        <f>IF(A52="","",COUNTIFS('Hours Log'!$B$2:$B$2001,A52,'Hours Log'!$A$2:$A$2001,"&gt;="&amp;$B$5,'Hours Log'!$A$2:$A$2001,"&lt;="&amp;$B$6))</f>
        <v/>
      </c>
      <c r="D52" s="9">
        <f>IF(A52="","",IFERROR(INDEX(Staff!$D$2:$D$101,MATCH(A52,Staff!$A$2:$A$101,0)),0))</f>
        <v/>
      </c>
      <c r="E52" s="9">
        <f>IF(A52="","",B52*D52)</f>
        <v/>
      </c>
      <c r="F52">
        <f>IF(A52="","",COUNTIFS('Hours Log'!$B$2:$B$2001,A52,'Hours Log'!$A$2:$A$2001,"&gt;="&amp;$B$5,'Hours Log'!$A$2:$A$2001,"&lt;="&amp;$B$6,'Hours Log'!$K$2:$K$2001,"&lt;&gt;OK"))</f>
        <v/>
      </c>
    </row>
    <row r="53">
      <c r="A53">
        <f>IF(Staff!A46="","",Staff!A46)</f>
        <v/>
      </c>
      <c r="B53" s="13">
        <f>IF(A53="","",SUMIFS('Hours Log'!$G$2:$G$2001,'Hours Log'!$B$2:$B$2001,A53,'Hours Log'!$A$2:$A$2001,"&gt;="&amp;$B$5,'Hours Log'!$A$2:$A$2001,"&lt;="&amp;$B$6))</f>
        <v/>
      </c>
      <c r="C53">
        <f>IF(A53="","",COUNTIFS('Hours Log'!$B$2:$B$2001,A53,'Hours Log'!$A$2:$A$2001,"&gt;="&amp;$B$5,'Hours Log'!$A$2:$A$2001,"&lt;="&amp;$B$6))</f>
        <v/>
      </c>
      <c r="D53" s="9">
        <f>IF(A53="","",IFERROR(INDEX(Staff!$D$2:$D$101,MATCH(A53,Staff!$A$2:$A$101,0)),0))</f>
        <v/>
      </c>
      <c r="E53" s="9">
        <f>IF(A53="","",B53*D53)</f>
        <v/>
      </c>
      <c r="F53">
        <f>IF(A53="","",COUNTIFS('Hours Log'!$B$2:$B$2001,A53,'Hours Log'!$A$2:$A$2001,"&gt;="&amp;$B$5,'Hours Log'!$A$2:$A$2001,"&lt;="&amp;$B$6,'Hours Log'!$K$2:$K$2001,"&lt;&gt;OK"))</f>
        <v/>
      </c>
    </row>
    <row r="54">
      <c r="A54">
        <f>IF(Staff!A47="","",Staff!A47)</f>
        <v/>
      </c>
      <c r="B54" s="13">
        <f>IF(A54="","",SUMIFS('Hours Log'!$G$2:$G$2001,'Hours Log'!$B$2:$B$2001,A54,'Hours Log'!$A$2:$A$2001,"&gt;="&amp;$B$5,'Hours Log'!$A$2:$A$2001,"&lt;="&amp;$B$6))</f>
        <v/>
      </c>
      <c r="C54">
        <f>IF(A54="","",COUNTIFS('Hours Log'!$B$2:$B$2001,A54,'Hours Log'!$A$2:$A$2001,"&gt;="&amp;$B$5,'Hours Log'!$A$2:$A$2001,"&lt;="&amp;$B$6))</f>
        <v/>
      </c>
      <c r="D54" s="9">
        <f>IF(A54="","",IFERROR(INDEX(Staff!$D$2:$D$101,MATCH(A54,Staff!$A$2:$A$101,0)),0))</f>
        <v/>
      </c>
      <c r="E54" s="9">
        <f>IF(A54="","",B54*D54)</f>
        <v/>
      </c>
      <c r="F54">
        <f>IF(A54="","",COUNTIFS('Hours Log'!$B$2:$B$2001,A54,'Hours Log'!$A$2:$A$2001,"&gt;="&amp;$B$5,'Hours Log'!$A$2:$A$2001,"&lt;="&amp;$B$6,'Hours Log'!$K$2:$K$2001,"&lt;&gt;OK"))</f>
        <v/>
      </c>
    </row>
    <row r="55">
      <c r="A55">
        <f>IF(Staff!A48="","",Staff!A48)</f>
        <v/>
      </c>
      <c r="B55" s="13">
        <f>IF(A55="","",SUMIFS('Hours Log'!$G$2:$G$2001,'Hours Log'!$B$2:$B$2001,A55,'Hours Log'!$A$2:$A$2001,"&gt;="&amp;$B$5,'Hours Log'!$A$2:$A$2001,"&lt;="&amp;$B$6))</f>
        <v/>
      </c>
      <c r="C55">
        <f>IF(A55="","",COUNTIFS('Hours Log'!$B$2:$B$2001,A55,'Hours Log'!$A$2:$A$2001,"&gt;="&amp;$B$5,'Hours Log'!$A$2:$A$2001,"&lt;="&amp;$B$6))</f>
        <v/>
      </c>
      <c r="D55" s="9">
        <f>IF(A55="","",IFERROR(INDEX(Staff!$D$2:$D$101,MATCH(A55,Staff!$A$2:$A$101,0)),0))</f>
        <v/>
      </c>
      <c r="E55" s="9">
        <f>IF(A55="","",B55*D55)</f>
        <v/>
      </c>
      <c r="F55">
        <f>IF(A55="","",COUNTIFS('Hours Log'!$B$2:$B$2001,A55,'Hours Log'!$A$2:$A$2001,"&gt;="&amp;$B$5,'Hours Log'!$A$2:$A$2001,"&lt;="&amp;$B$6,'Hours Log'!$K$2:$K$2001,"&lt;&gt;OK"))</f>
        <v/>
      </c>
    </row>
    <row r="56">
      <c r="A56">
        <f>IF(Staff!A49="","",Staff!A49)</f>
        <v/>
      </c>
      <c r="B56" s="13">
        <f>IF(A56="","",SUMIFS('Hours Log'!$G$2:$G$2001,'Hours Log'!$B$2:$B$2001,A56,'Hours Log'!$A$2:$A$2001,"&gt;="&amp;$B$5,'Hours Log'!$A$2:$A$2001,"&lt;="&amp;$B$6))</f>
        <v/>
      </c>
      <c r="C56">
        <f>IF(A56="","",COUNTIFS('Hours Log'!$B$2:$B$2001,A56,'Hours Log'!$A$2:$A$2001,"&gt;="&amp;$B$5,'Hours Log'!$A$2:$A$2001,"&lt;="&amp;$B$6))</f>
        <v/>
      </c>
      <c r="D56" s="9">
        <f>IF(A56="","",IFERROR(INDEX(Staff!$D$2:$D$101,MATCH(A56,Staff!$A$2:$A$101,0)),0))</f>
        <v/>
      </c>
      <c r="E56" s="9">
        <f>IF(A56="","",B56*D56)</f>
        <v/>
      </c>
      <c r="F56">
        <f>IF(A56="","",COUNTIFS('Hours Log'!$B$2:$B$2001,A56,'Hours Log'!$A$2:$A$2001,"&gt;="&amp;$B$5,'Hours Log'!$A$2:$A$2001,"&lt;="&amp;$B$6,'Hours Log'!$K$2:$K$2001,"&lt;&gt;OK"))</f>
        <v/>
      </c>
    </row>
    <row r="57">
      <c r="A57">
        <f>IF(Staff!A50="","",Staff!A50)</f>
        <v/>
      </c>
      <c r="B57" s="13">
        <f>IF(A57="","",SUMIFS('Hours Log'!$G$2:$G$2001,'Hours Log'!$B$2:$B$2001,A57,'Hours Log'!$A$2:$A$2001,"&gt;="&amp;$B$5,'Hours Log'!$A$2:$A$2001,"&lt;="&amp;$B$6))</f>
        <v/>
      </c>
      <c r="C57">
        <f>IF(A57="","",COUNTIFS('Hours Log'!$B$2:$B$2001,A57,'Hours Log'!$A$2:$A$2001,"&gt;="&amp;$B$5,'Hours Log'!$A$2:$A$2001,"&lt;="&amp;$B$6))</f>
        <v/>
      </c>
      <c r="D57" s="9">
        <f>IF(A57="","",IFERROR(INDEX(Staff!$D$2:$D$101,MATCH(A57,Staff!$A$2:$A$101,0)),0))</f>
        <v/>
      </c>
      <c r="E57" s="9">
        <f>IF(A57="","",B57*D57)</f>
        <v/>
      </c>
      <c r="F57">
        <f>IF(A57="","",COUNTIFS('Hours Log'!$B$2:$B$2001,A57,'Hours Log'!$A$2:$A$2001,"&gt;="&amp;$B$5,'Hours Log'!$A$2:$A$2001,"&lt;="&amp;$B$6,'Hours Log'!$K$2:$K$2001,"&lt;&gt;OK"))</f>
        <v/>
      </c>
    </row>
    <row r="58">
      <c r="A58">
        <f>IF(Staff!A51="","",Staff!A51)</f>
        <v/>
      </c>
      <c r="B58" s="13">
        <f>IF(A58="","",SUMIFS('Hours Log'!$G$2:$G$2001,'Hours Log'!$B$2:$B$2001,A58,'Hours Log'!$A$2:$A$2001,"&gt;="&amp;$B$5,'Hours Log'!$A$2:$A$2001,"&lt;="&amp;$B$6))</f>
        <v/>
      </c>
      <c r="C58">
        <f>IF(A58="","",COUNTIFS('Hours Log'!$B$2:$B$2001,A58,'Hours Log'!$A$2:$A$2001,"&gt;="&amp;$B$5,'Hours Log'!$A$2:$A$2001,"&lt;="&amp;$B$6))</f>
        <v/>
      </c>
      <c r="D58" s="9">
        <f>IF(A58="","",IFERROR(INDEX(Staff!$D$2:$D$101,MATCH(A58,Staff!$A$2:$A$101,0)),0))</f>
        <v/>
      </c>
      <c r="E58" s="9">
        <f>IF(A58="","",B58*D58)</f>
        <v/>
      </c>
      <c r="F58">
        <f>IF(A58="","",COUNTIFS('Hours Log'!$B$2:$B$2001,A58,'Hours Log'!$A$2:$A$2001,"&gt;="&amp;$B$5,'Hours Log'!$A$2:$A$2001,"&lt;="&amp;$B$6,'Hours Log'!$K$2:$K$2001,"&lt;&gt;OK"))</f>
        <v/>
      </c>
    </row>
    <row r="59">
      <c r="A59">
        <f>IF(Staff!A52="","",Staff!A52)</f>
        <v/>
      </c>
      <c r="B59" s="13">
        <f>IF(A59="","",SUMIFS('Hours Log'!$G$2:$G$2001,'Hours Log'!$B$2:$B$2001,A59,'Hours Log'!$A$2:$A$2001,"&gt;="&amp;$B$5,'Hours Log'!$A$2:$A$2001,"&lt;="&amp;$B$6))</f>
        <v/>
      </c>
      <c r="C59">
        <f>IF(A59="","",COUNTIFS('Hours Log'!$B$2:$B$2001,A59,'Hours Log'!$A$2:$A$2001,"&gt;="&amp;$B$5,'Hours Log'!$A$2:$A$2001,"&lt;="&amp;$B$6))</f>
        <v/>
      </c>
      <c r="D59" s="9">
        <f>IF(A59="","",IFERROR(INDEX(Staff!$D$2:$D$101,MATCH(A59,Staff!$A$2:$A$101,0)),0))</f>
        <v/>
      </c>
      <c r="E59" s="9">
        <f>IF(A59="","",B59*D59)</f>
        <v/>
      </c>
      <c r="F59">
        <f>IF(A59="","",COUNTIFS('Hours Log'!$B$2:$B$2001,A59,'Hours Log'!$A$2:$A$2001,"&gt;="&amp;$B$5,'Hours Log'!$A$2:$A$2001,"&lt;="&amp;$B$6,'Hours Log'!$K$2:$K$2001,"&lt;&gt;OK"))</f>
        <v/>
      </c>
    </row>
    <row r="60">
      <c r="A60">
        <f>IF(Staff!A53="","",Staff!A53)</f>
        <v/>
      </c>
      <c r="B60" s="13">
        <f>IF(A60="","",SUMIFS('Hours Log'!$G$2:$G$2001,'Hours Log'!$B$2:$B$2001,A60,'Hours Log'!$A$2:$A$2001,"&gt;="&amp;$B$5,'Hours Log'!$A$2:$A$2001,"&lt;="&amp;$B$6))</f>
        <v/>
      </c>
      <c r="C60">
        <f>IF(A60="","",COUNTIFS('Hours Log'!$B$2:$B$2001,A60,'Hours Log'!$A$2:$A$2001,"&gt;="&amp;$B$5,'Hours Log'!$A$2:$A$2001,"&lt;="&amp;$B$6))</f>
        <v/>
      </c>
      <c r="D60" s="9">
        <f>IF(A60="","",IFERROR(INDEX(Staff!$D$2:$D$101,MATCH(A60,Staff!$A$2:$A$101,0)),0))</f>
        <v/>
      </c>
      <c r="E60" s="9">
        <f>IF(A60="","",B60*D60)</f>
        <v/>
      </c>
      <c r="F60">
        <f>IF(A60="","",COUNTIFS('Hours Log'!$B$2:$B$2001,A60,'Hours Log'!$A$2:$A$2001,"&gt;="&amp;$B$5,'Hours Log'!$A$2:$A$2001,"&lt;="&amp;$B$6,'Hours Log'!$K$2:$K$2001,"&lt;&gt;OK"))</f>
        <v/>
      </c>
    </row>
    <row r="61">
      <c r="A61">
        <f>IF(Staff!A54="","",Staff!A54)</f>
        <v/>
      </c>
      <c r="B61" s="13">
        <f>IF(A61="","",SUMIFS('Hours Log'!$G$2:$G$2001,'Hours Log'!$B$2:$B$2001,A61,'Hours Log'!$A$2:$A$2001,"&gt;="&amp;$B$5,'Hours Log'!$A$2:$A$2001,"&lt;="&amp;$B$6))</f>
        <v/>
      </c>
      <c r="C61">
        <f>IF(A61="","",COUNTIFS('Hours Log'!$B$2:$B$2001,A61,'Hours Log'!$A$2:$A$2001,"&gt;="&amp;$B$5,'Hours Log'!$A$2:$A$2001,"&lt;="&amp;$B$6))</f>
        <v/>
      </c>
      <c r="D61" s="9">
        <f>IF(A61="","",IFERROR(INDEX(Staff!$D$2:$D$101,MATCH(A61,Staff!$A$2:$A$101,0)),0))</f>
        <v/>
      </c>
      <c r="E61" s="9">
        <f>IF(A61="","",B61*D61)</f>
        <v/>
      </c>
      <c r="F61">
        <f>IF(A61="","",COUNTIFS('Hours Log'!$B$2:$B$2001,A61,'Hours Log'!$A$2:$A$2001,"&gt;="&amp;$B$5,'Hours Log'!$A$2:$A$2001,"&lt;="&amp;$B$6,'Hours Log'!$K$2:$K$2001,"&lt;&gt;OK"))</f>
        <v/>
      </c>
    </row>
    <row r="62">
      <c r="A62">
        <f>IF(Staff!A55="","",Staff!A55)</f>
        <v/>
      </c>
      <c r="B62" s="13">
        <f>IF(A62="","",SUMIFS('Hours Log'!$G$2:$G$2001,'Hours Log'!$B$2:$B$2001,A62,'Hours Log'!$A$2:$A$2001,"&gt;="&amp;$B$5,'Hours Log'!$A$2:$A$2001,"&lt;="&amp;$B$6))</f>
        <v/>
      </c>
      <c r="C62">
        <f>IF(A62="","",COUNTIFS('Hours Log'!$B$2:$B$2001,A62,'Hours Log'!$A$2:$A$2001,"&gt;="&amp;$B$5,'Hours Log'!$A$2:$A$2001,"&lt;="&amp;$B$6))</f>
        <v/>
      </c>
      <c r="D62" s="9">
        <f>IF(A62="","",IFERROR(INDEX(Staff!$D$2:$D$101,MATCH(A62,Staff!$A$2:$A$101,0)),0))</f>
        <v/>
      </c>
      <c r="E62" s="9">
        <f>IF(A62="","",B62*D62)</f>
        <v/>
      </c>
      <c r="F62">
        <f>IF(A62="","",COUNTIFS('Hours Log'!$B$2:$B$2001,A62,'Hours Log'!$A$2:$A$2001,"&gt;="&amp;$B$5,'Hours Log'!$A$2:$A$2001,"&lt;="&amp;$B$6,'Hours Log'!$K$2:$K$2001,"&lt;&gt;OK"))</f>
        <v/>
      </c>
    </row>
    <row r="63">
      <c r="A63">
        <f>IF(Staff!A56="","",Staff!A56)</f>
        <v/>
      </c>
      <c r="B63" s="13">
        <f>IF(A63="","",SUMIFS('Hours Log'!$G$2:$G$2001,'Hours Log'!$B$2:$B$2001,A63,'Hours Log'!$A$2:$A$2001,"&gt;="&amp;$B$5,'Hours Log'!$A$2:$A$2001,"&lt;="&amp;$B$6))</f>
        <v/>
      </c>
      <c r="C63">
        <f>IF(A63="","",COUNTIFS('Hours Log'!$B$2:$B$2001,A63,'Hours Log'!$A$2:$A$2001,"&gt;="&amp;$B$5,'Hours Log'!$A$2:$A$2001,"&lt;="&amp;$B$6))</f>
        <v/>
      </c>
      <c r="D63" s="9">
        <f>IF(A63="","",IFERROR(INDEX(Staff!$D$2:$D$101,MATCH(A63,Staff!$A$2:$A$101,0)),0))</f>
        <v/>
      </c>
      <c r="E63" s="9">
        <f>IF(A63="","",B63*D63)</f>
        <v/>
      </c>
      <c r="F63">
        <f>IF(A63="","",COUNTIFS('Hours Log'!$B$2:$B$2001,A63,'Hours Log'!$A$2:$A$2001,"&gt;="&amp;$B$5,'Hours Log'!$A$2:$A$2001,"&lt;="&amp;$B$6,'Hours Log'!$K$2:$K$2001,"&lt;&gt;OK"))</f>
        <v/>
      </c>
    </row>
    <row r="64">
      <c r="A64">
        <f>IF(Staff!A57="","",Staff!A57)</f>
        <v/>
      </c>
      <c r="B64" s="13">
        <f>IF(A64="","",SUMIFS('Hours Log'!$G$2:$G$2001,'Hours Log'!$B$2:$B$2001,A64,'Hours Log'!$A$2:$A$2001,"&gt;="&amp;$B$5,'Hours Log'!$A$2:$A$2001,"&lt;="&amp;$B$6))</f>
        <v/>
      </c>
      <c r="C64">
        <f>IF(A64="","",COUNTIFS('Hours Log'!$B$2:$B$2001,A64,'Hours Log'!$A$2:$A$2001,"&gt;="&amp;$B$5,'Hours Log'!$A$2:$A$2001,"&lt;="&amp;$B$6))</f>
        <v/>
      </c>
      <c r="D64" s="9">
        <f>IF(A64="","",IFERROR(INDEX(Staff!$D$2:$D$101,MATCH(A64,Staff!$A$2:$A$101,0)),0))</f>
        <v/>
      </c>
      <c r="E64" s="9">
        <f>IF(A64="","",B64*D64)</f>
        <v/>
      </c>
      <c r="F64">
        <f>IF(A64="","",COUNTIFS('Hours Log'!$B$2:$B$2001,A64,'Hours Log'!$A$2:$A$2001,"&gt;="&amp;$B$5,'Hours Log'!$A$2:$A$2001,"&lt;="&amp;$B$6,'Hours Log'!$K$2:$K$2001,"&lt;&gt;OK"))</f>
        <v/>
      </c>
    </row>
    <row r="65">
      <c r="A65">
        <f>IF(Staff!A58="","",Staff!A58)</f>
        <v/>
      </c>
      <c r="B65" s="13">
        <f>IF(A65="","",SUMIFS('Hours Log'!$G$2:$G$2001,'Hours Log'!$B$2:$B$2001,A65,'Hours Log'!$A$2:$A$2001,"&gt;="&amp;$B$5,'Hours Log'!$A$2:$A$2001,"&lt;="&amp;$B$6))</f>
        <v/>
      </c>
      <c r="C65">
        <f>IF(A65="","",COUNTIFS('Hours Log'!$B$2:$B$2001,A65,'Hours Log'!$A$2:$A$2001,"&gt;="&amp;$B$5,'Hours Log'!$A$2:$A$2001,"&lt;="&amp;$B$6))</f>
        <v/>
      </c>
      <c r="D65" s="9">
        <f>IF(A65="","",IFERROR(INDEX(Staff!$D$2:$D$101,MATCH(A65,Staff!$A$2:$A$101,0)),0))</f>
        <v/>
      </c>
      <c r="E65" s="9">
        <f>IF(A65="","",B65*D65)</f>
        <v/>
      </c>
      <c r="F65">
        <f>IF(A65="","",COUNTIFS('Hours Log'!$B$2:$B$2001,A65,'Hours Log'!$A$2:$A$2001,"&gt;="&amp;$B$5,'Hours Log'!$A$2:$A$2001,"&lt;="&amp;$B$6,'Hours Log'!$K$2:$K$2001,"&lt;&gt;OK"))</f>
        <v/>
      </c>
    </row>
    <row r="66">
      <c r="A66">
        <f>IF(Staff!A59="","",Staff!A59)</f>
        <v/>
      </c>
      <c r="B66" s="13">
        <f>IF(A66="","",SUMIFS('Hours Log'!$G$2:$G$2001,'Hours Log'!$B$2:$B$2001,A66,'Hours Log'!$A$2:$A$2001,"&gt;="&amp;$B$5,'Hours Log'!$A$2:$A$2001,"&lt;="&amp;$B$6))</f>
        <v/>
      </c>
      <c r="C66">
        <f>IF(A66="","",COUNTIFS('Hours Log'!$B$2:$B$2001,A66,'Hours Log'!$A$2:$A$2001,"&gt;="&amp;$B$5,'Hours Log'!$A$2:$A$2001,"&lt;="&amp;$B$6))</f>
        <v/>
      </c>
      <c r="D66" s="9">
        <f>IF(A66="","",IFERROR(INDEX(Staff!$D$2:$D$101,MATCH(A66,Staff!$A$2:$A$101,0)),0))</f>
        <v/>
      </c>
      <c r="E66" s="9">
        <f>IF(A66="","",B66*D66)</f>
        <v/>
      </c>
      <c r="F66">
        <f>IF(A66="","",COUNTIFS('Hours Log'!$B$2:$B$2001,A66,'Hours Log'!$A$2:$A$2001,"&gt;="&amp;$B$5,'Hours Log'!$A$2:$A$2001,"&lt;="&amp;$B$6,'Hours Log'!$K$2:$K$2001,"&lt;&gt;OK"))</f>
        <v/>
      </c>
    </row>
    <row r="67">
      <c r="A67">
        <f>IF(Staff!A60="","",Staff!A60)</f>
        <v/>
      </c>
      <c r="B67" s="13">
        <f>IF(A67="","",SUMIFS('Hours Log'!$G$2:$G$2001,'Hours Log'!$B$2:$B$2001,A67,'Hours Log'!$A$2:$A$2001,"&gt;="&amp;$B$5,'Hours Log'!$A$2:$A$2001,"&lt;="&amp;$B$6))</f>
        <v/>
      </c>
      <c r="C67">
        <f>IF(A67="","",COUNTIFS('Hours Log'!$B$2:$B$2001,A67,'Hours Log'!$A$2:$A$2001,"&gt;="&amp;$B$5,'Hours Log'!$A$2:$A$2001,"&lt;="&amp;$B$6))</f>
        <v/>
      </c>
      <c r="D67" s="9">
        <f>IF(A67="","",IFERROR(INDEX(Staff!$D$2:$D$101,MATCH(A67,Staff!$A$2:$A$101,0)),0))</f>
        <v/>
      </c>
      <c r="E67" s="9">
        <f>IF(A67="","",B67*D67)</f>
        <v/>
      </c>
      <c r="F67">
        <f>IF(A67="","",COUNTIFS('Hours Log'!$B$2:$B$2001,A67,'Hours Log'!$A$2:$A$2001,"&gt;="&amp;$B$5,'Hours Log'!$A$2:$A$2001,"&lt;="&amp;$B$6,'Hours Log'!$K$2:$K$2001,"&lt;&gt;OK"))</f>
        <v/>
      </c>
    </row>
    <row r="68">
      <c r="A68">
        <f>IF(Staff!A61="","",Staff!A61)</f>
        <v/>
      </c>
      <c r="B68" s="13">
        <f>IF(A68="","",SUMIFS('Hours Log'!$G$2:$G$2001,'Hours Log'!$B$2:$B$2001,A68,'Hours Log'!$A$2:$A$2001,"&gt;="&amp;$B$5,'Hours Log'!$A$2:$A$2001,"&lt;="&amp;$B$6))</f>
        <v/>
      </c>
      <c r="C68">
        <f>IF(A68="","",COUNTIFS('Hours Log'!$B$2:$B$2001,A68,'Hours Log'!$A$2:$A$2001,"&gt;="&amp;$B$5,'Hours Log'!$A$2:$A$2001,"&lt;="&amp;$B$6))</f>
        <v/>
      </c>
      <c r="D68" s="9">
        <f>IF(A68="","",IFERROR(INDEX(Staff!$D$2:$D$101,MATCH(A68,Staff!$A$2:$A$101,0)),0))</f>
        <v/>
      </c>
      <c r="E68" s="9">
        <f>IF(A68="","",B68*D68)</f>
        <v/>
      </c>
      <c r="F68">
        <f>IF(A68="","",COUNTIFS('Hours Log'!$B$2:$B$2001,A68,'Hours Log'!$A$2:$A$2001,"&gt;="&amp;$B$5,'Hours Log'!$A$2:$A$2001,"&lt;="&amp;$B$6,'Hours Log'!$K$2:$K$2001,"&lt;&gt;OK"))</f>
        <v/>
      </c>
    </row>
    <row r="69">
      <c r="A69">
        <f>IF(Staff!A62="","",Staff!A62)</f>
        <v/>
      </c>
      <c r="B69" s="13">
        <f>IF(A69="","",SUMIFS('Hours Log'!$G$2:$G$2001,'Hours Log'!$B$2:$B$2001,A69,'Hours Log'!$A$2:$A$2001,"&gt;="&amp;$B$5,'Hours Log'!$A$2:$A$2001,"&lt;="&amp;$B$6))</f>
        <v/>
      </c>
      <c r="C69">
        <f>IF(A69="","",COUNTIFS('Hours Log'!$B$2:$B$2001,A69,'Hours Log'!$A$2:$A$2001,"&gt;="&amp;$B$5,'Hours Log'!$A$2:$A$2001,"&lt;="&amp;$B$6))</f>
        <v/>
      </c>
      <c r="D69" s="9">
        <f>IF(A69="","",IFERROR(INDEX(Staff!$D$2:$D$101,MATCH(A69,Staff!$A$2:$A$101,0)),0))</f>
        <v/>
      </c>
      <c r="E69" s="9">
        <f>IF(A69="","",B69*D69)</f>
        <v/>
      </c>
      <c r="F69">
        <f>IF(A69="","",COUNTIFS('Hours Log'!$B$2:$B$2001,A69,'Hours Log'!$A$2:$A$2001,"&gt;="&amp;$B$5,'Hours Log'!$A$2:$A$2001,"&lt;="&amp;$B$6,'Hours Log'!$K$2:$K$2001,"&lt;&gt;OK"))</f>
        <v/>
      </c>
    </row>
    <row r="70">
      <c r="A70">
        <f>IF(Staff!A63="","",Staff!A63)</f>
        <v/>
      </c>
      <c r="B70" s="13">
        <f>IF(A70="","",SUMIFS('Hours Log'!$G$2:$G$2001,'Hours Log'!$B$2:$B$2001,A70,'Hours Log'!$A$2:$A$2001,"&gt;="&amp;$B$5,'Hours Log'!$A$2:$A$2001,"&lt;="&amp;$B$6))</f>
        <v/>
      </c>
      <c r="C70">
        <f>IF(A70="","",COUNTIFS('Hours Log'!$B$2:$B$2001,A70,'Hours Log'!$A$2:$A$2001,"&gt;="&amp;$B$5,'Hours Log'!$A$2:$A$2001,"&lt;="&amp;$B$6))</f>
        <v/>
      </c>
      <c r="D70" s="9">
        <f>IF(A70="","",IFERROR(INDEX(Staff!$D$2:$D$101,MATCH(A70,Staff!$A$2:$A$101,0)),0))</f>
        <v/>
      </c>
      <c r="E70" s="9">
        <f>IF(A70="","",B70*D70)</f>
        <v/>
      </c>
      <c r="F70">
        <f>IF(A70="","",COUNTIFS('Hours Log'!$B$2:$B$2001,A70,'Hours Log'!$A$2:$A$2001,"&gt;="&amp;$B$5,'Hours Log'!$A$2:$A$2001,"&lt;="&amp;$B$6,'Hours Log'!$K$2:$K$2001,"&lt;&gt;OK"))</f>
        <v/>
      </c>
    </row>
    <row r="71">
      <c r="A71">
        <f>IF(Staff!A64="","",Staff!A64)</f>
        <v/>
      </c>
      <c r="B71" s="13">
        <f>IF(A71="","",SUMIFS('Hours Log'!$G$2:$G$2001,'Hours Log'!$B$2:$B$2001,A71,'Hours Log'!$A$2:$A$2001,"&gt;="&amp;$B$5,'Hours Log'!$A$2:$A$2001,"&lt;="&amp;$B$6))</f>
        <v/>
      </c>
      <c r="C71">
        <f>IF(A71="","",COUNTIFS('Hours Log'!$B$2:$B$2001,A71,'Hours Log'!$A$2:$A$2001,"&gt;="&amp;$B$5,'Hours Log'!$A$2:$A$2001,"&lt;="&amp;$B$6))</f>
        <v/>
      </c>
      <c r="D71" s="9">
        <f>IF(A71="","",IFERROR(INDEX(Staff!$D$2:$D$101,MATCH(A71,Staff!$A$2:$A$101,0)),0))</f>
        <v/>
      </c>
      <c r="E71" s="9">
        <f>IF(A71="","",B71*D71)</f>
        <v/>
      </c>
      <c r="F71">
        <f>IF(A71="","",COUNTIFS('Hours Log'!$B$2:$B$2001,A71,'Hours Log'!$A$2:$A$2001,"&gt;="&amp;$B$5,'Hours Log'!$A$2:$A$2001,"&lt;="&amp;$B$6,'Hours Log'!$K$2:$K$2001,"&lt;&gt;OK"))</f>
        <v/>
      </c>
    </row>
    <row r="72">
      <c r="A72">
        <f>IF(Staff!A65="","",Staff!A65)</f>
        <v/>
      </c>
      <c r="B72" s="13">
        <f>IF(A72="","",SUMIFS('Hours Log'!$G$2:$G$2001,'Hours Log'!$B$2:$B$2001,A72,'Hours Log'!$A$2:$A$2001,"&gt;="&amp;$B$5,'Hours Log'!$A$2:$A$2001,"&lt;="&amp;$B$6))</f>
        <v/>
      </c>
      <c r="C72">
        <f>IF(A72="","",COUNTIFS('Hours Log'!$B$2:$B$2001,A72,'Hours Log'!$A$2:$A$2001,"&gt;="&amp;$B$5,'Hours Log'!$A$2:$A$2001,"&lt;="&amp;$B$6))</f>
        <v/>
      </c>
      <c r="D72" s="9">
        <f>IF(A72="","",IFERROR(INDEX(Staff!$D$2:$D$101,MATCH(A72,Staff!$A$2:$A$101,0)),0))</f>
        <v/>
      </c>
      <c r="E72" s="9">
        <f>IF(A72="","",B72*D72)</f>
        <v/>
      </c>
      <c r="F72">
        <f>IF(A72="","",COUNTIFS('Hours Log'!$B$2:$B$2001,A72,'Hours Log'!$A$2:$A$2001,"&gt;="&amp;$B$5,'Hours Log'!$A$2:$A$2001,"&lt;="&amp;$B$6,'Hours Log'!$K$2:$K$2001,"&lt;&gt;OK"))</f>
        <v/>
      </c>
    </row>
    <row r="73">
      <c r="A73">
        <f>IF(Staff!A66="","",Staff!A66)</f>
        <v/>
      </c>
      <c r="B73" s="13">
        <f>IF(A73="","",SUMIFS('Hours Log'!$G$2:$G$2001,'Hours Log'!$B$2:$B$2001,A73,'Hours Log'!$A$2:$A$2001,"&gt;="&amp;$B$5,'Hours Log'!$A$2:$A$2001,"&lt;="&amp;$B$6))</f>
        <v/>
      </c>
      <c r="C73">
        <f>IF(A73="","",COUNTIFS('Hours Log'!$B$2:$B$2001,A73,'Hours Log'!$A$2:$A$2001,"&gt;="&amp;$B$5,'Hours Log'!$A$2:$A$2001,"&lt;="&amp;$B$6))</f>
        <v/>
      </c>
      <c r="D73" s="9">
        <f>IF(A73="","",IFERROR(INDEX(Staff!$D$2:$D$101,MATCH(A73,Staff!$A$2:$A$101,0)),0))</f>
        <v/>
      </c>
      <c r="E73" s="9">
        <f>IF(A73="","",B73*D73)</f>
        <v/>
      </c>
      <c r="F73">
        <f>IF(A73="","",COUNTIFS('Hours Log'!$B$2:$B$2001,A73,'Hours Log'!$A$2:$A$2001,"&gt;="&amp;$B$5,'Hours Log'!$A$2:$A$2001,"&lt;="&amp;$B$6,'Hours Log'!$K$2:$K$2001,"&lt;&gt;OK"))</f>
        <v/>
      </c>
    </row>
    <row r="74">
      <c r="A74">
        <f>IF(Staff!A67="","",Staff!A67)</f>
        <v/>
      </c>
      <c r="B74" s="13">
        <f>IF(A74="","",SUMIFS('Hours Log'!$G$2:$G$2001,'Hours Log'!$B$2:$B$2001,A74,'Hours Log'!$A$2:$A$2001,"&gt;="&amp;$B$5,'Hours Log'!$A$2:$A$2001,"&lt;="&amp;$B$6))</f>
        <v/>
      </c>
      <c r="C74">
        <f>IF(A74="","",COUNTIFS('Hours Log'!$B$2:$B$2001,A74,'Hours Log'!$A$2:$A$2001,"&gt;="&amp;$B$5,'Hours Log'!$A$2:$A$2001,"&lt;="&amp;$B$6))</f>
        <v/>
      </c>
      <c r="D74" s="9">
        <f>IF(A74="","",IFERROR(INDEX(Staff!$D$2:$D$101,MATCH(A74,Staff!$A$2:$A$101,0)),0))</f>
        <v/>
      </c>
      <c r="E74" s="9">
        <f>IF(A74="","",B74*D74)</f>
        <v/>
      </c>
      <c r="F74">
        <f>IF(A74="","",COUNTIFS('Hours Log'!$B$2:$B$2001,A74,'Hours Log'!$A$2:$A$2001,"&gt;="&amp;$B$5,'Hours Log'!$A$2:$A$2001,"&lt;="&amp;$B$6,'Hours Log'!$K$2:$K$2001,"&lt;&gt;OK"))</f>
        <v/>
      </c>
    </row>
    <row r="75">
      <c r="A75">
        <f>IF(Staff!A68="","",Staff!A68)</f>
        <v/>
      </c>
      <c r="B75" s="13">
        <f>IF(A75="","",SUMIFS('Hours Log'!$G$2:$G$2001,'Hours Log'!$B$2:$B$2001,A75,'Hours Log'!$A$2:$A$2001,"&gt;="&amp;$B$5,'Hours Log'!$A$2:$A$2001,"&lt;="&amp;$B$6))</f>
        <v/>
      </c>
      <c r="C75">
        <f>IF(A75="","",COUNTIFS('Hours Log'!$B$2:$B$2001,A75,'Hours Log'!$A$2:$A$2001,"&gt;="&amp;$B$5,'Hours Log'!$A$2:$A$2001,"&lt;="&amp;$B$6))</f>
        <v/>
      </c>
      <c r="D75" s="9">
        <f>IF(A75="","",IFERROR(INDEX(Staff!$D$2:$D$101,MATCH(A75,Staff!$A$2:$A$101,0)),0))</f>
        <v/>
      </c>
      <c r="E75" s="9">
        <f>IF(A75="","",B75*D75)</f>
        <v/>
      </c>
      <c r="F75">
        <f>IF(A75="","",COUNTIFS('Hours Log'!$B$2:$B$2001,A75,'Hours Log'!$A$2:$A$2001,"&gt;="&amp;$B$5,'Hours Log'!$A$2:$A$2001,"&lt;="&amp;$B$6,'Hours Log'!$K$2:$K$2001,"&lt;&gt;OK"))</f>
        <v/>
      </c>
    </row>
    <row r="76">
      <c r="A76">
        <f>IF(Staff!A69="","",Staff!A69)</f>
        <v/>
      </c>
      <c r="B76" s="13">
        <f>IF(A76="","",SUMIFS('Hours Log'!$G$2:$G$2001,'Hours Log'!$B$2:$B$2001,A76,'Hours Log'!$A$2:$A$2001,"&gt;="&amp;$B$5,'Hours Log'!$A$2:$A$2001,"&lt;="&amp;$B$6))</f>
        <v/>
      </c>
      <c r="C76">
        <f>IF(A76="","",COUNTIFS('Hours Log'!$B$2:$B$2001,A76,'Hours Log'!$A$2:$A$2001,"&gt;="&amp;$B$5,'Hours Log'!$A$2:$A$2001,"&lt;="&amp;$B$6))</f>
        <v/>
      </c>
      <c r="D76" s="9">
        <f>IF(A76="","",IFERROR(INDEX(Staff!$D$2:$D$101,MATCH(A76,Staff!$A$2:$A$101,0)),0))</f>
        <v/>
      </c>
      <c r="E76" s="9">
        <f>IF(A76="","",B76*D76)</f>
        <v/>
      </c>
      <c r="F76">
        <f>IF(A76="","",COUNTIFS('Hours Log'!$B$2:$B$2001,A76,'Hours Log'!$A$2:$A$2001,"&gt;="&amp;$B$5,'Hours Log'!$A$2:$A$2001,"&lt;="&amp;$B$6,'Hours Log'!$K$2:$K$2001,"&lt;&gt;OK"))</f>
        <v/>
      </c>
    </row>
    <row r="77">
      <c r="A77">
        <f>IF(Staff!A70="","",Staff!A70)</f>
        <v/>
      </c>
      <c r="B77" s="13">
        <f>IF(A77="","",SUMIFS('Hours Log'!$G$2:$G$2001,'Hours Log'!$B$2:$B$2001,A77,'Hours Log'!$A$2:$A$2001,"&gt;="&amp;$B$5,'Hours Log'!$A$2:$A$2001,"&lt;="&amp;$B$6))</f>
        <v/>
      </c>
      <c r="C77">
        <f>IF(A77="","",COUNTIFS('Hours Log'!$B$2:$B$2001,A77,'Hours Log'!$A$2:$A$2001,"&gt;="&amp;$B$5,'Hours Log'!$A$2:$A$2001,"&lt;="&amp;$B$6))</f>
        <v/>
      </c>
      <c r="D77" s="9">
        <f>IF(A77="","",IFERROR(INDEX(Staff!$D$2:$D$101,MATCH(A77,Staff!$A$2:$A$101,0)),0))</f>
        <v/>
      </c>
      <c r="E77" s="9">
        <f>IF(A77="","",B77*D77)</f>
        <v/>
      </c>
      <c r="F77">
        <f>IF(A77="","",COUNTIFS('Hours Log'!$B$2:$B$2001,A77,'Hours Log'!$A$2:$A$2001,"&gt;="&amp;$B$5,'Hours Log'!$A$2:$A$2001,"&lt;="&amp;$B$6,'Hours Log'!$K$2:$K$2001,"&lt;&gt;OK"))</f>
        <v/>
      </c>
    </row>
    <row r="78">
      <c r="A78">
        <f>IF(Staff!A71="","",Staff!A71)</f>
        <v/>
      </c>
      <c r="B78" s="13">
        <f>IF(A78="","",SUMIFS('Hours Log'!$G$2:$G$2001,'Hours Log'!$B$2:$B$2001,A78,'Hours Log'!$A$2:$A$2001,"&gt;="&amp;$B$5,'Hours Log'!$A$2:$A$2001,"&lt;="&amp;$B$6))</f>
        <v/>
      </c>
      <c r="C78">
        <f>IF(A78="","",COUNTIFS('Hours Log'!$B$2:$B$2001,A78,'Hours Log'!$A$2:$A$2001,"&gt;="&amp;$B$5,'Hours Log'!$A$2:$A$2001,"&lt;="&amp;$B$6))</f>
        <v/>
      </c>
      <c r="D78" s="9">
        <f>IF(A78="","",IFERROR(INDEX(Staff!$D$2:$D$101,MATCH(A78,Staff!$A$2:$A$101,0)),0))</f>
        <v/>
      </c>
      <c r="E78" s="9">
        <f>IF(A78="","",B78*D78)</f>
        <v/>
      </c>
      <c r="F78">
        <f>IF(A78="","",COUNTIFS('Hours Log'!$B$2:$B$2001,A78,'Hours Log'!$A$2:$A$2001,"&gt;="&amp;$B$5,'Hours Log'!$A$2:$A$2001,"&lt;="&amp;$B$6,'Hours Log'!$K$2:$K$2001,"&lt;&gt;OK"))</f>
        <v/>
      </c>
    </row>
    <row r="79">
      <c r="A79">
        <f>IF(Staff!A72="","",Staff!A72)</f>
        <v/>
      </c>
      <c r="B79" s="13">
        <f>IF(A79="","",SUMIFS('Hours Log'!$G$2:$G$2001,'Hours Log'!$B$2:$B$2001,A79,'Hours Log'!$A$2:$A$2001,"&gt;="&amp;$B$5,'Hours Log'!$A$2:$A$2001,"&lt;="&amp;$B$6))</f>
        <v/>
      </c>
      <c r="C79">
        <f>IF(A79="","",COUNTIFS('Hours Log'!$B$2:$B$2001,A79,'Hours Log'!$A$2:$A$2001,"&gt;="&amp;$B$5,'Hours Log'!$A$2:$A$2001,"&lt;="&amp;$B$6))</f>
        <v/>
      </c>
      <c r="D79" s="9">
        <f>IF(A79="","",IFERROR(INDEX(Staff!$D$2:$D$101,MATCH(A79,Staff!$A$2:$A$101,0)),0))</f>
        <v/>
      </c>
      <c r="E79" s="9">
        <f>IF(A79="","",B79*D79)</f>
        <v/>
      </c>
      <c r="F79">
        <f>IF(A79="","",COUNTIFS('Hours Log'!$B$2:$B$2001,A79,'Hours Log'!$A$2:$A$2001,"&gt;="&amp;$B$5,'Hours Log'!$A$2:$A$2001,"&lt;="&amp;$B$6,'Hours Log'!$K$2:$K$2001,"&lt;&gt;OK"))</f>
        <v/>
      </c>
    </row>
    <row r="80">
      <c r="A80">
        <f>IF(Staff!A73="","",Staff!A73)</f>
        <v/>
      </c>
      <c r="B80" s="13">
        <f>IF(A80="","",SUMIFS('Hours Log'!$G$2:$G$2001,'Hours Log'!$B$2:$B$2001,A80,'Hours Log'!$A$2:$A$2001,"&gt;="&amp;$B$5,'Hours Log'!$A$2:$A$2001,"&lt;="&amp;$B$6))</f>
        <v/>
      </c>
      <c r="C80">
        <f>IF(A80="","",COUNTIFS('Hours Log'!$B$2:$B$2001,A80,'Hours Log'!$A$2:$A$2001,"&gt;="&amp;$B$5,'Hours Log'!$A$2:$A$2001,"&lt;="&amp;$B$6))</f>
        <v/>
      </c>
      <c r="D80" s="9">
        <f>IF(A80="","",IFERROR(INDEX(Staff!$D$2:$D$101,MATCH(A80,Staff!$A$2:$A$101,0)),0))</f>
        <v/>
      </c>
      <c r="E80" s="9">
        <f>IF(A80="","",B80*D80)</f>
        <v/>
      </c>
      <c r="F80">
        <f>IF(A80="","",COUNTIFS('Hours Log'!$B$2:$B$2001,A80,'Hours Log'!$A$2:$A$2001,"&gt;="&amp;$B$5,'Hours Log'!$A$2:$A$2001,"&lt;="&amp;$B$6,'Hours Log'!$K$2:$K$2001,"&lt;&gt;OK"))</f>
        <v/>
      </c>
    </row>
    <row r="81">
      <c r="A81">
        <f>IF(Staff!A74="","",Staff!A74)</f>
        <v/>
      </c>
      <c r="B81" s="13">
        <f>IF(A81="","",SUMIFS('Hours Log'!$G$2:$G$2001,'Hours Log'!$B$2:$B$2001,A81,'Hours Log'!$A$2:$A$2001,"&gt;="&amp;$B$5,'Hours Log'!$A$2:$A$2001,"&lt;="&amp;$B$6))</f>
        <v/>
      </c>
      <c r="C81">
        <f>IF(A81="","",COUNTIFS('Hours Log'!$B$2:$B$2001,A81,'Hours Log'!$A$2:$A$2001,"&gt;="&amp;$B$5,'Hours Log'!$A$2:$A$2001,"&lt;="&amp;$B$6))</f>
        <v/>
      </c>
      <c r="D81" s="9">
        <f>IF(A81="","",IFERROR(INDEX(Staff!$D$2:$D$101,MATCH(A81,Staff!$A$2:$A$101,0)),0))</f>
        <v/>
      </c>
      <c r="E81" s="9">
        <f>IF(A81="","",B81*D81)</f>
        <v/>
      </c>
      <c r="F81">
        <f>IF(A81="","",COUNTIFS('Hours Log'!$B$2:$B$2001,A81,'Hours Log'!$A$2:$A$2001,"&gt;="&amp;$B$5,'Hours Log'!$A$2:$A$2001,"&lt;="&amp;$B$6,'Hours Log'!$K$2:$K$2001,"&lt;&gt;OK"))</f>
        <v/>
      </c>
    </row>
    <row r="82">
      <c r="A82">
        <f>IF(Staff!A75="","",Staff!A75)</f>
        <v/>
      </c>
      <c r="B82" s="13">
        <f>IF(A82="","",SUMIFS('Hours Log'!$G$2:$G$2001,'Hours Log'!$B$2:$B$2001,A82,'Hours Log'!$A$2:$A$2001,"&gt;="&amp;$B$5,'Hours Log'!$A$2:$A$2001,"&lt;="&amp;$B$6))</f>
        <v/>
      </c>
      <c r="C82">
        <f>IF(A82="","",COUNTIFS('Hours Log'!$B$2:$B$2001,A82,'Hours Log'!$A$2:$A$2001,"&gt;="&amp;$B$5,'Hours Log'!$A$2:$A$2001,"&lt;="&amp;$B$6))</f>
        <v/>
      </c>
      <c r="D82" s="9">
        <f>IF(A82="","",IFERROR(INDEX(Staff!$D$2:$D$101,MATCH(A82,Staff!$A$2:$A$101,0)),0))</f>
        <v/>
      </c>
      <c r="E82" s="9">
        <f>IF(A82="","",B82*D82)</f>
        <v/>
      </c>
      <c r="F82">
        <f>IF(A82="","",COUNTIFS('Hours Log'!$B$2:$B$2001,A82,'Hours Log'!$A$2:$A$2001,"&gt;="&amp;$B$5,'Hours Log'!$A$2:$A$2001,"&lt;="&amp;$B$6,'Hours Log'!$K$2:$K$2001,"&lt;&gt;OK"))</f>
        <v/>
      </c>
    </row>
    <row r="83">
      <c r="A83">
        <f>IF(Staff!A76="","",Staff!A76)</f>
        <v/>
      </c>
      <c r="B83" s="13">
        <f>IF(A83="","",SUMIFS('Hours Log'!$G$2:$G$2001,'Hours Log'!$B$2:$B$2001,A83,'Hours Log'!$A$2:$A$2001,"&gt;="&amp;$B$5,'Hours Log'!$A$2:$A$2001,"&lt;="&amp;$B$6))</f>
        <v/>
      </c>
      <c r="C83">
        <f>IF(A83="","",COUNTIFS('Hours Log'!$B$2:$B$2001,A83,'Hours Log'!$A$2:$A$2001,"&gt;="&amp;$B$5,'Hours Log'!$A$2:$A$2001,"&lt;="&amp;$B$6))</f>
        <v/>
      </c>
      <c r="D83" s="9">
        <f>IF(A83="","",IFERROR(INDEX(Staff!$D$2:$D$101,MATCH(A83,Staff!$A$2:$A$101,0)),0))</f>
        <v/>
      </c>
      <c r="E83" s="9">
        <f>IF(A83="","",B83*D83)</f>
        <v/>
      </c>
      <c r="F83">
        <f>IF(A83="","",COUNTIFS('Hours Log'!$B$2:$B$2001,A83,'Hours Log'!$A$2:$A$2001,"&gt;="&amp;$B$5,'Hours Log'!$A$2:$A$2001,"&lt;="&amp;$B$6,'Hours Log'!$K$2:$K$2001,"&lt;&gt;OK"))</f>
        <v/>
      </c>
    </row>
    <row r="84">
      <c r="A84">
        <f>IF(Staff!A77="","",Staff!A77)</f>
        <v/>
      </c>
      <c r="B84" s="13">
        <f>IF(A84="","",SUMIFS('Hours Log'!$G$2:$G$2001,'Hours Log'!$B$2:$B$2001,A84,'Hours Log'!$A$2:$A$2001,"&gt;="&amp;$B$5,'Hours Log'!$A$2:$A$2001,"&lt;="&amp;$B$6))</f>
        <v/>
      </c>
      <c r="C84">
        <f>IF(A84="","",COUNTIFS('Hours Log'!$B$2:$B$2001,A84,'Hours Log'!$A$2:$A$2001,"&gt;="&amp;$B$5,'Hours Log'!$A$2:$A$2001,"&lt;="&amp;$B$6))</f>
        <v/>
      </c>
      <c r="D84" s="9">
        <f>IF(A84="","",IFERROR(INDEX(Staff!$D$2:$D$101,MATCH(A84,Staff!$A$2:$A$101,0)),0))</f>
        <v/>
      </c>
      <c r="E84" s="9">
        <f>IF(A84="","",B84*D84)</f>
        <v/>
      </c>
      <c r="F84">
        <f>IF(A84="","",COUNTIFS('Hours Log'!$B$2:$B$2001,A84,'Hours Log'!$A$2:$A$2001,"&gt;="&amp;$B$5,'Hours Log'!$A$2:$A$2001,"&lt;="&amp;$B$6,'Hours Log'!$K$2:$K$2001,"&lt;&gt;OK"))</f>
        <v/>
      </c>
    </row>
    <row r="85">
      <c r="A85">
        <f>IF(Staff!A78="","",Staff!A78)</f>
        <v/>
      </c>
      <c r="B85" s="13">
        <f>IF(A85="","",SUMIFS('Hours Log'!$G$2:$G$2001,'Hours Log'!$B$2:$B$2001,A85,'Hours Log'!$A$2:$A$2001,"&gt;="&amp;$B$5,'Hours Log'!$A$2:$A$2001,"&lt;="&amp;$B$6))</f>
        <v/>
      </c>
      <c r="C85">
        <f>IF(A85="","",COUNTIFS('Hours Log'!$B$2:$B$2001,A85,'Hours Log'!$A$2:$A$2001,"&gt;="&amp;$B$5,'Hours Log'!$A$2:$A$2001,"&lt;="&amp;$B$6))</f>
        <v/>
      </c>
      <c r="D85" s="9">
        <f>IF(A85="","",IFERROR(INDEX(Staff!$D$2:$D$101,MATCH(A85,Staff!$A$2:$A$101,0)),0))</f>
        <v/>
      </c>
      <c r="E85" s="9">
        <f>IF(A85="","",B85*D85)</f>
        <v/>
      </c>
      <c r="F85">
        <f>IF(A85="","",COUNTIFS('Hours Log'!$B$2:$B$2001,A85,'Hours Log'!$A$2:$A$2001,"&gt;="&amp;$B$5,'Hours Log'!$A$2:$A$2001,"&lt;="&amp;$B$6,'Hours Log'!$K$2:$K$2001,"&lt;&gt;OK"))</f>
        <v/>
      </c>
    </row>
    <row r="86">
      <c r="A86">
        <f>IF(Staff!A79="","",Staff!A79)</f>
        <v/>
      </c>
      <c r="B86" s="13">
        <f>IF(A86="","",SUMIFS('Hours Log'!$G$2:$G$2001,'Hours Log'!$B$2:$B$2001,A86,'Hours Log'!$A$2:$A$2001,"&gt;="&amp;$B$5,'Hours Log'!$A$2:$A$2001,"&lt;="&amp;$B$6))</f>
        <v/>
      </c>
      <c r="C86">
        <f>IF(A86="","",COUNTIFS('Hours Log'!$B$2:$B$2001,A86,'Hours Log'!$A$2:$A$2001,"&gt;="&amp;$B$5,'Hours Log'!$A$2:$A$2001,"&lt;="&amp;$B$6))</f>
        <v/>
      </c>
      <c r="D86" s="9">
        <f>IF(A86="","",IFERROR(INDEX(Staff!$D$2:$D$101,MATCH(A86,Staff!$A$2:$A$101,0)),0))</f>
        <v/>
      </c>
      <c r="E86" s="9">
        <f>IF(A86="","",B86*D86)</f>
        <v/>
      </c>
      <c r="F86">
        <f>IF(A86="","",COUNTIFS('Hours Log'!$B$2:$B$2001,A86,'Hours Log'!$A$2:$A$2001,"&gt;="&amp;$B$5,'Hours Log'!$A$2:$A$2001,"&lt;="&amp;$B$6,'Hours Log'!$K$2:$K$2001,"&lt;&gt;OK"))</f>
        <v/>
      </c>
    </row>
    <row r="87">
      <c r="A87">
        <f>IF(Staff!A80="","",Staff!A80)</f>
        <v/>
      </c>
      <c r="B87" s="13">
        <f>IF(A87="","",SUMIFS('Hours Log'!$G$2:$G$2001,'Hours Log'!$B$2:$B$2001,A87,'Hours Log'!$A$2:$A$2001,"&gt;="&amp;$B$5,'Hours Log'!$A$2:$A$2001,"&lt;="&amp;$B$6))</f>
        <v/>
      </c>
      <c r="C87">
        <f>IF(A87="","",COUNTIFS('Hours Log'!$B$2:$B$2001,A87,'Hours Log'!$A$2:$A$2001,"&gt;="&amp;$B$5,'Hours Log'!$A$2:$A$2001,"&lt;="&amp;$B$6))</f>
        <v/>
      </c>
      <c r="D87" s="9">
        <f>IF(A87="","",IFERROR(INDEX(Staff!$D$2:$D$101,MATCH(A87,Staff!$A$2:$A$101,0)),0))</f>
        <v/>
      </c>
      <c r="E87" s="9">
        <f>IF(A87="","",B87*D87)</f>
        <v/>
      </c>
      <c r="F87">
        <f>IF(A87="","",COUNTIFS('Hours Log'!$B$2:$B$2001,A87,'Hours Log'!$A$2:$A$2001,"&gt;="&amp;$B$5,'Hours Log'!$A$2:$A$2001,"&lt;="&amp;$B$6,'Hours Log'!$K$2:$K$2001,"&lt;&gt;OK"))</f>
        <v/>
      </c>
    </row>
    <row r="88">
      <c r="A88">
        <f>IF(Staff!A81="","",Staff!A81)</f>
        <v/>
      </c>
      <c r="B88" s="13">
        <f>IF(A88="","",SUMIFS('Hours Log'!$G$2:$G$2001,'Hours Log'!$B$2:$B$2001,A88,'Hours Log'!$A$2:$A$2001,"&gt;="&amp;$B$5,'Hours Log'!$A$2:$A$2001,"&lt;="&amp;$B$6))</f>
        <v/>
      </c>
      <c r="C88">
        <f>IF(A88="","",COUNTIFS('Hours Log'!$B$2:$B$2001,A88,'Hours Log'!$A$2:$A$2001,"&gt;="&amp;$B$5,'Hours Log'!$A$2:$A$2001,"&lt;="&amp;$B$6))</f>
        <v/>
      </c>
      <c r="D88" s="9">
        <f>IF(A88="","",IFERROR(INDEX(Staff!$D$2:$D$101,MATCH(A88,Staff!$A$2:$A$101,0)),0))</f>
        <v/>
      </c>
      <c r="E88" s="9">
        <f>IF(A88="","",B88*D88)</f>
        <v/>
      </c>
      <c r="F88">
        <f>IF(A88="","",COUNTIFS('Hours Log'!$B$2:$B$2001,A88,'Hours Log'!$A$2:$A$2001,"&gt;="&amp;$B$5,'Hours Log'!$A$2:$A$2001,"&lt;="&amp;$B$6,'Hours Log'!$K$2:$K$2001,"&lt;&gt;OK"))</f>
        <v/>
      </c>
    </row>
    <row r="89">
      <c r="A89">
        <f>IF(Staff!A82="","",Staff!A82)</f>
        <v/>
      </c>
      <c r="B89" s="13">
        <f>IF(A89="","",SUMIFS('Hours Log'!$G$2:$G$2001,'Hours Log'!$B$2:$B$2001,A89,'Hours Log'!$A$2:$A$2001,"&gt;="&amp;$B$5,'Hours Log'!$A$2:$A$2001,"&lt;="&amp;$B$6))</f>
        <v/>
      </c>
      <c r="C89">
        <f>IF(A89="","",COUNTIFS('Hours Log'!$B$2:$B$2001,A89,'Hours Log'!$A$2:$A$2001,"&gt;="&amp;$B$5,'Hours Log'!$A$2:$A$2001,"&lt;="&amp;$B$6))</f>
        <v/>
      </c>
      <c r="D89" s="9">
        <f>IF(A89="","",IFERROR(INDEX(Staff!$D$2:$D$101,MATCH(A89,Staff!$A$2:$A$101,0)),0))</f>
        <v/>
      </c>
      <c r="E89" s="9">
        <f>IF(A89="","",B89*D89)</f>
        <v/>
      </c>
      <c r="F89">
        <f>IF(A89="","",COUNTIFS('Hours Log'!$B$2:$B$2001,A89,'Hours Log'!$A$2:$A$2001,"&gt;="&amp;$B$5,'Hours Log'!$A$2:$A$2001,"&lt;="&amp;$B$6,'Hours Log'!$K$2:$K$2001,"&lt;&gt;OK"))</f>
        <v/>
      </c>
    </row>
    <row r="90">
      <c r="A90">
        <f>IF(Staff!A83="","",Staff!A83)</f>
        <v/>
      </c>
      <c r="B90" s="13">
        <f>IF(A90="","",SUMIFS('Hours Log'!$G$2:$G$2001,'Hours Log'!$B$2:$B$2001,A90,'Hours Log'!$A$2:$A$2001,"&gt;="&amp;$B$5,'Hours Log'!$A$2:$A$2001,"&lt;="&amp;$B$6))</f>
        <v/>
      </c>
      <c r="C90">
        <f>IF(A90="","",COUNTIFS('Hours Log'!$B$2:$B$2001,A90,'Hours Log'!$A$2:$A$2001,"&gt;="&amp;$B$5,'Hours Log'!$A$2:$A$2001,"&lt;="&amp;$B$6))</f>
        <v/>
      </c>
      <c r="D90" s="9">
        <f>IF(A90="","",IFERROR(INDEX(Staff!$D$2:$D$101,MATCH(A90,Staff!$A$2:$A$101,0)),0))</f>
        <v/>
      </c>
      <c r="E90" s="9">
        <f>IF(A90="","",B90*D90)</f>
        <v/>
      </c>
      <c r="F90">
        <f>IF(A90="","",COUNTIFS('Hours Log'!$B$2:$B$2001,A90,'Hours Log'!$A$2:$A$2001,"&gt;="&amp;$B$5,'Hours Log'!$A$2:$A$2001,"&lt;="&amp;$B$6,'Hours Log'!$K$2:$K$2001,"&lt;&gt;OK"))</f>
        <v/>
      </c>
    </row>
    <row r="91">
      <c r="A91">
        <f>IF(Staff!A84="","",Staff!A84)</f>
        <v/>
      </c>
      <c r="B91" s="13">
        <f>IF(A91="","",SUMIFS('Hours Log'!$G$2:$G$2001,'Hours Log'!$B$2:$B$2001,A91,'Hours Log'!$A$2:$A$2001,"&gt;="&amp;$B$5,'Hours Log'!$A$2:$A$2001,"&lt;="&amp;$B$6))</f>
        <v/>
      </c>
      <c r="C91">
        <f>IF(A91="","",COUNTIFS('Hours Log'!$B$2:$B$2001,A91,'Hours Log'!$A$2:$A$2001,"&gt;="&amp;$B$5,'Hours Log'!$A$2:$A$2001,"&lt;="&amp;$B$6))</f>
        <v/>
      </c>
      <c r="D91" s="9">
        <f>IF(A91="","",IFERROR(INDEX(Staff!$D$2:$D$101,MATCH(A91,Staff!$A$2:$A$101,0)),0))</f>
        <v/>
      </c>
      <c r="E91" s="9">
        <f>IF(A91="","",B91*D91)</f>
        <v/>
      </c>
      <c r="F91">
        <f>IF(A91="","",COUNTIFS('Hours Log'!$B$2:$B$2001,A91,'Hours Log'!$A$2:$A$2001,"&gt;="&amp;$B$5,'Hours Log'!$A$2:$A$2001,"&lt;="&amp;$B$6,'Hours Log'!$K$2:$K$2001,"&lt;&gt;OK"))</f>
        <v/>
      </c>
    </row>
    <row r="92">
      <c r="A92">
        <f>IF(Staff!A85="","",Staff!A85)</f>
        <v/>
      </c>
      <c r="B92" s="13">
        <f>IF(A92="","",SUMIFS('Hours Log'!$G$2:$G$2001,'Hours Log'!$B$2:$B$2001,A92,'Hours Log'!$A$2:$A$2001,"&gt;="&amp;$B$5,'Hours Log'!$A$2:$A$2001,"&lt;="&amp;$B$6))</f>
        <v/>
      </c>
      <c r="C92">
        <f>IF(A92="","",COUNTIFS('Hours Log'!$B$2:$B$2001,A92,'Hours Log'!$A$2:$A$2001,"&gt;="&amp;$B$5,'Hours Log'!$A$2:$A$2001,"&lt;="&amp;$B$6))</f>
        <v/>
      </c>
      <c r="D92" s="9">
        <f>IF(A92="","",IFERROR(INDEX(Staff!$D$2:$D$101,MATCH(A92,Staff!$A$2:$A$101,0)),0))</f>
        <v/>
      </c>
      <c r="E92" s="9">
        <f>IF(A92="","",B92*D92)</f>
        <v/>
      </c>
      <c r="F92">
        <f>IF(A92="","",COUNTIFS('Hours Log'!$B$2:$B$2001,A92,'Hours Log'!$A$2:$A$2001,"&gt;="&amp;$B$5,'Hours Log'!$A$2:$A$2001,"&lt;="&amp;$B$6,'Hours Log'!$K$2:$K$2001,"&lt;&gt;OK"))</f>
        <v/>
      </c>
    </row>
    <row r="93">
      <c r="A93">
        <f>IF(Staff!A86="","",Staff!A86)</f>
        <v/>
      </c>
      <c r="B93" s="13">
        <f>IF(A93="","",SUMIFS('Hours Log'!$G$2:$G$2001,'Hours Log'!$B$2:$B$2001,A93,'Hours Log'!$A$2:$A$2001,"&gt;="&amp;$B$5,'Hours Log'!$A$2:$A$2001,"&lt;="&amp;$B$6))</f>
        <v/>
      </c>
      <c r="C93">
        <f>IF(A93="","",COUNTIFS('Hours Log'!$B$2:$B$2001,A93,'Hours Log'!$A$2:$A$2001,"&gt;="&amp;$B$5,'Hours Log'!$A$2:$A$2001,"&lt;="&amp;$B$6))</f>
        <v/>
      </c>
      <c r="D93" s="9">
        <f>IF(A93="","",IFERROR(INDEX(Staff!$D$2:$D$101,MATCH(A93,Staff!$A$2:$A$101,0)),0))</f>
        <v/>
      </c>
      <c r="E93" s="9">
        <f>IF(A93="","",B93*D93)</f>
        <v/>
      </c>
      <c r="F93">
        <f>IF(A93="","",COUNTIFS('Hours Log'!$B$2:$B$2001,A93,'Hours Log'!$A$2:$A$2001,"&gt;="&amp;$B$5,'Hours Log'!$A$2:$A$2001,"&lt;="&amp;$B$6,'Hours Log'!$K$2:$K$2001,"&lt;&gt;OK"))</f>
        <v/>
      </c>
    </row>
    <row r="94">
      <c r="A94">
        <f>IF(Staff!A87="","",Staff!A87)</f>
        <v/>
      </c>
      <c r="B94" s="13">
        <f>IF(A94="","",SUMIFS('Hours Log'!$G$2:$G$2001,'Hours Log'!$B$2:$B$2001,A94,'Hours Log'!$A$2:$A$2001,"&gt;="&amp;$B$5,'Hours Log'!$A$2:$A$2001,"&lt;="&amp;$B$6))</f>
        <v/>
      </c>
      <c r="C94">
        <f>IF(A94="","",COUNTIFS('Hours Log'!$B$2:$B$2001,A94,'Hours Log'!$A$2:$A$2001,"&gt;="&amp;$B$5,'Hours Log'!$A$2:$A$2001,"&lt;="&amp;$B$6))</f>
        <v/>
      </c>
      <c r="D94" s="9">
        <f>IF(A94="","",IFERROR(INDEX(Staff!$D$2:$D$101,MATCH(A94,Staff!$A$2:$A$101,0)),0))</f>
        <v/>
      </c>
      <c r="E94" s="9">
        <f>IF(A94="","",B94*D94)</f>
        <v/>
      </c>
      <c r="F94">
        <f>IF(A94="","",COUNTIFS('Hours Log'!$B$2:$B$2001,A94,'Hours Log'!$A$2:$A$2001,"&gt;="&amp;$B$5,'Hours Log'!$A$2:$A$2001,"&lt;="&amp;$B$6,'Hours Log'!$K$2:$K$2001,"&lt;&gt;OK"))</f>
        <v/>
      </c>
    </row>
    <row r="95">
      <c r="A95">
        <f>IF(Staff!A88="","",Staff!A88)</f>
        <v/>
      </c>
      <c r="B95" s="13">
        <f>IF(A95="","",SUMIFS('Hours Log'!$G$2:$G$2001,'Hours Log'!$B$2:$B$2001,A95,'Hours Log'!$A$2:$A$2001,"&gt;="&amp;$B$5,'Hours Log'!$A$2:$A$2001,"&lt;="&amp;$B$6))</f>
        <v/>
      </c>
      <c r="C95">
        <f>IF(A95="","",COUNTIFS('Hours Log'!$B$2:$B$2001,A95,'Hours Log'!$A$2:$A$2001,"&gt;="&amp;$B$5,'Hours Log'!$A$2:$A$2001,"&lt;="&amp;$B$6))</f>
        <v/>
      </c>
      <c r="D95" s="9">
        <f>IF(A95="","",IFERROR(INDEX(Staff!$D$2:$D$101,MATCH(A95,Staff!$A$2:$A$101,0)),0))</f>
        <v/>
      </c>
      <c r="E95" s="9">
        <f>IF(A95="","",B95*D95)</f>
        <v/>
      </c>
      <c r="F95">
        <f>IF(A95="","",COUNTIFS('Hours Log'!$B$2:$B$2001,A95,'Hours Log'!$A$2:$A$2001,"&gt;="&amp;$B$5,'Hours Log'!$A$2:$A$2001,"&lt;="&amp;$B$6,'Hours Log'!$K$2:$K$2001,"&lt;&gt;OK"))</f>
        <v/>
      </c>
    </row>
    <row r="96">
      <c r="A96">
        <f>IF(Staff!A89="","",Staff!A89)</f>
        <v/>
      </c>
      <c r="B96" s="13">
        <f>IF(A96="","",SUMIFS('Hours Log'!$G$2:$G$2001,'Hours Log'!$B$2:$B$2001,A96,'Hours Log'!$A$2:$A$2001,"&gt;="&amp;$B$5,'Hours Log'!$A$2:$A$2001,"&lt;="&amp;$B$6))</f>
        <v/>
      </c>
      <c r="C96">
        <f>IF(A96="","",COUNTIFS('Hours Log'!$B$2:$B$2001,A96,'Hours Log'!$A$2:$A$2001,"&gt;="&amp;$B$5,'Hours Log'!$A$2:$A$2001,"&lt;="&amp;$B$6))</f>
        <v/>
      </c>
      <c r="D96" s="9">
        <f>IF(A96="","",IFERROR(INDEX(Staff!$D$2:$D$101,MATCH(A96,Staff!$A$2:$A$101,0)),0))</f>
        <v/>
      </c>
      <c r="E96" s="9">
        <f>IF(A96="","",B96*D96)</f>
        <v/>
      </c>
      <c r="F96">
        <f>IF(A96="","",COUNTIFS('Hours Log'!$B$2:$B$2001,A96,'Hours Log'!$A$2:$A$2001,"&gt;="&amp;$B$5,'Hours Log'!$A$2:$A$2001,"&lt;="&amp;$B$6,'Hours Log'!$K$2:$K$2001,"&lt;&gt;OK"))</f>
        <v/>
      </c>
    </row>
    <row r="97">
      <c r="A97">
        <f>IF(Staff!A90="","",Staff!A90)</f>
        <v/>
      </c>
      <c r="B97" s="13">
        <f>IF(A97="","",SUMIFS('Hours Log'!$G$2:$G$2001,'Hours Log'!$B$2:$B$2001,A97,'Hours Log'!$A$2:$A$2001,"&gt;="&amp;$B$5,'Hours Log'!$A$2:$A$2001,"&lt;="&amp;$B$6))</f>
        <v/>
      </c>
      <c r="C97">
        <f>IF(A97="","",COUNTIFS('Hours Log'!$B$2:$B$2001,A97,'Hours Log'!$A$2:$A$2001,"&gt;="&amp;$B$5,'Hours Log'!$A$2:$A$2001,"&lt;="&amp;$B$6))</f>
        <v/>
      </c>
      <c r="D97" s="9">
        <f>IF(A97="","",IFERROR(INDEX(Staff!$D$2:$D$101,MATCH(A97,Staff!$A$2:$A$101,0)),0))</f>
        <v/>
      </c>
      <c r="E97" s="9">
        <f>IF(A97="","",B97*D97)</f>
        <v/>
      </c>
      <c r="F97">
        <f>IF(A97="","",COUNTIFS('Hours Log'!$B$2:$B$2001,A97,'Hours Log'!$A$2:$A$2001,"&gt;="&amp;$B$5,'Hours Log'!$A$2:$A$2001,"&lt;="&amp;$B$6,'Hours Log'!$K$2:$K$2001,"&lt;&gt;OK"))</f>
        <v/>
      </c>
    </row>
    <row r="98">
      <c r="A98">
        <f>IF(Staff!A91="","",Staff!A91)</f>
        <v/>
      </c>
      <c r="B98" s="13">
        <f>IF(A98="","",SUMIFS('Hours Log'!$G$2:$G$2001,'Hours Log'!$B$2:$B$2001,A98,'Hours Log'!$A$2:$A$2001,"&gt;="&amp;$B$5,'Hours Log'!$A$2:$A$2001,"&lt;="&amp;$B$6))</f>
        <v/>
      </c>
      <c r="C98">
        <f>IF(A98="","",COUNTIFS('Hours Log'!$B$2:$B$2001,A98,'Hours Log'!$A$2:$A$2001,"&gt;="&amp;$B$5,'Hours Log'!$A$2:$A$2001,"&lt;="&amp;$B$6))</f>
        <v/>
      </c>
      <c r="D98" s="9">
        <f>IF(A98="","",IFERROR(INDEX(Staff!$D$2:$D$101,MATCH(A98,Staff!$A$2:$A$101,0)),0))</f>
        <v/>
      </c>
      <c r="E98" s="9">
        <f>IF(A98="","",B98*D98)</f>
        <v/>
      </c>
      <c r="F98">
        <f>IF(A98="","",COUNTIFS('Hours Log'!$B$2:$B$2001,A98,'Hours Log'!$A$2:$A$2001,"&gt;="&amp;$B$5,'Hours Log'!$A$2:$A$2001,"&lt;="&amp;$B$6,'Hours Log'!$K$2:$K$2001,"&lt;&gt;OK"))</f>
        <v/>
      </c>
    </row>
    <row r="99">
      <c r="A99">
        <f>IF(Staff!A92="","",Staff!A92)</f>
        <v/>
      </c>
      <c r="B99" s="13">
        <f>IF(A99="","",SUMIFS('Hours Log'!$G$2:$G$2001,'Hours Log'!$B$2:$B$2001,A99,'Hours Log'!$A$2:$A$2001,"&gt;="&amp;$B$5,'Hours Log'!$A$2:$A$2001,"&lt;="&amp;$B$6))</f>
        <v/>
      </c>
      <c r="C99">
        <f>IF(A99="","",COUNTIFS('Hours Log'!$B$2:$B$2001,A99,'Hours Log'!$A$2:$A$2001,"&gt;="&amp;$B$5,'Hours Log'!$A$2:$A$2001,"&lt;="&amp;$B$6))</f>
        <v/>
      </c>
      <c r="D99" s="9">
        <f>IF(A99="","",IFERROR(INDEX(Staff!$D$2:$D$101,MATCH(A99,Staff!$A$2:$A$101,0)),0))</f>
        <v/>
      </c>
      <c r="E99" s="9">
        <f>IF(A99="","",B99*D99)</f>
        <v/>
      </c>
      <c r="F99">
        <f>IF(A99="","",COUNTIFS('Hours Log'!$B$2:$B$2001,A99,'Hours Log'!$A$2:$A$2001,"&gt;="&amp;$B$5,'Hours Log'!$A$2:$A$2001,"&lt;="&amp;$B$6,'Hours Log'!$K$2:$K$2001,"&lt;&gt;OK"))</f>
        <v/>
      </c>
    </row>
    <row r="100">
      <c r="A100">
        <f>IF(Staff!A93="","",Staff!A93)</f>
        <v/>
      </c>
      <c r="B100" s="13">
        <f>IF(A100="","",SUMIFS('Hours Log'!$G$2:$G$2001,'Hours Log'!$B$2:$B$2001,A100,'Hours Log'!$A$2:$A$2001,"&gt;="&amp;$B$5,'Hours Log'!$A$2:$A$2001,"&lt;="&amp;$B$6))</f>
        <v/>
      </c>
      <c r="C100">
        <f>IF(A100="","",COUNTIFS('Hours Log'!$B$2:$B$2001,A100,'Hours Log'!$A$2:$A$2001,"&gt;="&amp;$B$5,'Hours Log'!$A$2:$A$2001,"&lt;="&amp;$B$6))</f>
        <v/>
      </c>
      <c r="D100" s="9">
        <f>IF(A100="","",IFERROR(INDEX(Staff!$D$2:$D$101,MATCH(A100,Staff!$A$2:$A$101,0)),0))</f>
        <v/>
      </c>
      <c r="E100" s="9">
        <f>IF(A100="","",B100*D100)</f>
        <v/>
      </c>
      <c r="F100">
        <f>IF(A100="","",COUNTIFS('Hours Log'!$B$2:$B$2001,A100,'Hours Log'!$A$2:$A$2001,"&gt;="&amp;$B$5,'Hours Log'!$A$2:$A$2001,"&lt;="&amp;$B$6,'Hours Log'!$K$2:$K$2001,"&lt;&gt;OK"))</f>
        <v/>
      </c>
    </row>
    <row r="101">
      <c r="A101">
        <f>IF(Staff!A94="","",Staff!A94)</f>
        <v/>
      </c>
      <c r="B101" s="13">
        <f>IF(A101="","",SUMIFS('Hours Log'!$G$2:$G$2001,'Hours Log'!$B$2:$B$2001,A101,'Hours Log'!$A$2:$A$2001,"&gt;="&amp;$B$5,'Hours Log'!$A$2:$A$2001,"&lt;="&amp;$B$6))</f>
        <v/>
      </c>
      <c r="C101">
        <f>IF(A101="","",COUNTIFS('Hours Log'!$B$2:$B$2001,A101,'Hours Log'!$A$2:$A$2001,"&gt;="&amp;$B$5,'Hours Log'!$A$2:$A$2001,"&lt;="&amp;$B$6))</f>
        <v/>
      </c>
      <c r="D101" s="9">
        <f>IF(A101="","",IFERROR(INDEX(Staff!$D$2:$D$101,MATCH(A101,Staff!$A$2:$A$101,0)),0))</f>
        <v/>
      </c>
      <c r="E101" s="9">
        <f>IF(A101="","",B101*D101)</f>
        <v/>
      </c>
      <c r="F101">
        <f>IF(A101="","",COUNTIFS('Hours Log'!$B$2:$B$2001,A101,'Hours Log'!$A$2:$A$2001,"&gt;="&amp;$B$5,'Hours Log'!$A$2:$A$2001,"&lt;="&amp;$B$6,'Hours Log'!$K$2:$K$2001,"&lt;&gt;OK"))</f>
        <v/>
      </c>
    </row>
    <row r="102">
      <c r="A102">
        <f>IF(Staff!A95="","",Staff!A95)</f>
        <v/>
      </c>
      <c r="B102" s="13">
        <f>IF(A102="","",SUMIFS('Hours Log'!$G$2:$G$2001,'Hours Log'!$B$2:$B$2001,A102,'Hours Log'!$A$2:$A$2001,"&gt;="&amp;$B$5,'Hours Log'!$A$2:$A$2001,"&lt;="&amp;$B$6))</f>
        <v/>
      </c>
      <c r="C102">
        <f>IF(A102="","",COUNTIFS('Hours Log'!$B$2:$B$2001,A102,'Hours Log'!$A$2:$A$2001,"&gt;="&amp;$B$5,'Hours Log'!$A$2:$A$2001,"&lt;="&amp;$B$6))</f>
        <v/>
      </c>
      <c r="D102" s="9">
        <f>IF(A102="","",IFERROR(INDEX(Staff!$D$2:$D$101,MATCH(A102,Staff!$A$2:$A$101,0)),0))</f>
        <v/>
      </c>
      <c r="E102" s="9">
        <f>IF(A102="","",B102*D102)</f>
        <v/>
      </c>
      <c r="F102">
        <f>IF(A102="","",COUNTIFS('Hours Log'!$B$2:$B$2001,A102,'Hours Log'!$A$2:$A$2001,"&gt;="&amp;$B$5,'Hours Log'!$A$2:$A$2001,"&lt;="&amp;$B$6,'Hours Log'!$K$2:$K$2001,"&lt;&gt;OK"))</f>
        <v/>
      </c>
    </row>
    <row r="103">
      <c r="A103">
        <f>IF(Staff!A96="","",Staff!A96)</f>
        <v/>
      </c>
      <c r="B103" s="13">
        <f>IF(A103="","",SUMIFS('Hours Log'!$G$2:$G$2001,'Hours Log'!$B$2:$B$2001,A103,'Hours Log'!$A$2:$A$2001,"&gt;="&amp;$B$5,'Hours Log'!$A$2:$A$2001,"&lt;="&amp;$B$6))</f>
        <v/>
      </c>
      <c r="C103">
        <f>IF(A103="","",COUNTIFS('Hours Log'!$B$2:$B$2001,A103,'Hours Log'!$A$2:$A$2001,"&gt;="&amp;$B$5,'Hours Log'!$A$2:$A$2001,"&lt;="&amp;$B$6))</f>
        <v/>
      </c>
      <c r="D103" s="9">
        <f>IF(A103="","",IFERROR(INDEX(Staff!$D$2:$D$101,MATCH(A103,Staff!$A$2:$A$101,0)),0))</f>
        <v/>
      </c>
      <c r="E103" s="9">
        <f>IF(A103="","",B103*D103)</f>
        <v/>
      </c>
      <c r="F103">
        <f>IF(A103="","",COUNTIFS('Hours Log'!$B$2:$B$2001,A103,'Hours Log'!$A$2:$A$2001,"&gt;="&amp;$B$5,'Hours Log'!$A$2:$A$2001,"&lt;="&amp;$B$6,'Hours Log'!$K$2:$K$2001,"&lt;&gt;OK"))</f>
        <v/>
      </c>
    </row>
    <row r="104">
      <c r="A104">
        <f>IF(Staff!A97="","",Staff!A97)</f>
        <v/>
      </c>
      <c r="B104" s="13">
        <f>IF(A104="","",SUMIFS('Hours Log'!$G$2:$G$2001,'Hours Log'!$B$2:$B$2001,A104,'Hours Log'!$A$2:$A$2001,"&gt;="&amp;$B$5,'Hours Log'!$A$2:$A$2001,"&lt;="&amp;$B$6))</f>
        <v/>
      </c>
      <c r="C104">
        <f>IF(A104="","",COUNTIFS('Hours Log'!$B$2:$B$2001,A104,'Hours Log'!$A$2:$A$2001,"&gt;="&amp;$B$5,'Hours Log'!$A$2:$A$2001,"&lt;="&amp;$B$6))</f>
        <v/>
      </c>
      <c r="D104" s="9">
        <f>IF(A104="","",IFERROR(INDEX(Staff!$D$2:$D$101,MATCH(A104,Staff!$A$2:$A$101,0)),0))</f>
        <v/>
      </c>
      <c r="E104" s="9">
        <f>IF(A104="","",B104*D104)</f>
        <v/>
      </c>
      <c r="F104">
        <f>IF(A104="","",COUNTIFS('Hours Log'!$B$2:$B$2001,A104,'Hours Log'!$A$2:$A$2001,"&gt;="&amp;$B$5,'Hours Log'!$A$2:$A$2001,"&lt;="&amp;$B$6,'Hours Log'!$K$2:$K$2001,"&lt;&gt;OK"))</f>
        <v/>
      </c>
    </row>
    <row r="105">
      <c r="A105">
        <f>IF(Staff!A98="","",Staff!A98)</f>
        <v/>
      </c>
      <c r="B105" s="13">
        <f>IF(A105="","",SUMIFS('Hours Log'!$G$2:$G$2001,'Hours Log'!$B$2:$B$2001,A105,'Hours Log'!$A$2:$A$2001,"&gt;="&amp;$B$5,'Hours Log'!$A$2:$A$2001,"&lt;="&amp;$B$6))</f>
        <v/>
      </c>
      <c r="C105">
        <f>IF(A105="","",COUNTIFS('Hours Log'!$B$2:$B$2001,A105,'Hours Log'!$A$2:$A$2001,"&gt;="&amp;$B$5,'Hours Log'!$A$2:$A$2001,"&lt;="&amp;$B$6))</f>
        <v/>
      </c>
      <c r="D105" s="9">
        <f>IF(A105="","",IFERROR(INDEX(Staff!$D$2:$D$101,MATCH(A105,Staff!$A$2:$A$101,0)),0))</f>
        <v/>
      </c>
      <c r="E105" s="9">
        <f>IF(A105="","",B105*D105)</f>
        <v/>
      </c>
      <c r="F105">
        <f>IF(A105="","",COUNTIFS('Hours Log'!$B$2:$B$2001,A105,'Hours Log'!$A$2:$A$2001,"&gt;="&amp;$B$5,'Hours Log'!$A$2:$A$2001,"&lt;="&amp;$B$6,'Hours Log'!$K$2:$K$2001,"&lt;&gt;OK"))</f>
        <v/>
      </c>
    </row>
    <row r="106">
      <c r="A106">
        <f>IF(Staff!A99="","",Staff!A99)</f>
        <v/>
      </c>
      <c r="B106" s="13">
        <f>IF(A106="","",SUMIFS('Hours Log'!$G$2:$G$2001,'Hours Log'!$B$2:$B$2001,A106,'Hours Log'!$A$2:$A$2001,"&gt;="&amp;$B$5,'Hours Log'!$A$2:$A$2001,"&lt;="&amp;$B$6))</f>
        <v/>
      </c>
      <c r="C106">
        <f>IF(A106="","",COUNTIFS('Hours Log'!$B$2:$B$2001,A106,'Hours Log'!$A$2:$A$2001,"&gt;="&amp;$B$5,'Hours Log'!$A$2:$A$2001,"&lt;="&amp;$B$6))</f>
        <v/>
      </c>
      <c r="D106" s="9">
        <f>IF(A106="","",IFERROR(INDEX(Staff!$D$2:$D$101,MATCH(A106,Staff!$A$2:$A$101,0)),0))</f>
        <v/>
      </c>
      <c r="E106" s="9">
        <f>IF(A106="","",B106*D106)</f>
        <v/>
      </c>
      <c r="F106">
        <f>IF(A106="","",COUNTIFS('Hours Log'!$B$2:$B$2001,A106,'Hours Log'!$A$2:$A$2001,"&gt;="&amp;$B$5,'Hours Log'!$A$2:$A$2001,"&lt;="&amp;$B$6,'Hours Log'!$K$2:$K$2001,"&lt;&gt;OK"))</f>
        <v/>
      </c>
    </row>
    <row r="107">
      <c r="A107">
        <f>IF(Staff!A100="","",Staff!A100)</f>
        <v/>
      </c>
      <c r="B107" s="13">
        <f>IF(A107="","",SUMIFS('Hours Log'!$G$2:$G$2001,'Hours Log'!$B$2:$B$2001,A107,'Hours Log'!$A$2:$A$2001,"&gt;="&amp;$B$5,'Hours Log'!$A$2:$A$2001,"&lt;="&amp;$B$6))</f>
        <v/>
      </c>
      <c r="C107">
        <f>IF(A107="","",COUNTIFS('Hours Log'!$B$2:$B$2001,A107,'Hours Log'!$A$2:$A$2001,"&gt;="&amp;$B$5,'Hours Log'!$A$2:$A$2001,"&lt;="&amp;$B$6))</f>
        <v/>
      </c>
      <c r="D107" s="9">
        <f>IF(A107="","",IFERROR(INDEX(Staff!$D$2:$D$101,MATCH(A107,Staff!$A$2:$A$101,0)),0))</f>
        <v/>
      </c>
      <c r="E107" s="9">
        <f>IF(A107="","",B107*D107)</f>
        <v/>
      </c>
      <c r="F107">
        <f>IF(A107="","",COUNTIFS('Hours Log'!$B$2:$B$2001,A107,'Hours Log'!$A$2:$A$2001,"&gt;="&amp;$B$5,'Hours Log'!$A$2:$A$2001,"&lt;="&amp;$B$6,'Hours Log'!$K$2:$K$2001,"&lt;&gt;OK"))</f>
        <v/>
      </c>
    </row>
    <row r="108">
      <c r="A108">
        <f>IF(Staff!A101="","",Staff!A101)</f>
        <v/>
      </c>
      <c r="B108" s="13">
        <f>IF(A108="","",SUMIFS('Hours Log'!$G$2:$G$2001,'Hours Log'!$B$2:$B$2001,A108,'Hours Log'!$A$2:$A$2001,"&gt;="&amp;$B$5,'Hours Log'!$A$2:$A$2001,"&lt;="&amp;$B$6))</f>
        <v/>
      </c>
      <c r="C108">
        <f>IF(A108="","",COUNTIFS('Hours Log'!$B$2:$B$2001,A108,'Hours Log'!$A$2:$A$2001,"&gt;="&amp;$B$5,'Hours Log'!$A$2:$A$2001,"&lt;="&amp;$B$6))</f>
        <v/>
      </c>
      <c r="D108" s="9">
        <f>IF(A108="","",IFERROR(INDEX(Staff!$D$2:$D$101,MATCH(A108,Staff!$A$2:$A$101,0)),0))</f>
        <v/>
      </c>
      <c r="E108" s="9">
        <f>IF(A108="","",B108*D108)</f>
        <v/>
      </c>
      <c r="F108">
        <f>IF(A108="","",COUNTIFS('Hours Log'!$B$2:$B$2001,A108,'Hours Log'!$A$2:$A$2001,"&gt;="&amp;$B$5,'Hours Log'!$A$2:$A$2001,"&lt;="&amp;$B$6,'Hours Log'!$K$2:$K$2001,"&lt;&gt;OK"))</f>
        <v/>
      </c>
    </row>
    <row r="109">
      <c r="A109" s="2" t="inlineStr">
        <is>
          <t>TOTAL</t>
        </is>
      </c>
      <c r="B109" s="14">
        <f>SUM(B9:B108)</f>
        <v/>
      </c>
      <c r="C109" s="2">
        <f>SUM(C9:C108)</f>
        <v/>
      </c>
      <c r="E109" s="15">
        <f>SUM(E9:E108)</f>
        <v/>
      </c>
      <c r="F109" s="2">
        <f>SUM(F9:F108)</f>
        <v/>
      </c>
    </row>
  </sheetData>
  <conditionalFormatting sqref="F9:F108">
    <cfRule type="expression" priority="1" dxfId="0">
      <formula>N(F9)&gt;0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26A00"/>
    <outlinePr summaryBelow="1" summaryRight="1"/>
    <pageSetUpPr/>
  </sheetPr>
  <dimension ref="A1:Q5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0" customWidth="1" min="11" max="11"/>
    <col width="9" customWidth="1" min="12" max="12"/>
    <col width="10" customWidth="1" min="13" max="13"/>
    <col width="10" customWidth="1" min="14" max="14"/>
    <col width="10" customWidth="1" min="15" max="15"/>
    <col width="10" customWidth="1" min="16" max="16"/>
    <col width="28" customWidth="1" min="17" max="17"/>
  </cols>
  <sheetData>
    <row r="1">
      <c r="A1" s="1" t="inlineStr">
        <is>
          <t>Weekly</t>
        </is>
      </c>
    </row>
    <row r="2">
      <c r="A2" t="inlineStr">
        <is>
          <t>Weeks back (0 = this week)</t>
        </is>
      </c>
      <c r="B2" s="10" t="n">
        <v>0</v>
      </c>
    </row>
    <row r="3">
      <c r="A3" t="inlineStr">
        <is>
          <t>Week of (Mon)</t>
        </is>
      </c>
      <c r="B3" s="11">
        <f>TODAY()-WEEKDAY(TODAY(),3)-7*B2</f>
        <v/>
      </c>
    </row>
    <row r="4">
      <c r="K4" t="inlineStr">
        <is>
          <t>Cross-check: enter last week's Jobber visit count and timesheet hours per site in N and O. Clear N:O when the week changes.</t>
        </is>
      </c>
    </row>
    <row r="5">
      <c r="A5" s="12" t="inlineStr">
        <is>
          <t>Employee</t>
        </is>
      </c>
      <c r="B5" s="16">
        <f>$B$3+0</f>
        <v/>
      </c>
      <c r="C5" s="16">
        <f>$B$3+1</f>
        <v/>
      </c>
      <c r="D5" s="16">
        <f>$B$3+2</f>
        <v/>
      </c>
      <c r="E5" s="16">
        <f>$B$3+3</f>
        <v/>
      </c>
      <c r="F5" s="16">
        <f>$B$3+4</f>
        <v/>
      </c>
      <c r="G5" s="16">
        <f>$B$3+5</f>
        <v/>
      </c>
      <c r="H5" s="16">
        <f>$B$3+6</f>
        <v/>
      </c>
      <c r="I5" s="12" t="inlineStr">
        <is>
          <t>Total</t>
        </is>
      </c>
      <c r="K5" s="17" t="inlineStr">
        <is>
          <t>Client / Site</t>
        </is>
      </c>
      <c r="L5" s="17" t="inlineStr">
        <is>
          <t>Shifts logged</t>
        </is>
      </c>
      <c r="M5" s="17" t="inlineStr">
        <is>
          <t>Crew hours logged</t>
        </is>
      </c>
      <c r="N5" s="17" t="inlineStr">
        <is>
          <t>Jobber visits (enter)</t>
        </is>
      </c>
      <c r="O5" s="17" t="inlineStr">
        <is>
          <t>Jobber hours (enter)</t>
        </is>
      </c>
      <c r="P5" s="17" t="inlineStr">
        <is>
          <t>Difference</t>
        </is>
      </c>
      <c r="Q5" s="17" t="inlineStr">
        <is>
          <t>Flag</t>
        </is>
      </c>
    </row>
    <row r="6">
      <c r="A6">
        <f>IF(Staff!A2="","",Staff!A2)</f>
        <v/>
      </c>
      <c r="B6" s="18">
        <f>IF($A6="","",SUMIFS('Hours Log'!$G$2:$G$2001,'Hours Log'!$B$2:$B$2001,$A6,'Hours Log'!$A$2:$A$2001,B$5))</f>
        <v/>
      </c>
      <c r="C6" s="18">
        <f>IF($A6="","",SUMIFS('Hours Log'!$G$2:$G$2001,'Hours Log'!$B$2:$B$2001,$A6,'Hours Log'!$A$2:$A$2001,C$5))</f>
        <v/>
      </c>
      <c r="D6" s="18">
        <f>IF($A6="","",SUMIFS('Hours Log'!$G$2:$G$2001,'Hours Log'!$B$2:$B$2001,$A6,'Hours Log'!$A$2:$A$2001,D$5))</f>
        <v/>
      </c>
      <c r="E6" s="18">
        <f>IF($A6="","",SUMIFS('Hours Log'!$G$2:$G$2001,'Hours Log'!$B$2:$B$2001,$A6,'Hours Log'!$A$2:$A$2001,E$5))</f>
        <v/>
      </c>
      <c r="F6" s="18">
        <f>IF($A6="","",SUMIFS('Hours Log'!$G$2:$G$2001,'Hours Log'!$B$2:$B$2001,$A6,'Hours Log'!$A$2:$A$2001,F$5))</f>
        <v/>
      </c>
      <c r="G6" s="18">
        <f>IF($A6="","",SUMIFS('Hours Log'!$G$2:$G$2001,'Hours Log'!$B$2:$B$2001,$A6,'Hours Log'!$A$2:$A$2001,G$5))</f>
        <v/>
      </c>
      <c r="H6" s="18">
        <f>IF($A6="","",SUMIFS('Hours Log'!$G$2:$G$2001,'Hours Log'!$B$2:$B$2001,$A6,'Hours Log'!$A$2:$A$2001,H$5))</f>
        <v/>
      </c>
      <c r="I6" s="14">
        <f>IF($A6="","",SUM(B6:H6))</f>
        <v/>
      </c>
      <c r="K6">
        <f>IF(Sites!A2="","",Sites!A2)</f>
        <v/>
      </c>
      <c r="L6">
        <f>IF(K6="","",COUNTIFS('Hours Log'!$C$2:$C$2001,K6,'Hours Log'!$I$2:$I$2001,$B$3))</f>
        <v/>
      </c>
      <c r="M6" s="18">
        <f>IF(K6="","",SUMIFS('Hours Log'!$G$2:$G$2001,'Hours Log'!$C$2:$C$2001,K6,'Hours Log'!$I$2:$I$2001,$B$3))</f>
        <v/>
      </c>
      <c r="N6" s="10" t="n"/>
      <c r="O6" s="10" t="n"/>
      <c r="P6" s="18">
        <f>IF(OR(K6="",O6=""),"",M6-O6)</f>
        <v/>
      </c>
      <c r="Q6">
        <f>IF(K6="","",IF(AND(N(N6)&gt;0,L6=0),"Jobber visit, no hours logged",IF(AND(L6&gt;0,N6=""),"Enter Jobber visits",IF(AND(L6&gt;0,N(N6)=0),"Hours logged, no Jobber visit",IF(AND(O6&lt;&gt;"",ABS(N(P6))&gt;0.5),"Hours differ from Jobber","")))))</f>
        <v/>
      </c>
    </row>
    <row r="7">
      <c r="A7">
        <f>IF(Staff!A3="","",Staff!A3)</f>
        <v/>
      </c>
      <c r="B7" s="18">
        <f>IF($A7="","",SUMIFS('Hours Log'!$G$2:$G$2001,'Hours Log'!$B$2:$B$2001,$A7,'Hours Log'!$A$2:$A$2001,B$5))</f>
        <v/>
      </c>
      <c r="C7" s="18">
        <f>IF($A7="","",SUMIFS('Hours Log'!$G$2:$G$2001,'Hours Log'!$B$2:$B$2001,$A7,'Hours Log'!$A$2:$A$2001,C$5))</f>
        <v/>
      </c>
      <c r="D7" s="18">
        <f>IF($A7="","",SUMIFS('Hours Log'!$G$2:$G$2001,'Hours Log'!$B$2:$B$2001,$A7,'Hours Log'!$A$2:$A$2001,D$5))</f>
        <v/>
      </c>
      <c r="E7" s="18">
        <f>IF($A7="","",SUMIFS('Hours Log'!$G$2:$G$2001,'Hours Log'!$B$2:$B$2001,$A7,'Hours Log'!$A$2:$A$2001,E$5))</f>
        <v/>
      </c>
      <c r="F7" s="18">
        <f>IF($A7="","",SUMIFS('Hours Log'!$G$2:$G$2001,'Hours Log'!$B$2:$B$2001,$A7,'Hours Log'!$A$2:$A$2001,F$5))</f>
        <v/>
      </c>
      <c r="G7" s="18">
        <f>IF($A7="","",SUMIFS('Hours Log'!$G$2:$G$2001,'Hours Log'!$B$2:$B$2001,$A7,'Hours Log'!$A$2:$A$2001,G$5))</f>
        <v/>
      </c>
      <c r="H7" s="18">
        <f>IF($A7="","",SUMIFS('Hours Log'!$G$2:$G$2001,'Hours Log'!$B$2:$B$2001,$A7,'Hours Log'!$A$2:$A$2001,H$5))</f>
        <v/>
      </c>
      <c r="I7" s="14">
        <f>IF($A7="","",SUM(B7:H7))</f>
        <v/>
      </c>
      <c r="K7">
        <f>IF(Sites!A3="","",Sites!A3)</f>
        <v/>
      </c>
      <c r="L7">
        <f>IF(K7="","",COUNTIFS('Hours Log'!$C$2:$C$2001,K7,'Hours Log'!$I$2:$I$2001,$B$3))</f>
        <v/>
      </c>
      <c r="M7" s="18">
        <f>IF(K7="","",SUMIFS('Hours Log'!$G$2:$G$2001,'Hours Log'!$C$2:$C$2001,K7,'Hours Log'!$I$2:$I$2001,$B$3))</f>
        <v/>
      </c>
      <c r="N7" s="10" t="n"/>
      <c r="O7" s="10" t="n"/>
      <c r="P7" s="18">
        <f>IF(OR(K7="",O7=""),"",M7-O7)</f>
        <v/>
      </c>
      <c r="Q7">
        <f>IF(K7="","",IF(AND(N(N7)&gt;0,L7=0),"Jobber visit, no hours logged",IF(AND(L7&gt;0,N7=""),"Enter Jobber visits",IF(AND(L7&gt;0,N(N7)=0),"Hours logged, no Jobber visit",IF(AND(O7&lt;&gt;"",ABS(N(P7))&gt;0.5),"Hours differ from Jobber","")))))</f>
        <v/>
      </c>
    </row>
    <row r="8">
      <c r="A8">
        <f>IF(Staff!A4="","",Staff!A4)</f>
        <v/>
      </c>
      <c r="B8" s="18">
        <f>IF($A8="","",SUMIFS('Hours Log'!$G$2:$G$2001,'Hours Log'!$B$2:$B$2001,$A8,'Hours Log'!$A$2:$A$2001,B$5))</f>
        <v/>
      </c>
      <c r="C8" s="18">
        <f>IF($A8="","",SUMIFS('Hours Log'!$G$2:$G$2001,'Hours Log'!$B$2:$B$2001,$A8,'Hours Log'!$A$2:$A$2001,C$5))</f>
        <v/>
      </c>
      <c r="D8" s="18">
        <f>IF($A8="","",SUMIFS('Hours Log'!$G$2:$G$2001,'Hours Log'!$B$2:$B$2001,$A8,'Hours Log'!$A$2:$A$2001,D$5))</f>
        <v/>
      </c>
      <c r="E8" s="18">
        <f>IF($A8="","",SUMIFS('Hours Log'!$G$2:$G$2001,'Hours Log'!$B$2:$B$2001,$A8,'Hours Log'!$A$2:$A$2001,E$5))</f>
        <v/>
      </c>
      <c r="F8" s="18">
        <f>IF($A8="","",SUMIFS('Hours Log'!$G$2:$G$2001,'Hours Log'!$B$2:$B$2001,$A8,'Hours Log'!$A$2:$A$2001,F$5))</f>
        <v/>
      </c>
      <c r="G8" s="18">
        <f>IF($A8="","",SUMIFS('Hours Log'!$G$2:$G$2001,'Hours Log'!$B$2:$B$2001,$A8,'Hours Log'!$A$2:$A$2001,G$5))</f>
        <v/>
      </c>
      <c r="H8" s="18">
        <f>IF($A8="","",SUMIFS('Hours Log'!$G$2:$G$2001,'Hours Log'!$B$2:$B$2001,$A8,'Hours Log'!$A$2:$A$2001,H$5))</f>
        <v/>
      </c>
      <c r="I8" s="14">
        <f>IF($A8="","",SUM(B8:H8))</f>
        <v/>
      </c>
      <c r="K8">
        <f>IF(Sites!A4="","",Sites!A4)</f>
        <v/>
      </c>
      <c r="L8">
        <f>IF(K8="","",COUNTIFS('Hours Log'!$C$2:$C$2001,K8,'Hours Log'!$I$2:$I$2001,$B$3))</f>
        <v/>
      </c>
      <c r="M8" s="18">
        <f>IF(K8="","",SUMIFS('Hours Log'!$G$2:$G$2001,'Hours Log'!$C$2:$C$2001,K8,'Hours Log'!$I$2:$I$2001,$B$3))</f>
        <v/>
      </c>
      <c r="N8" s="10" t="n"/>
      <c r="O8" s="10" t="n"/>
      <c r="P8" s="18">
        <f>IF(OR(K8="",O8=""),"",M8-O8)</f>
        <v/>
      </c>
      <c r="Q8">
        <f>IF(K8="","",IF(AND(N(N8)&gt;0,L8=0),"Jobber visit, no hours logged",IF(AND(L8&gt;0,N8=""),"Enter Jobber visits",IF(AND(L8&gt;0,N(N8)=0),"Hours logged, no Jobber visit",IF(AND(O8&lt;&gt;"",ABS(N(P8))&gt;0.5),"Hours differ from Jobber","")))))</f>
        <v/>
      </c>
    </row>
    <row r="9">
      <c r="A9">
        <f>IF(Staff!A5="","",Staff!A5)</f>
        <v/>
      </c>
      <c r="B9" s="18">
        <f>IF($A9="","",SUMIFS('Hours Log'!$G$2:$G$2001,'Hours Log'!$B$2:$B$2001,$A9,'Hours Log'!$A$2:$A$2001,B$5))</f>
        <v/>
      </c>
      <c r="C9" s="18">
        <f>IF($A9="","",SUMIFS('Hours Log'!$G$2:$G$2001,'Hours Log'!$B$2:$B$2001,$A9,'Hours Log'!$A$2:$A$2001,C$5))</f>
        <v/>
      </c>
      <c r="D9" s="18">
        <f>IF($A9="","",SUMIFS('Hours Log'!$G$2:$G$2001,'Hours Log'!$B$2:$B$2001,$A9,'Hours Log'!$A$2:$A$2001,D$5))</f>
        <v/>
      </c>
      <c r="E9" s="18">
        <f>IF($A9="","",SUMIFS('Hours Log'!$G$2:$G$2001,'Hours Log'!$B$2:$B$2001,$A9,'Hours Log'!$A$2:$A$2001,E$5))</f>
        <v/>
      </c>
      <c r="F9" s="18">
        <f>IF($A9="","",SUMIFS('Hours Log'!$G$2:$G$2001,'Hours Log'!$B$2:$B$2001,$A9,'Hours Log'!$A$2:$A$2001,F$5))</f>
        <v/>
      </c>
      <c r="G9" s="18">
        <f>IF($A9="","",SUMIFS('Hours Log'!$G$2:$G$2001,'Hours Log'!$B$2:$B$2001,$A9,'Hours Log'!$A$2:$A$2001,G$5))</f>
        <v/>
      </c>
      <c r="H9" s="18">
        <f>IF($A9="","",SUMIFS('Hours Log'!$G$2:$G$2001,'Hours Log'!$B$2:$B$2001,$A9,'Hours Log'!$A$2:$A$2001,H$5))</f>
        <v/>
      </c>
      <c r="I9" s="14">
        <f>IF($A9="","",SUM(B9:H9))</f>
        <v/>
      </c>
      <c r="K9">
        <f>IF(Sites!A5="","",Sites!A5)</f>
        <v/>
      </c>
      <c r="L9">
        <f>IF(K9="","",COUNTIFS('Hours Log'!$C$2:$C$2001,K9,'Hours Log'!$I$2:$I$2001,$B$3))</f>
        <v/>
      </c>
      <c r="M9" s="18">
        <f>IF(K9="","",SUMIFS('Hours Log'!$G$2:$G$2001,'Hours Log'!$C$2:$C$2001,K9,'Hours Log'!$I$2:$I$2001,$B$3))</f>
        <v/>
      </c>
      <c r="N9" s="10" t="n"/>
      <c r="O9" s="10" t="n"/>
      <c r="P9" s="18">
        <f>IF(OR(K9="",O9=""),"",M9-O9)</f>
        <v/>
      </c>
      <c r="Q9">
        <f>IF(K9="","",IF(AND(N(N9)&gt;0,L9=0),"Jobber visit, no hours logged",IF(AND(L9&gt;0,N9=""),"Enter Jobber visits",IF(AND(L9&gt;0,N(N9)=0),"Hours logged, no Jobber visit",IF(AND(O9&lt;&gt;"",ABS(N(P9))&gt;0.5),"Hours differ from Jobber","")))))</f>
        <v/>
      </c>
    </row>
    <row r="10">
      <c r="A10">
        <f>IF(Staff!A6="","",Staff!A6)</f>
        <v/>
      </c>
      <c r="B10" s="18">
        <f>IF($A10="","",SUMIFS('Hours Log'!$G$2:$G$2001,'Hours Log'!$B$2:$B$2001,$A10,'Hours Log'!$A$2:$A$2001,B$5))</f>
        <v/>
      </c>
      <c r="C10" s="18">
        <f>IF($A10="","",SUMIFS('Hours Log'!$G$2:$G$2001,'Hours Log'!$B$2:$B$2001,$A10,'Hours Log'!$A$2:$A$2001,C$5))</f>
        <v/>
      </c>
      <c r="D10" s="18">
        <f>IF($A10="","",SUMIFS('Hours Log'!$G$2:$G$2001,'Hours Log'!$B$2:$B$2001,$A10,'Hours Log'!$A$2:$A$2001,D$5))</f>
        <v/>
      </c>
      <c r="E10" s="18">
        <f>IF($A10="","",SUMIFS('Hours Log'!$G$2:$G$2001,'Hours Log'!$B$2:$B$2001,$A10,'Hours Log'!$A$2:$A$2001,E$5))</f>
        <v/>
      </c>
      <c r="F10" s="18">
        <f>IF($A10="","",SUMIFS('Hours Log'!$G$2:$G$2001,'Hours Log'!$B$2:$B$2001,$A10,'Hours Log'!$A$2:$A$2001,F$5))</f>
        <v/>
      </c>
      <c r="G10" s="18">
        <f>IF($A10="","",SUMIFS('Hours Log'!$G$2:$G$2001,'Hours Log'!$B$2:$B$2001,$A10,'Hours Log'!$A$2:$A$2001,G$5))</f>
        <v/>
      </c>
      <c r="H10" s="18">
        <f>IF($A10="","",SUMIFS('Hours Log'!$G$2:$G$2001,'Hours Log'!$B$2:$B$2001,$A10,'Hours Log'!$A$2:$A$2001,H$5))</f>
        <v/>
      </c>
      <c r="I10" s="14">
        <f>IF($A10="","",SUM(B10:H10))</f>
        <v/>
      </c>
      <c r="K10">
        <f>IF(Sites!A6="","",Sites!A6)</f>
        <v/>
      </c>
      <c r="L10">
        <f>IF(K10="","",COUNTIFS('Hours Log'!$C$2:$C$2001,K10,'Hours Log'!$I$2:$I$2001,$B$3))</f>
        <v/>
      </c>
      <c r="M10" s="18">
        <f>IF(K10="","",SUMIFS('Hours Log'!$G$2:$G$2001,'Hours Log'!$C$2:$C$2001,K10,'Hours Log'!$I$2:$I$2001,$B$3))</f>
        <v/>
      </c>
      <c r="N10" s="10" t="n"/>
      <c r="O10" s="10" t="n"/>
      <c r="P10" s="18">
        <f>IF(OR(K10="",O10=""),"",M10-O10)</f>
        <v/>
      </c>
      <c r="Q10">
        <f>IF(K10="","",IF(AND(N(N10)&gt;0,L10=0),"Jobber visit, no hours logged",IF(AND(L10&gt;0,N10=""),"Enter Jobber visits",IF(AND(L10&gt;0,N(N10)=0),"Hours logged, no Jobber visit",IF(AND(O10&lt;&gt;"",ABS(N(P10))&gt;0.5),"Hours differ from Jobber","")))))</f>
        <v/>
      </c>
    </row>
    <row r="11">
      <c r="A11">
        <f>IF(Staff!A7="","",Staff!A7)</f>
        <v/>
      </c>
      <c r="B11" s="18">
        <f>IF($A11="","",SUMIFS('Hours Log'!$G$2:$G$2001,'Hours Log'!$B$2:$B$2001,$A11,'Hours Log'!$A$2:$A$2001,B$5))</f>
        <v/>
      </c>
      <c r="C11" s="18">
        <f>IF($A11="","",SUMIFS('Hours Log'!$G$2:$G$2001,'Hours Log'!$B$2:$B$2001,$A11,'Hours Log'!$A$2:$A$2001,C$5))</f>
        <v/>
      </c>
      <c r="D11" s="18">
        <f>IF($A11="","",SUMIFS('Hours Log'!$G$2:$G$2001,'Hours Log'!$B$2:$B$2001,$A11,'Hours Log'!$A$2:$A$2001,D$5))</f>
        <v/>
      </c>
      <c r="E11" s="18">
        <f>IF($A11="","",SUMIFS('Hours Log'!$G$2:$G$2001,'Hours Log'!$B$2:$B$2001,$A11,'Hours Log'!$A$2:$A$2001,E$5))</f>
        <v/>
      </c>
      <c r="F11" s="18">
        <f>IF($A11="","",SUMIFS('Hours Log'!$G$2:$G$2001,'Hours Log'!$B$2:$B$2001,$A11,'Hours Log'!$A$2:$A$2001,F$5))</f>
        <v/>
      </c>
      <c r="G11" s="18">
        <f>IF($A11="","",SUMIFS('Hours Log'!$G$2:$G$2001,'Hours Log'!$B$2:$B$2001,$A11,'Hours Log'!$A$2:$A$2001,G$5))</f>
        <v/>
      </c>
      <c r="H11" s="18">
        <f>IF($A11="","",SUMIFS('Hours Log'!$G$2:$G$2001,'Hours Log'!$B$2:$B$2001,$A11,'Hours Log'!$A$2:$A$2001,H$5))</f>
        <v/>
      </c>
      <c r="I11" s="14">
        <f>IF($A11="","",SUM(B11:H11))</f>
        <v/>
      </c>
      <c r="K11">
        <f>IF(Sites!A7="","",Sites!A7)</f>
        <v/>
      </c>
      <c r="L11">
        <f>IF(K11="","",COUNTIFS('Hours Log'!$C$2:$C$2001,K11,'Hours Log'!$I$2:$I$2001,$B$3))</f>
        <v/>
      </c>
      <c r="M11" s="18">
        <f>IF(K11="","",SUMIFS('Hours Log'!$G$2:$G$2001,'Hours Log'!$C$2:$C$2001,K11,'Hours Log'!$I$2:$I$2001,$B$3))</f>
        <v/>
      </c>
      <c r="N11" s="10" t="n"/>
      <c r="O11" s="10" t="n"/>
      <c r="P11" s="18">
        <f>IF(OR(K11="",O11=""),"",M11-O11)</f>
        <v/>
      </c>
      <c r="Q11">
        <f>IF(K11="","",IF(AND(N(N11)&gt;0,L11=0),"Jobber visit, no hours logged",IF(AND(L11&gt;0,N11=""),"Enter Jobber visits",IF(AND(L11&gt;0,N(N11)=0),"Hours logged, no Jobber visit",IF(AND(O11&lt;&gt;"",ABS(N(P11))&gt;0.5),"Hours differ from Jobber","")))))</f>
        <v/>
      </c>
    </row>
    <row r="12">
      <c r="A12">
        <f>IF(Staff!A8="","",Staff!A8)</f>
        <v/>
      </c>
      <c r="B12" s="18">
        <f>IF($A12="","",SUMIFS('Hours Log'!$G$2:$G$2001,'Hours Log'!$B$2:$B$2001,$A12,'Hours Log'!$A$2:$A$2001,B$5))</f>
        <v/>
      </c>
      <c r="C12" s="18">
        <f>IF($A12="","",SUMIFS('Hours Log'!$G$2:$G$2001,'Hours Log'!$B$2:$B$2001,$A12,'Hours Log'!$A$2:$A$2001,C$5))</f>
        <v/>
      </c>
      <c r="D12" s="18">
        <f>IF($A12="","",SUMIFS('Hours Log'!$G$2:$G$2001,'Hours Log'!$B$2:$B$2001,$A12,'Hours Log'!$A$2:$A$2001,D$5))</f>
        <v/>
      </c>
      <c r="E12" s="18">
        <f>IF($A12="","",SUMIFS('Hours Log'!$G$2:$G$2001,'Hours Log'!$B$2:$B$2001,$A12,'Hours Log'!$A$2:$A$2001,E$5))</f>
        <v/>
      </c>
      <c r="F12" s="18">
        <f>IF($A12="","",SUMIFS('Hours Log'!$G$2:$G$2001,'Hours Log'!$B$2:$B$2001,$A12,'Hours Log'!$A$2:$A$2001,F$5))</f>
        <v/>
      </c>
      <c r="G12" s="18">
        <f>IF($A12="","",SUMIFS('Hours Log'!$G$2:$G$2001,'Hours Log'!$B$2:$B$2001,$A12,'Hours Log'!$A$2:$A$2001,G$5))</f>
        <v/>
      </c>
      <c r="H12" s="18">
        <f>IF($A12="","",SUMIFS('Hours Log'!$G$2:$G$2001,'Hours Log'!$B$2:$B$2001,$A12,'Hours Log'!$A$2:$A$2001,H$5))</f>
        <v/>
      </c>
      <c r="I12" s="14">
        <f>IF($A12="","",SUM(B12:H12))</f>
        <v/>
      </c>
      <c r="K12">
        <f>IF(Sites!A8="","",Sites!A8)</f>
        <v/>
      </c>
      <c r="L12">
        <f>IF(K12="","",COUNTIFS('Hours Log'!$C$2:$C$2001,K12,'Hours Log'!$I$2:$I$2001,$B$3))</f>
        <v/>
      </c>
      <c r="M12" s="18">
        <f>IF(K12="","",SUMIFS('Hours Log'!$G$2:$G$2001,'Hours Log'!$C$2:$C$2001,K12,'Hours Log'!$I$2:$I$2001,$B$3))</f>
        <v/>
      </c>
      <c r="N12" s="10" t="n"/>
      <c r="O12" s="10" t="n"/>
      <c r="P12" s="18">
        <f>IF(OR(K12="",O12=""),"",M12-O12)</f>
        <v/>
      </c>
      <c r="Q12">
        <f>IF(K12="","",IF(AND(N(N12)&gt;0,L12=0),"Jobber visit, no hours logged",IF(AND(L12&gt;0,N12=""),"Enter Jobber visits",IF(AND(L12&gt;0,N(N12)=0),"Hours logged, no Jobber visit",IF(AND(O12&lt;&gt;"",ABS(N(P12))&gt;0.5),"Hours differ from Jobber","")))))</f>
        <v/>
      </c>
    </row>
    <row r="13">
      <c r="A13">
        <f>IF(Staff!A9="","",Staff!A9)</f>
        <v/>
      </c>
      <c r="B13" s="18">
        <f>IF($A13="","",SUMIFS('Hours Log'!$G$2:$G$2001,'Hours Log'!$B$2:$B$2001,$A13,'Hours Log'!$A$2:$A$2001,B$5))</f>
        <v/>
      </c>
      <c r="C13" s="18">
        <f>IF($A13="","",SUMIFS('Hours Log'!$G$2:$G$2001,'Hours Log'!$B$2:$B$2001,$A13,'Hours Log'!$A$2:$A$2001,C$5))</f>
        <v/>
      </c>
      <c r="D13" s="18">
        <f>IF($A13="","",SUMIFS('Hours Log'!$G$2:$G$2001,'Hours Log'!$B$2:$B$2001,$A13,'Hours Log'!$A$2:$A$2001,D$5))</f>
        <v/>
      </c>
      <c r="E13" s="18">
        <f>IF($A13="","",SUMIFS('Hours Log'!$G$2:$G$2001,'Hours Log'!$B$2:$B$2001,$A13,'Hours Log'!$A$2:$A$2001,E$5))</f>
        <v/>
      </c>
      <c r="F13" s="18">
        <f>IF($A13="","",SUMIFS('Hours Log'!$G$2:$G$2001,'Hours Log'!$B$2:$B$2001,$A13,'Hours Log'!$A$2:$A$2001,F$5))</f>
        <v/>
      </c>
      <c r="G13" s="18">
        <f>IF($A13="","",SUMIFS('Hours Log'!$G$2:$G$2001,'Hours Log'!$B$2:$B$2001,$A13,'Hours Log'!$A$2:$A$2001,G$5))</f>
        <v/>
      </c>
      <c r="H13" s="18">
        <f>IF($A13="","",SUMIFS('Hours Log'!$G$2:$G$2001,'Hours Log'!$B$2:$B$2001,$A13,'Hours Log'!$A$2:$A$2001,H$5))</f>
        <v/>
      </c>
      <c r="I13" s="14">
        <f>IF($A13="","",SUM(B13:H13))</f>
        <v/>
      </c>
      <c r="K13">
        <f>IF(Sites!A9="","",Sites!A9)</f>
        <v/>
      </c>
      <c r="L13">
        <f>IF(K13="","",COUNTIFS('Hours Log'!$C$2:$C$2001,K13,'Hours Log'!$I$2:$I$2001,$B$3))</f>
        <v/>
      </c>
      <c r="M13" s="18">
        <f>IF(K13="","",SUMIFS('Hours Log'!$G$2:$G$2001,'Hours Log'!$C$2:$C$2001,K13,'Hours Log'!$I$2:$I$2001,$B$3))</f>
        <v/>
      </c>
      <c r="N13" s="10" t="n"/>
      <c r="O13" s="10" t="n"/>
      <c r="P13" s="18">
        <f>IF(OR(K13="",O13=""),"",M13-O13)</f>
        <v/>
      </c>
      <c r="Q13">
        <f>IF(K13="","",IF(AND(N(N13)&gt;0,L13=0),"Jobber visit, no hours logged",IF(AND(L13&gt;0,N13=""),"Enter Jobber visits",IF(AND(L13&gt;0,N(N13)=0),"Hours logged, no Jobber visit",IF(AND(O13&lt;&gt;"",ABS(N(P13))&gt;0.5),"Hours differ from Jobber","")))))</f>
        <v/>
      </c>
    </row>
    <row r="14">
      <c r="A14">
        <f>IF(Staff!A10="","",Staff!A10)</f>
        <v/>
      </c>
      <c r="B14" s="18">
        <f>IF($A14="","",SUMIFS('Hours Log'!$G$2:$G$2001,'Hours Log'!$B$2:$B$2001,$A14,'Hours Log'!$A$2:$A$2001,B$5))</f>
        <v/>
      </c>
      <c r="C14" s="18">
        <f>IF($A14="","",SUMIFS('Hours Log'!$G$2:$G$2001,'Hours Log'!$B$2:$B$2001,$A14,'Hours Log'!$A$2:$A$2001,C$5))</f>
        <v/>
      </c>
      <c r="D14" s="18">
        <f>IF($A14="","",SUMIFS('Hours Log'!$G$2:$G$2001,'Hours Log'!$B$2:$B$2001,$A14,'Hours Log'!$A$2:$A$2001,D$5))</f>
        <v/>
      </c>
      <c r="E14" s="18">
        <f>IF($A14="","",SUMIFS('Hours Log'!$G$2:$G$2001,'Hours Log'!$B$2:$B$2001,$A14,'Hours Log'!$A$2:$A$2001,E$5))</f>
        <v/>
      </c>
      <c r="F14" s="18">
        <f>IF($A14="","",SUMIFS('Hours Log'!$G$2:$G$2001,'Hours Log'!$B$2:$B$2001,$A14,'Hours Log'!$A$2:$A$2001,F$5))</f>
        <v/>
      </c>
      <c r="G14" s="18">
        <f>IF($A14="","",SUMIFS('Hours Log'!$G$2:$G$2001,'Hours Log'!$B$2:$B$2001,$A14,'Hours Log'!$A$2:$A$2001,G$5))</f>
        <v/>
      </c>
      <c r="H14" s="18">
        <f>IF($A14="","",SUMIFS('Hours Log'!$G$2:$G$2001,'Hours Log'!$B$2:$B$2001,$A14,'Hours Log'!$A$2:$A$2001,H$5))</f>
        <v/>
      </c>
      <c r="I14" s="14">
        <f>IF($A14="","",SUM(B14:H14))</f>
        <v/>
      </c>
      <c r="K14">
        <f>IF(Sites!A10="","",Sites!A10)</f>
        <v/>
      </c>
      <c r="L14">
        <f>IF(K14="","",COUNTIFS('Hours Log'!$C$2:$C$2001,K14,'Hours Log'!$I$2:$I$2001,$B$3))</f>
        <v/>
      </c>
      <c r="M14" s="18">
        <f>IF(K14="","",SUMIFS('Hours Log'!$G$2:$G$2001,'Hours Log'!$C$2:$C$2001,K14,'Hours Log'!$I$2:$I$2001,$B$3))</f>
        <v/>
      </c>
      <c r="N14" s="10" t="n"/>
      <c r="O14" s="10" t="n"/>
      <c r="P14" s="18">
        <f>IF(OR(K14="",O14=""),"",M14-O14)</f>
        <v/>
      </c>
      <c r="Q14">
        <f>IF(K14="","",IF(AND(N(N14)&gt;0,L14=0),"Jobber visit, no hours logged",IF(AND(L14&gt;0,N14=""),"Enter Jobber visits",IF(AND(L14&gt;0,N(N14)=0),"Hours logged, no Jobber visit",IF(AND(O14&lt;&gt;"",ABS(N(P14))&gt;0.5),"Hours differ from Jobber","")))))</f>
        <v/>
      </c>
    </row>
    <row r="15">
      <c r="A15">
        <f>IF(Staff!A11="","",Staff!A11)</f>
        <v/>
      </c>
      <c r="B15" s="18">
        <f>IF($A15="","",SUMIFS('Hours Log'!$G$2:$G$2001,'Hours Log'!$B$2:$B$2001,$A15,'Hours Log'!$A$2:$A$2001,B$5))</f>
        <v/>
      </c>
      <c r="C15" s="18">
        <f>IF($A15="","",SUMIFS('Hours Log'!$G$2:$G$2001,'Hours Log'!$B$2:$B$2001,$A15,'Hours Log'!$A$2:$A$2001,C$5))</f>
        <v/>
      </c>
      <c r="D15" s="18">
        <f>IF($A15="","",SUMIFS('Hours Log'!$G$2:$G$2001,'Hours Log'!$B$2:$B$2001,$A15,'Hours Log'!$A$2:$A$2001,D$5))</f>
        <v/>
      </c>
      <c r="E15" s="18">
        <f>IF($A15="","",SUMIFS('Hours Log'!$G$2:$G$2001,'Hours Log'!$B$2:$B$2001,$A15,'Hours Log'!$A$2:$A$2001,E$5))</f>
        <v/>
      </c>
      <c r="F15" s="18">
        <f>IF($A15="","",SUMIFS('Hours Log'!$G$2:$G$2001,'Hours Log'!$B$2:$B$2001,$A15,'Hours Log'!$A$2:$A$2001,F$5))</f>
        <v/>
      </c>
      <c r="G15" s="18">
        <f>IF($A15="","",SUMIFS('Hours Log'!$G$2:$G$2001,'Hours Log'!$B$2:$B$2001,$A15,'Hours Log'!$A$2:$A$2001,G$5))</f>
        <v/>
      </c>
      <c r="H15" s="18">
        <f>IF($A15="","",SUMIFS('Hours Log'!$G$2:$G$2001,'Hours Log'!$B$2:$B$2001,$A15,'Hours Log'!$A$2:$A$2001,H$5))</f>
        <v/>
      </c>
      <c r="I15" s="14">
        <f>IF($A15="","",SUM(B15:H15))</f>
        <v/>
      </c>
      <c r="K15">
        <f>IF(Sites!A11="","",Sites!A11)</f>
        <v/>
      </c>
      <c r="L15">
        <f>IF(K15="","",COUNTIFS('Hours Log'!$C$2:$C$2001,K15,'Hours Log'!$I$2:$I$2001,$B$3))</f>
        <v/>
      </c>
      <c r="M15" s="18">
        <f>IF(K15="","",SUMIFS('Hours Log'!$G$2:$G$2001,'Hours Log'!$C$2:$C$2001,K15,'Hours Log'!$I$2:$I$2001,$B$3))</f>
        <v/>
      </c>
      <c r="N15" s="10" t="n"/>
      <c r="O15" s="10" t="n"/>
      <c r="P15" s="18">
        <f>IF(OR(K15="",O15=""),"",M15-O15)</f>
        <v/>
      </c>
      <c r="Q15">
        <f>IF(K15="","",IF(AND(N(N15)&gt;0,L15=0),"Jobber visit, no hours logged",IF(AND(L15&gt;0,N15=""),"Enter Jobber visits",IF(AND(L15&gt;0,N(N15)=0),"Hours logged, no Jobber visit",IF(AND(O15&lt;&gt;"",ABS(N(P15))&gt;0.5),"Hours differ from Jobber","")))))</f>
        <v/>
      </c>
    </row>
    <row r="16">
      <c r="A16">
        <f>IF(Staff!A12="","",Staff!A12)</f>
        <v/>
      </c>
      <c r="B16" s="18">
        <f>IF($A16="","",SUMIFS('Hours Log'!$G$2:$G$2001,'Hours Log'!$B$2:$B$2001,$A16,'Hours Log'!$A$2:$A$2001,B$5))</f>
        <v/>
      </c>
      <c r="C16" s="18">
        <f>IF($A16="","",SUMIFS('Hours Log'!$G$2:$G$2001,'Hours Log'!$B$2:$B$2001,$A16,'Hours Log'!$A$2:$A$2001,C$5))</f>
        <v/>
      </c>
      <c r="D16" s="18">
        <f>IF($A16="","",SUMIFS('Hours Log'!$G$2:$G$2001,'Hours Log'!$B$2:$B$2001,$A16,'Hours Log'!$A$2:$A$2001,D$5))</f>
        <v/>
      </c>
      <c r="E16" s="18">
        <f>IF($A16="","",SUMIFS('Hours Log'!$G$2:$G$2001,'Hours Log'!$B$2:$B$2001,$A16,'Hours Log'!$A$2:$A$2001,E$5))</f>
        <v/>
      </c>
      <c r="F16" s="18">
        <f>IF($A16="","",SUMIFS('Hours Log'!$G$2:$G$2001,'Hours Log'!$B$2:$B$2001,$A16,'Hours Log'!$A$2:$A$2001,F$5))</f>
        <v/>
      </c>
      <c r="G16" s="18">
        <f>IF($A16="","",SUMIFS('Hours Log'!$G$2:$G$2001,'Hours Log'!$B$2:$B$2001,$A16,'Hours Log'!$A$2:$A$2001,G$5))</f>
        <v/>
      </c>
      <c r="H16" s="18">
        <f>IF($A16="","",SUMIFS('Hours Log'!$G$2:$G$2001,'Hours Log'!$B$2:$B$2001,$A16,'Hours Log'!$A$2:$A$2001,H$5))</f>
        <v/>
      </c>
      <c r="I16" s="14">
        <f>IF($A16="","",SUM(B16:H16))</f>
        <v/>
      </c>
      <c r="K16">
        <f>IF(Sites!A12="","",Sites!A12)</f>
        <v/>
      </c>
      <c r="L16">
        <f>IF(K16="","",COUNTIFS('Hours Log'!$C$2:$C$2001,K16,'Hours Log'!$I$2:$I$2001,$B$3))</f>
        <v/>
      </c>
      <c r="M16" s="18">
        <f>IF(K16="","",SUMIFS('Hours Log'!$G$2:$G$2001,'Hours Log'!$C$2:$C$2001,K16,'Hours Log'!$I$2:$I$2001,$B$3))</f>
        <v/>
      </c>
      <c r="N16" s="10" t="n"/>
      <c r="O16" s="10" t="n"/>
      <c r="P16" s="18">
        <f>IF(OR(K16="",O16=""),"",M16-O16)</f>
        <v/>
      </c>
      <c r="Q16">
        <f>IF(K16="","",IF(AND(N(N16)&gt;0,L16=0),"Jobber visit, no hours logged",IF(AND(L16&gt;0,N16=""),"Enter Jobber visits",IF(AND(L16&gt;0,N(N16)=0),"Hours logged, no Jobber visit",IF(AND(O16&lt;&gt;"",ABS(N(P16))&gt;0.5),"Hours differ from Jobber","")))))</f>
        <v/>
      </c>
    </row>
    <row r="17">
      <c r="A17">
        <f>IF(Staff!A13="","",Staff!A13)</f>
        <v/>
      </c>
      <c r="B17" s="18">
        <f>IF($A17="","",SUMIFS('Hours Log'!$G$2:$G$2001,'Hours Log'!$B$2:$B$2001,$A17,'Hours Log'!$A$2:$A$2001,B$5))</f>
        <v/>
      </c>
      <c r="C17" s="18">
        <f>IF($A17="","",SUMIFS('Hours Log'!$G$2:$G$2001,'Hours Log'!$B$2:$B$2001,$A17,'Hours Log'!$A$2:$A$2001,C$5))</f>
        <v/>
      </c>
      <c r="D17" s="18">
        <f>IF($A17="","",SUMIFS('Hours Log'!$G$2:$G$2001,'Hours Log'!$B$2:$B$2001,$A17,'Hours Log'!$A$2:$A$2001,D$5))</f>
        <v/>
      </c>
      <c r="E17" s="18">
        <f>IF($A17="","",SUMIFS('Hours Log'!$G$2:$G$2001,'Hours Log'!$B$2:$B$2001,$A17,'Hours Log'!$A$2:$A$2001,E$5))</f>
        <v/>
      </c>
      <c r="F17" s="18">
        <f>IF($A17="","",SUMIFS('Hours Log'!$G$2:$G$2001,'Hours Log'!$B$2:$B$2001,$A17,'Hours Log'!$A$2:$A$2001,F$5))</f>
        <v/>
      </c>
      <c r="G17" s="18">
        <f>IF($A17="","",SUMIFS('Hours Log'!$G$2:$G$2001,'Hours Log'!$B$2:$B$2001,$A17,'Hours Log'!$A$2:$A$2001,G$5))</f>
        <v/>
      </c>
      <c r="H17" s="18">
        <f>IF($A17="","",SUMIFS('Hours Log'!$G$2:$G$2001,'Hours Log'!$B$2:$B$2001,$A17,'Hours Log'!$A$2:$A$2001,H$5))</f>
        <v/>
      </c>
      <c r="I17" s="14">
        <f>IF($A17="","",SUM(B17:H17))</f>
        <v/>
      </c>
      <c r="K17">
        <f>IF(Sites!A13="","",Sites!A13)</f>
        <v/>
      </c>
      <c r="L17">
        <f>IF(K17="","",COUNTIFS('Hours Log'!$C$2:$C$2001,K17,'Hours Log'!$I$2:$I$2001,$B$3))</f>
        <v/>
      </c>
      <c r="M17" s="18">
        <f>IF(K17="","",SUMIFS('Hours Log'!$G$2:$G$2001,'Hours Log'!$C$2:$C$2001,K17,'Hours Log'!$I$2:$I$2001,$B$3))</f>
        <v/>
      </c>
      <c r="N17" s="10" t="n"/>
      <c r="O17" s="10" t="n"/>
      <c r="P17" s="18">
        <f>IF(OR(K17="",O17=""),"",M17-O17)</f>
        <v/>
      </c>
      <c r="Q17">
        <f>IF(K17="","",IF(AND(N(N17)&gt;0,L17=0),"Jobber visit, no hours logged",IF(AND(L17&gt;0,N17=""),"Enter Jobber visits",IF(AND(L17&gt;0,N(N17)=0),"Hours logged, no Jobber visit",IF(AND(O17&lt;&gt;"",ABS(N(P17))&gt;0.5),"Hours differ from Jobber","")))))</f>
        <v/>
      </c>
    </row>
    <row r="18">
      <c r="A18">
        <f>IF(Staff!A14="","",Staff!A14)</f>
        <v/>
      </c>
      <c r="B18" s="18">
        <f>IF($A18="","",SUMIFS('Hours Log'!$G$2:$G$2001,'Hours Log'!$B$2:$B$2001,$A18,'Hours Log'!$A$2:$A$2001,B$5))</f>
        <v/>
      </c>
      <c r="C18" s="18">
        <f>IF($A18="","",SUMIFS('Hours Log'!$G$2:$G$2001,'Hours Log'!$B$2:$B$2001,$A18,'Hours Log'!$A$2:$A$2001,C$5))</f>
        <v/>
      </c>
      <c r="D18" s="18">
        <f>IF($A18="","",SUMIFS('Hours Log'!$G$2:$G$2001,'Hours Log'!$B$2:$B$2001,$A18,'Hours Log'!$A$2:$A$2001,D$5))</f>
        <v/>
      </c>
      <c r="E18" s="18">
        <f>IF($A18="","",SUMIFS('Hours Log'!$G$2:$G$2001,'Hours Log'!$B$2:$B$2001,$A18,'Hours Log'!$A$2:$A$2001,E$5))</f>
        <v/>
      </c>
      <c r="F18" s="18">
        <f>IF($A18="","",SUMIFS('Hours Log'!$G$2:$G$2001,'Hours Log'!$B$2:$B$2001,$A18,'Hours Log'!$A$2:$A$2001,F$5))</f>
        <v/>
      </c>
      <c r="G18" s="18">
        <f>IF($A18="","",SUMIFS('Hours Log'!$G$2:$G$2001,'Hours Log'!$B$2:$B$2001,$A18,'Hours Log'!$A$2:$A$2001,G$5))</f>
        <v/>
      </c>
      <c r="H18" s="18">
        <f>IF($A18="","",SUMIFS('Hours Log'!$G$2:$G$2001,'Hours Log'!$B$2:$B$2001,$A18,'Hours Log'!$A$2:$A$2001,H$5))</f>
        <v/>
      </c>
      <c r="I18" s="14">
        <f>IF($A18="","",SUM(B18:H18))</f>
        <v/>
      </c>
      <c r="K18">
        <f>IF(Sites!A14="","",Sites!A14)</f>
        <v/>
      </c>
      <c r="L18">
        <f>IF(K18="","",COUNTIFS('Hours Log'!$C$2:$C$2001,K18,'Hours Log'!$I$2:$I$2001,$B$3))</f>
        <v/>
      </c>
      <c r="M18" s="18">
        <f>IF(K18="","",SUMIFS('Hours Log'!$G$2:$G$2001,'Hours Log'!$C$2:$C$2001,K18,'Hours Log'!$I$2:$I$2001,$B$3))</f>
        <v/>
      </c>
      <c r="N18" s="10" t="n"/>
      <c r="O18" s="10" t="n"/>
      <c r="P18" s="18">
        <f>IF(OR(K18="",O18=""),"",M18-O18)</f>
        <v/>
      </c>
      <c r="Q18">
        <f>IF(K18="","",IF(AND(N(N18)&gt;0,L18=0),"Jobber visit, no hours logged",IF(AND(L18&gt;0,N18=""),"Enter Jobber visits",IF(AND(L18&gt;0,N(N18)=0),"Hours logged, no Jobber visit",IF(AND(O18&lt;&gt;"",ABS(N(P18))&gt;0.5),"Hours differ from Jobber","")))))</f>
        <v/>
      </c>
    </row>
    <row r="19">
      <c r="A19">
        <f>IF(Staff!A15="","",Staff!A15)</f>
        <v/>
      </c>
      <c r="B19" s="18">
        <f>IF($A19="","",SUMIFS('Hours Log'!$G$2:$G$2001,'Hours Log'!$B$2:$B$2001,$A19,'Hours Log'!$A$2:$A$2001,B$5))</f>
        <v/>
      </c>
      <c r="C19" s="18">
        <f>IF($A19="","",SUMIFS('Hours Log'!$G$2:$G$2001,'Hours Log'!$B$2:$B$2001,$A19,'Hours Log'!$A$2:$A$2001,C$5))</f>
        <v/>
      </c>
      <c r="D19" s="18">
        <f>IF($A19="","",SUMIFS('Hours Log'!$G$2:$G$2001,'Hours Log'!$B$2:$B$2001,$A19,'Hours Log'!$A$2:$A$2001,D$5))</f>
        <v/>
      </c>
      <c r="E19" s="18">
        <f>IF($A19="","",SUMIFS('Hours Log'!$G$2:$G$2001,'Hours Log'!$B$2:$B$2001,$A19,'Hours Log'!$A$2:$A$2001,E$5))</f>
        <v/>
      </c>
      <c r="F19" s="18">
        <f>IF($A19="","",SUMIFS('Hours Log'!$G$2:$G$2001,'Hours Log'!$B$2:$B$2001,$A19,'Hours Log'!$A$2:$A$2001,F$5))</f>
        <v/>
      </c>
      <c r="G19" s="18">
        <f>IF($A19="","",SUMIFS('Hours Log'!$G$2:$G$2001,'Hours Log'!$B$2:$B$2001,$A19,'Hours Log'!$A$2:$A$2001,G$5))</f>
        <v/>
      </c>
      <c r="H19" s="18">
        <f>IF($A19="","",SUMIFS('Hours Log'!$G$2:$G$2001,'Hours Log'!$B$2:$B$2001,$A19,'Hours Log'!$A$2:$A$2001,H$5))</f>
        <v/>
      </c>
      <c r="I19" s="14">
        <f>IF($A19="","",SUM(B19:H19))</f>
        <v/>
      </c>
      <c r="K19">
        <f>IF(Sites!A15="","",Sites!A15)</f>
        <v/>
      </c>
      <c r="L19">
        <f>IF(K19="","",COUNTIFS('Hours Log'!$C$2:$C$2001,K19,'Hours Log'!$I$2:$I$2001,$B$3))</f>
        <v/>
      </c>
      <c r="M19" s="18">
        <f>IF(K19="","",SUMIFS('Hours Log'!$G$2:$G$2001,'Hours Log'!$C$2:$C$2001,K19,'Hours Log'!$I$2:$I$2001,$B$3))</f>
        <v/>
      </c>
      <c r="N19" s="10" t="n"/>
      <c r="O19" s="10" t="n"/>
      <c r="P19" s="18">
        <f>IF(OR(K19="",O19=""),"",M19-O19)</f>
        <v/>
      </c>
      <c r="Q19">
        <f>IF(K19="","",IF(AND(N(N19)&gt;0,L19=0),"Jobber visit, no hours logged",IF(AND(L19&gt;0,N19=""),"Enter Jobber visits",IF(AND(L19&gt;0,N(N19)=0),"Hours logged, no Jobber visit",IF(AND(O19&lt;&gt;"",ABS(N(P19))&gt;0.5),"Hours differ from Jobber","")))))</f>
        <v/>
      </c>
    </row>
    <row r="20">
      <c r="A20">
        <f>IF(Staff!A16="","",Staff!A16)</f>
        <v/>
      </c>
      <c r="B20" s="18">
        <f>IF($A20="","",SUMIFS('Hours Log'!$G$2:$G$2001,'Hours Log'!$B$2:$B$2001,$A20,'Hours Log'!$A$2:$A$2001,B$5))</f>
        <v/>
      </c>
      <c r="C20" s="18">
        <f>IF($A20="","",SUMIFS('Hours Log'!$G$2:$G$2001,'Hours Log'!$B$2:$B$2001,$A20,'Hours Log'!$A$2:$A$2001,C$5))</f>
        <v/>
      </c>
      <c r="D20" s="18">
        <f>IF($A20="","",SUMIFS('Hours Log'!$G$2:$G$2001,'Hours Log'!$B$2:$B$2001,$A20,'Hours Log'!$A$2:$A$2001,D$5))</f>
        <v/>
      </c>
      <c r="E20" s="18">
        <f>IF($A20="","",SUMIFS('Hours Log'!$G$2:$G$2001,'Hours Log'!$B$2:$B$2001,$A20,'Hours Log'!$A$2:$A$2001,E$5))</f>
        <v/>
      </c>
      <c r="F20" s="18">
        <f>IF($A20="","",SUMIFS('Hours Log'!$G$2:$G$2001,'Hours Log'!$B$2:$B$2001,$A20,'Hours Log'!$A$2:$A$2001,F$5))</f>
        <v/>
      </c>
      <c r="G20" s="18">
        <f>IF($A20="","",SUMIFS('Hours Log'!$G$2:$G$2001,'Hours Log'!$B$2:$B$2001,$A20,'Hours Log'!$A$2:$A$2001,G$5))</f>
        <v/>
      </c>
      <c r="H20" s="18">
        <f>IF($A20="","",SUMIFS('Hours Log'!$G$2:$G$2001,'Hours Log'!$B$2:$B$2001,$A20,'Hours Log'!$A$2:$A$2001,H$5))</f>
        <v/>
      </c>
      <c r="I20" s="14">
        <f>IF($A20="","",SUM(B20:H20))</f>
        <v/>
      </c>
      <c r="K20">
        <f>IF(Sites!A16="","",Sites!A16)</f>
        <v/>
      </c>
      <c r="L20">
        <f>IF(K20="","",COUNTIFS('Hours Log'!$C$2:$C$2001,K20,'Hours Log'!$I$2:$I$2001,$B$3))</f>
        <v/>
      </c>
      <c r="M20" s="18">
        <f>IF(K20="","",SUMIFS('Hours Log'!$G$2:$G$2001,'Hours Log'!$C$2:$C$2001,K20,'Hours Log'!$I$2:$I$2001,$B$3))</f>
        <v/>
      </c>
      <c r="N20" s="10" t="n"/>
      <c r="O20" s="10" t="n"/>
      <c r="P20" s="18">
        <f>IF(OR(K20="",O20=""),"",M20-O20)</f>
        <v/>
      </c>
      <c r="Q20">
        <f>IF(K20="","",IF(AND(N(N20)&gt;0,L20=0),"Jobber visit, no hours logged",IF(AND(L20&gt;0,N20=""),"Enter Jobber visits",IF(AND(L20&gt;0,N(N20)=0),"Hours logged, no Jobber visit",IF(AND(O20&lt;&gt;"",ABS(N(P20))&gt;0.5),"Hours differ from Jobber","")))))</f>
        <v/>
      </c>
    </row>
    <row r="21">
      <c r="A21">
        <f>IF(Staff!A17="","",Staff!A17)</f>
        <v/>
      </c>
      <c r="B21" s="18">
        <f>IF($A21="","",SUMIFS('Hours Log'!$G$2:$G$2001,'Hours Log'!$B$2:$B$2001,$A21,'Hours Log'!$A$2:$A$2001,B$5))</f>
        <v/>
      </c>
      <c r="C21" s="18">
        <f>IF($A21="","",SUMIFS('Hours Log'!$G$2:$G$2001,'Hours Log'!$B$2:$B$2001,$A21,'Hours Log'!$A$2:$A$2001,C$5))</f>
        <v/>
      </c>
      <c r="D21" s="18">
        <f>IF($A21="","",SUMIFS('Hours Log'!$G$2:$G$2001,'Hours Log'!$B$2:$B$2001,$A21,'Hours Log'!$A$2:$A$2001,D$5))</f>
        <v/>
      </c>
      <c r="E21" s="18">
        <f>IF($A21="","",SUMIFS('Hours Log'!$G$2:$G$2001,'Hours Log'!$B$2:$B$2001,$A21,'Hours Log'!$A$2:$A$2001,E$5))</f>
        <v/>
      </c>
      <c r="F21" s="18">
        <f>IF($A21="","",SUMIFS('Hours Log'!$G$2:$G$2001,'Hours Log'!$B$2:$B$2001,$A21,'Hours Log'!$A$2:$A$2001,F$5))</f>
        <v/>
      </c>
      <c r="G21" s="18">
        <f>IF($A21="","",SUMIFS('Hours Log'!$G$2:$G$2001,'Hours Log'!$B$2:$B$2001,$A21,'Hours Log'!$A$2:$A$2001,G$5))</f>
        <v/>
      </c>
      <c r="H21" s="18">
        <f>IF($A21="","",SUMIFS('Hours Log'!$G$2:$G$2001,'Hours Log'!$B$2:$B$2001,$A21,'Hours Log'!$A$2:$A$2001,H$5))</f>
        <v/>
      </c>
      <c r="I21" s="14">
        <f>IF($A21="","",SUM(B21:H21))</f>
        <v/>
      </c>
      <c r="K21">
        <f>IF(Sites!A17="","",Sites!A17)</f>
        <v/>
      </c>
      <c r="L21">
        <f>IF(K21="","",COUNTIFS('Hours Log'!$C$2:$C$2001,K21,'Hours Log'!$I$2:$I$2001,$B$3))</f>
        <v/>
      </c>
      <c r="M21" s="18">
        <f>IF(K21="","",SUMIFS('Hours Log'!$G$2:$G$2001,'Hours Log'!$C$2:$C$2001,K21,'Hours Log'!$I$2:$I$2001,$B$3))</f>
        <v/>
      </c>
      <c r="N21" s="10" t="n"/>
      <c r="O21" s="10" t="n"/>
      <c r="P21" s="18">
        <f>IF(OR(K21="",O21=""),"",M21-O21)</f>
        <v/>
      </c>
      <c r="Q21">
        <f>IF(K21="","",IF(AND(N(N21)&gt;0,L21=0),"Jobber visit, no hours logged",IF(AND(L21&gt;0,N21=""),"Enter Jobber visits",IF(AND(L21&gt;0,N(N21)=0),"Hours logged, no Jobber visit",IF(AND(O21&lt;&gt;"",ABS(N(P21))&gt;0.5),"Hours differ from Jobber","")))))</f>
        <v/>
      </c>
    </row>
    <row r="22">
      <c r="A22">
        <f>IF(Staff!A18="","",Staff!A18)</f>
        <v/>
      </c>
      <c r="B22" s="18">
        <f>IF($A22="","",SUMIFS('Hours Log'!$G$2:$G$2001,'Hours Log'!$B$2:$B$2001,$A22,'Hours Log'!$A$2:$A$2001,B$5))</f>
        <v/>
      </c>
      <c r="C22" s="18">
        <f>IF($A22="","",SUMIFS('Hours Log'!$G$2:$G$2001,'Hours Log'!$B$2:$B$2001,$A22,'Hours Log'!$A$2:$A$2001,C$5))</f>
        <v/>
      </c>
      <c r="D22" s="18">
        <f>IF($A22="","",SUMIFS('Hours Log'!$G$2:$G$2001,'Hours Log'!$B$2:$B$2001,$A22,'Hours Log'!$A$2:$A$2001,D$5))</f>
        <v/>
      </c>
      <c r="E22" s="18">
        <f>IF($A22="","",SUMIFS('Hours Log'!$G$2:$G$2001,'Hours Log'!$B$2:$B$2001,$A22,'Hours Log'!$A$2:$A$2001,E$5))</f>
        <v/>
      </c>
      <c r="F22" s="18">
        <f>IF($A22="","",SUMIFS('Hours Log'!$G$2:$G$2001,'Hours Log'!$B$2:$B$2001,$A22,'Hours Log'!$A$2:$A$2001,F$5))</f>
        <v/>
      </c>
      <c r="G22" s="18">
        <f>IF($A22="","",SUMIFS('Hours Log'!$G$2:$G$2001,'Hours Log'!$B$2:$B$2001,$A22,'Hours Log'!$A$2:$A$2001,G$5))</f>
        <v/>
      </c>
      <c r="H22" s="18">
        <f>IF($A22="","",SUMIFS('Hours Log'!$G$2:$G$2001,'Hours Log'!$B$2:$B$2001,$A22,'Hours Log'!$A$2:$A$2001,H$5))</f>
        <v/>
      </c>
      <c r="I22" s="14">
        <f>IF($A22="","",SUM(B22:H22))</f>
        <v/>
      </c>
      <c r="K22">
        <f>IF(Sites!A18="","",Sites!A18)</f>
        <v/>
      </c>
      <c r="L22">
        <f>IF(K22="","",COUNTIFS('Hours Log'!$C$2:$C$2001,K22,'Hours Log'!$I$2:$I$2001,$B$3))</f>
        <v/>
      </c>
      <c r="M22" s="18">
        <f>IF(K22="","",SUMIFS('Hours Log'!$G$2:$G$2001,'Hours Log'!$C$2:$C$2001,K22,'Hours Log'!$I$2:$I$2001,$B$3))</f>
        <v/>
      </c>
      <c r="N22" s="10" t="n"/>
      <c r="O22" s="10" t="n"/>
      <c r="P22" s="18">
        <f>IF(OR(K22="",O22=""),"",M22-O22)</f>
        <v/>
      </c>
      <c r="Q22">
        <f>IF(K22="","",IF(AND(N(N22)&gt;0,L22=0),"Jobber visit, no hours logged",IF(AND(L22&gt;0,N22=""),"Enter Jobber visits",IF(AND(L22&gt;0,N(N22)=0),"Hours logged, no Jobber visit",IF(AND(O22&lt;&gt;"",ABS(N(P22))&gt;0.5),"Hours differ from Jobber","")))))</f>
        <v/>
      </c>
    </row>
    <row r="23">
      <c r="A23">
        <f>IF(Staff!A19="","",Staff!A19)</f>
        <v/>
      </c>
      <c r="B23" s="18">
        <f>IF($A23="","",SUMIFS('Hours Log'!$G$2:$G$2001,'Hours Log'!$B$2:$B$2001,$A23,'Hours Log'!$A$2:$A$2001,B$5))</f>
        <v/>
      </c>
      <c r="C23" s="18">
        <f>IF($A23="","",SUMIFS('Hours Log'!$G$2:$G$2001,'Hours Log'!$B$2:$B$2001,$A23,'Hours Log'!$A$2:$A$2001,C$5))</f>
        <v/>
      </c>
      <c r="D23" s="18">
        <f>IF($A23="","",SUMIFS('Hours Log'!$G$2:$G$2001,'Hours Log'!$B$2:$B$2001,$A23,'Hours Log'!$A$2:$A$2001,D$5))</f>
        <v/>
      </c>
      <c r="E23" s="18">
        <f>IF($A23="","",SUMIFS('Hours Log'!$G$2:$G$2001,'Hours Log'!$B$2:$B$2001,$A23,'Hours Log'!$A$2:$A$2001,E$5))</f>
        <v/>
      </c>
      <c r="F23" s="18">
        <f>IF($A23="","",SUMIFS('Hours Log'!$G$2:$G$2001,'Hours Log'!$B$2:$B$2001,$A23,'Hours Log'!$A$2:$A$2001,F$5))</f>
        <v/>
      </c>
      <c r="G23" s="18">
        <f>IF($A23="","",SUMIFS('Hours Log'!$G$2:$G$2001,'Hours Log'!$B$2:$B$2001,$A23,'Hours Log'!$A$2:$A$2001,G$5))</f>
        <v/>
      </c>
      <c r="H23" s="18">
        <f>IF($A23="","",SUMIFS('Hours Log'!$G$2:$G$2001,'Hours Log'!$B$2:$B$2001,$A23,'Hours Log'!$A$2:$A$2001,H$5))</f>
        <v/>
      </c>
      <c r="I23" s="14">
        <f>IF($A23="","",SUM(B23:H23))</f>
        <v/>
      </c>
      <c r="K23">
        <f>IF(Sites!A19="","",Sites!A19)</f>
        <v/>
      </c>
      <c r="L23">
        <f>IF(K23="","",COUNTIFS('Hours Log'!$C$2:$C$2001,K23,'Hours Log'!$I$2:$I$2001,$B$3))</f>
        <v/>
      </c>
      <c r="M23" s="18">
        <f>IF(K23="","",SUMIFS('Hours Log'!$G$2:$G$2001,'Hours Log'!$C$2:$C$2001,K23,'Hours Log'!$I$2:$I$2001,$B$3))</f>
        <v/>
      </c>
      <c r="N23" s="10" t="n"/>
      <c r="O23" s="10" t="n"/>
      <c r="P23" s="18">
        <f>IF(OR(K23="",O23=""),"",M23-O23)</f>
        <v/>
      </c>
      <c r="Q23">
        <f>IF(K23="","",IF(AND(N(N23)&gt;0,L23=0),"Jobber visit, no hours logged",IF(AND(L23&gt;0,N23=""),"Enter Jobber visits",IF(AND(L23&gt;0,N(N23)=0),"Hours logged, no Jobber visit",IF(AND(O23&lt;&gt;"",ABS(N(P23))&gt;0.5),"Hours differ from Jobber","")))))</f>
        <v/>
      </c>
    </row>
    <row r="24">
      <c r="A24">
        <f>IF(Staff!A20="","",Staff!A20)</f>
        <v/>
      </c>
      <c r="B24" s="18">
        <f>IF($A24="","",SUMIFS('Hours Log'!$G$2:$G$2001,'Hours Log'!$B$2:$B$2001,$A24,'Hours Log'!$A$2:$A$2001,B$5))</f>
        <v/>
      </c>
      <c r="C24" s="18">
        <f>IF($A24="","",SUMIFS('Hours Log'!$G$2:$G$2001,'Hours Log'!$B$2:$B$2001,$A24,'Hours Log'!$A$2:$A$2001,C$5))</f>
        <v/>
      </c>
      <c r="D24" s="18">
        <f>IF($A24="","",SUMIFS('Hours Log'!$G$2:$G$2001,'Hours Log'!$B$2:$B$2001,$A24,'Hours Log'!$A$2:$A$2001,D$5))</f>
        <v/>
      </c>
      <c r="E24" s="18">
        <f>IF($A24="","",SUMIFS('Hours Log'!$G$2:$G$2001,'Hours Log'!$B$2:$B$2001,$A24,'Hours Log'!$A$2:$A$2001,E$5))</f>
        <v/>
      </c>
      <c r="F24" s="18">
        <f>IF($A24="","",SUMIFS('Hours Log'!$G$2:$G$2001,'Hours Log'!$B$2:$B$2001,$A24,'Hours Log'!$A$2:$A$2001,F$5))</f>
        <v/>
      </c>
      <c r="G24" s="18">
        <f>IF($A24="","",SUMIFS('Hours Log'!$G$2:$G$2001,'Hours Log'!$B$2:$B$2001,$A24,'Hours Log'!$A$2:$A$2001,G$5))</f>
        <v/>
      </c>
      <c r="H24" s="18">
        <f>IF($A24="","",SUMIFS('Hours Log'!$G$2:$G$2001,'Hours Log'!$B$2:$B$2001,$A24,'Hours Log'!$A$2:$A$2001,H$5))</f>
        <v/>
      </c>
      <c r="I24" s="14">
        <f>IF($A24="","",SUM(B24:H24))</f>
        <v/>
      </c>
      <c r="K24">
        <f>IF(Sites!A20="","",Sites!A20)</f>
        <v/>
      </c>
      <c r="L24">
        <f>IF(K24="","",COUNTIFS('Hours Log'!$C$2:$C$2001,K24,'Hours Log'!$I$2:$I$2001,$B$3))</f>
        <v/>
      </c>
      <c r="M24" s="18">
        <f>IF(K24="","",SUMIFS('Hours Log'!$G$2:$G$2001,'Hours Log'!$C$2:$C$2001,K24,'Hours Log'!$I$2:$I$2001,$B$3))</f>
        <v/>
      </c>
      <c r="N24" s="10" t="n"/>
      <c r="O24" s="10" t="n"/>
      <c r="P24" s="18">
        <f>IF(OR(K24="",O24=""),"",M24-O24)</f>
        <v/>
      </c>
      <c r="Q24">
        <f>IF(K24="","",IF(AND(N(N24)&gt;0,L24=0),"Jobber visit, no hours logged",IF(AND(L24&gt;0,N24=""),"Enter Jobber visits",IF(AND(L24&gt;0,N(N24)=0),"Hours logged, no Jobber visit",IF(AND(O24&lt;&gt;"",ABS(N(P24))&gt;0.5),"Hours differ from Jobber","")))))</f>
        <v/>
      </c>
    </row>
    <row r="25">
      <c r="A25">
        <f>IF(Staff!A21="","",Staff!A21)</f>
        <v/>
      </c>
      <c r="B25" s="18">
        <f>IF($A25="","",SUMIFS('Hours Log'!$G$2:$G$2001,'Hours Log'!$B$2:$B$2001,$A25,'Hours Log'!$A$2:$A$2001,B$5))</f>
        <v/>
      </c>
      <c r="C25" s="18">
        <f>IF($A25="","",SUMIFS('Hours Log'!$G$2:$G$2001,'Hours Log'!$B$2:$B$2001,$A25,'Hours Log'!$A$2:$A$2001,C$5))</f>
        <v/>
      </c>
      <c r="D25" s="18">
        <f>IF($A25="","",SUMIFS('Hours Log'!$G$2:$G$2001,'Hours Log'!$B$2:$B$2001,$A25,'Hours Log'!$A$2:$A$2001,D$5))</f>
        <v/>
      </c>
      <c r="E25" s="18">
        <f>IF($A25="","",SUMIFS('Hours Log'!$G$2:$G$2001,'Hours Log'!$B$2:$B$2001,$A25,'Hours Log'!$A$2:$A$2001,E$5))</f>
        <v/>
      </c>
      <c r="F25" s="18">
        <f>IF($A25="","",SUMIFS('Hours Log'!$G$2:$G$2001,'Hours Log'!$B$2:$B$2001,$A25,'Hours Log'!$A$2:$A$2001,F$5))</f>
        <v/>
      </c>
      <c r="G25" s="18">
        <f>IF($A25="","",SUMIFS('Hours Log'!$G$2:$G$2001,'Hours Log'!$B$2:$B$2001,$A25,'Hours Log'!$A$2:$A$2001,G$5))</f>
        <v/>
      </c>
      <c r="H25" s="18">
        <f>IF($A25="","",SUMIFS('Hours Log'!$G$2:$G$2001,'Hours Log'!$B$2:$B$2001,$A25,'Hours Log'!$A$2:$A$2001,H$5))</f>
        <v/>
      </c>
      <c r="I25" s="14">
        <f>IF($A25="","",SUM(B25:H25))</f>
        <v/>
      </c>
      <c r="K25">
        <f>IF(Sites!A21="","",Sites!A21)</f>
        <v/>
      </c>
      <c r="L25">
        <f>IF(K25="","",COUNTIFS('Hours Log'!$C$2:$C$2001,K25,'Hours Log'!$I$2:$I$2001,$B$3))</f>
        <v/>
      </c>
      <c r="M25" s="18">
        <f>IF(K25="","",SUMIFS('Hours Log'!$G$2:$G$2001,'Hours Log'!$C$2:$C$2001,K25,'Hours Log'!$I$2:$I$2001,$B$3))</f>
        <v/>
      </c>
      <c r="N25" s="10" t="n"/>
      <c r="O25" s="10" t="n"/>
      <c r="P25" s="18">
        <f>IF(OR(K25="",O25=""),"",M25-O25)</f>
        <v/>
      </c>
      <c r="Q25">
        <f>IF(K25="","",IF(AND(N(N25)&gt;0,L25=0),"Jobber visit, no hours logged",IF(AND(L25&gt;0,N25=""),"Enter Jobber visits",IF(AND(L25&gt;0,N(N25)=0),"Hours logged, no Jobber visit",IF(AND(O25&lt;&gt;"",ABS(N(P25))&gt;0.5),"Hours differ from Jobber","")))))</f>
        <v/>
      </c>
    </row>
    <row r="26">
      <c r="A26">
        <f>IF(Staff!A22="","",Staff!A22)</f>
        <v/>
      </c>
      <c r="B26" s="18">
        <f>IF($A26="","",SUMIFS('Hours Log'!$G$2:$G$2001,'Hours Log'!$B$2:$B$2001,$A26,'Hours Log'!$A$2:$A$2001,B$5))</f>
        <v/>
      </c>
      <c r="C26" s="18">
        <f>IF($A26="","",SUMIFS('Hours Log'!$G$2:$G$2001,'Hours Log'!$B$2:$B$2001,$A26,'Hours Log'!$A$2:$A$2001,C$5))</f>
        <v/>
      </c>
      <c r="D26" s="18">
        <f>IF($A26="","",SUMIFS('Hours Log'!$G$2:$G$2001,'Hours Log'!$B$2:$B$2001,$A26,'Hours Log'!$A$2:$A$2001,D$5))</f>
        <v/>
      </c>
      <c r="E26" s="18">
        <f>IF($A26="","",SUMIFS('Hours Log'!$G$2:$G$2001,'Hours Log'!$B$2:$B$2001,$A26,'Hours Log'!$A$2:$A$2001,E$5))</f>
        <v/>
      </c>
      <c r="F26" s="18">
        <f>IF($A26="","",SUMIFS('Hours Log'!$G$2:$G$2001,'Hours Log'!$B$2:$B$2001,$A26,'Hours Log'!$A$2:$A$2001,F$5))</f>
        <v/>
      </c>
      <c r="G26" s="18">
        <f>IF($A26="","",SUMIFS('Hours Log'!$G$2:$G$2001,'Hours Log'!$B$2:$B$2001,$A26,'Hours Log'!$A$2:$A$2001,G$5))</f>
        <v/>
      </c>
      <c r="H26" s="18">
        <f>IF($A26="","",SUMIFS('Hours Log'!$G$2:$G$2001,'Hours Log'!$B$2:$B$2001,$A26,'Hours Log'!$A$2:$A$2001,H$5))</f>
        <v/>
      </c>
      <c r="I26" s="14">
        <f>IF($A26="","",SUM(B26:H26))</f>
        <v/>
      </c>
      <c r="K26">
        <f>IF(Sites!A22="","",Sites!A22)</f>
        <v/>
      </c>
      <c r="L26">
        <f>IF(K26="","",COUNTIFS('Hours Log'!$C$2:$C$2001,K26,'Hours Log'!$I$2:$I$2001,$B$3))</f>
        <v/>
      </c>
      <c r="M26" s="18">
        <f>IF(K26="","",SUMIFS('Hours Log'!$G$2:$G$2001,'Hours Log'!$C$2:$C$2001,K26,'Hours Log'!$I$2:$I$2001,$B$3))</f>
        <v/>
      </c>
      <c r="N26" s="10" t="n"/>
      <c r="O26" s="10" t="n"/>
      <c r="P26" s="18">
        <f>IF(OR(K26="",O26=""),"",M26-O26)</f>
        <v/>
      </c>
      <c r="Q26">
        <f>IF(K26="","",IF(AND(N(N26)&gt;0,L26=0),"Jobber visit, no hours logged",IF(AND(L26&gt;0,N26=""),"Enter Jobber visits",IF(AND(L26&gt;0,N(N26)=0),"Hours logged, no Jobber visit",IF(AND(O26&lt;&gt;"",ABS(N(P26))&gt;0.5),"Hours differ from Jobber","")))))</f>
        <v/>
      </c>
    </row>
    <row r="27">
      <c r="A27">
        <f>IF(Staff!A23="","",Staff!A23)</f>
        <v/>
      </c>
      <c r="B27" s="18">
        <f>IF($A27="","",SUMIFS('Hours Log'!$G$2:$G$2001,'Hours Log'!$B$2:$B$2001,$A27,'Hours Log'!$A$2:$A$2001,B$5))</f>
        <v/>
      </c>
      <c r="C27" s="18">
        <f>IF($A27="","",SUMIFS('Hours Log'!$G$2:$G$2001,'Hours Log'!$B$2:$B$2001,$A27,'Hours Log'!$A$2:$A$2001,C$5))</f>
        <v/>
      </c>
      <c r="D27" s="18">
        <f>IF($A27="","",SUMIFS('Hours Log'!$G$2:$G$2001,'Hours Log'!$B$2:$B$2001,$A27,'Hours Log'!$A$2:$A$2001,D$5))</f>
        <v/>
      </c>
      <c r="E27" s="18">
        <f>IF($A27="","",SUMIFS('Hours Log'!$G$2:$G$2001,'Hours Log'!$B$2:$B$2001,$A27,'Hours Log'!$A$2:$A$2001,E$5))</f>
        <v/>
      </c>
      <c r="F27" s="18">
        <f>IF($A27="","",SUMIFS('Hours Log'!$G$2:$G$2001,'Hours Log'!$B$2:$B$2001,$A27,'Hours Log'!$A$2:$A$2001,F$5))</f>
        <v/>
      </c>
      <c r="G27" s="18">
        <f>IF($A27="","",SUMIFS('Hours Log'!$G$2:$G$2001,'Hours Log'!$B$2:$B$2001,$A27,'Hours Log'!$A$2:$A$2001,G$5))</f>
        <v/>
      </c>
      <c r="H27" s="18">
        <f>IF($A27="","",SUMIFS('Hours Log'!$G$2:$G$2001,'Hours Log'!$B$2:$B$2001,$A27,'Hours Log'!$A$2:$A$2001,H$5))</f>
        <v/>
      </c>
      <c r="I27" s="14">
        <f>IF($A27="","",SUM(B27:H27))</f>
        <v/>
      </c>
      <c r="K27">
        <f>IF(Sites!A23="","",Sites!A23)</f>
        <v/>
      </c>
      <c r="L27">
        <f>IF(K27="","",COUNTIFS('Hours Log'!$C$2:$C$2001,K27,'Hours Log'!$I$2:$I$2001,$B$3))</f>
        <v/>
      </c>
      <c r="M27" s="18">
        <f>IF(K27="","",SUMIFS('Hours Log'!$G$2:$G$2001,'Hours Log'!$C$2:$C$2001,K27,'Hours Log'!$I$2:$I$2001,$B$3))</f>
        <v/>
      </c>
      <c r="N27" s="10" t="n"/>
      <c r="O27" s="10" t="n"/>
      <c r="P27" s="18">
        <f>IF(OR(K27="",O27=""),"",M27-O27)</f>
        <v/>
      </c>
      <c r="Q27">
        <f>IF(K27="","",IF(AND(N(N27)&gt;0,L27=0),"Jobber visit, no hours logged",IF(AND(L27&gt;0,N27=""),"Enter Jobber visits",IF(AND(L27&gt;0,N(N27)=0),"Hours logged, no Jobber visit",IF(AND(O27&lt;&gt;"",ABS(N(P27))&gt;0.5),"Hours differ from Jobber","")))))</f>
        <v/>
      </c>
    </row>
    <row r="28">
      <c r="A28">
        <f>IF(Staff!A24="","",Staff!A24)</f>
        <v/>
      </c>
      <c r="B28" s="18">
        <f>IF($A28="","",SUMIFS('Hours Log'!$G$2:$G$2001,'Hours Log'!$B$2:$B$2001,$A28,'Hours Log'!$A$2:$A$2001,B$5))</f>
        <v/>
      </c>
      <c r="C28" s="18">
        <f>IF($A28="","",SUMIFS('Hours Log'!$G$2:$G$2001,'Hours Log'!$B$2:$B$2001,$A28,'Hours Log'!$A$2:$A$2001,C$5))</f>
        <v/>
      </c>
      <c r="D28" s="18">
        <f>IF($A28="","",SUMIFS('Hours Log'!$G$2:$G$2001,'Hours Log'!$B$2:$B$2001,$A28,'Hours Log'!$A$2:$A$2001,D$5))</f>
        <v/>
      </c>
      <c r="E28" s="18">
        <f>IF($A28="","",SUMIFS('Hours Log'!$G$2:$G$2001,'Hours Log'!$B$2:$B$2001,$A28,'Hours Log'!$A$2:$A$2001,E$5))</f>
        <v/>
      </c>
      <c r="F28" s="18">
        <f>IF($A28="","",SUMIFS('Hours Log'!$G$2:$G$2001,'Hours Log'!$B$2:$B$2001,$A28,'Hours Log'!$A$2:$A$2001,F$5))</f>
        <v/>
      </c>
      <c r="G28" s="18">
        <f>IF($A28="","",SUMIFS('Hours Log'!$G$2:$G$2001,'Hours Log'!$B$2:$B$2001,$A28,'Hours Log'!$A$2:$A$2001,G$5))</f>
        <v/>
      </c>
      <c r="H28" s="18">
        <f>IF($A28="","",SUMIFS('Hours Log'!$G$2:$G$2001,'Hours Log'!$B$2:$B$2001,$A28,'Hours Log'!$A$2:$A$2001,H$5))</f>
        <v/>
      </c>
      <c r="I28" s="14">
        <f>IF($A28="","",SUM(B28:H28))</f>
        <v/>
      </c>
      <c r="K28">
        <f>IF(Sites!A24="","",Sites!A24)</f>
        <v/>
      </c>
      <c r="L28">
        <f>IF(K28="","",COUNTIFS('Hours Log'!$C$2:$C$2001,K28,'Hours Log'!$I$2:$I$2001,$B$3))</f>
        <v/>
      </c>
      <c r="M28" s="18">
        <f>IF(K28="","",SUMIFS('Hours Log'!$G$2:$G$2001,'Hours Log'!$C$2:$C$2001,K28,'Hours Log'!$I$2:$I$2001,$B$3))</f>
        <v/>
      </c>
      <c r="N28" s="10" t="n"/>
      <c r="O28" s="10" t="n"/>
      <c r="P28" s="18">
        <f>IF(OR(K28="",O28=""),"",M28-O28)</f>
        <v/>
      </c>
      <c r="Q28">
        <f>IF(K28="","",IF(AND(N(N28)&gt;0,L28=0),"Jobber visit, no hours logged",IF(AND(L28&gt;0,N28=""),"Enter Jobber visits",IF(AND(L28&gt;0,N(N28)=0),"Hours logged, no Jobber visit",IF(AND(O28&lt;&gt;"",ABS(N(P28))&gt;0.5),"Hours differ from Jobber","")))))</f>
        <v/>
      </c>
    </row>
    <row r="29">
      <c r="A29">
        <f>IF(Staff!A25="","",Staff!A25)</f>
        <v/>
      </c>
      <c r="B29" s="18">
        <f>IF($A29="","",SUMIFS('Hours Log'!$G$2:$G$2001,'Hours Log'!$B$2:$B$2001,$A29,'Hours Log'!$A$2:$A$2001,B$5))</f>
        <v/>
      </c>
      <c r="C29" s="18">
        <f>IF($A29="","",SUMIFS('Hours Log'!$G$2:$G$2001,'Hours Log'!$B$2:$B$2001,$A29,'Hours Log'!$A$2:$A$2001,C$5))</f>
        <v/>
      </c>
      <c r="D29" s="18">
        <f>IF($A29="","",SUMIFS('Hours Log'!$G$2:$G$2001,'Hours Log'!$B$2:$B$2001,$A29,'Hours Log'!$A$2:$A$2001,D$5))</f>
        <v/>
      </c>
      <c r="E29" s="18">
        <f>IF($A29="","",SUMIFS('Hours Log'!$G$2:$G$2001,'Hours Log'!$B$2:$B$2001,$A29,'Hours Log'!$A$2:$A$2001,E$5))</f>
        <v/>
      </c>
      <c r="F29" s="18">
        <f>IF($A29="","",SUMIFS('Hours Log'!$G$2:$G$2001,'Hours Log'!$B$2:$B$2001,$A29,'Hours Log'!$A$2:$A$2001,F$5))</f>
        <v/>
      </c>
      <c r="G29" s="18">
        <f>IF($A29="","",SUMIFS('Hours Log'!$G$2:$G$2001,'Hours Log'!$B$2:$B$2001,$A29,'Hours Log'!$A$2:$A$2001,G$5))</f>
        <v/>
      </c>
      <c r="H29" s="18">
        <f>IF($A29="","",SUMIFS('Hours Log'!$G$2:$G$2001,'Hours Log'!$B$2:$B$2001,$A29,'Hours Log'!$A$2:$A$2001,H$5))</f>
        <v/>
      </c>
      <c r="I29" s="14">
        <f>IF($A29="","",SUM(B29:H29))</f>
        <v/>
      </c>
      <c r="K29">
        <f>IF(Sites!A25="","",Sites!A25)</f>
        <v/>
      </c>
      <c r="L29">
        <f>IF(K29="","",COUNTIFS('Hours Log'!$C$2:$C$2001,K29,'Hours Log'!$I$2:$I$2001,$B$3))</f>
        <v/>
      </c>
      <c r="M29" s="18">
        <f>IF(K29="","",SUMIFS('Hours Log'!$G$2:$G$2001,'Hours Log'!$C$2:$C$2001,K29,'Hours Log'!$I$2:$I$2001,$B$3))</f>
        <v/>
      </c>
      <c r="N29" s="10" t="n"/>
      <c r="O29" s="10" t="n"/>
      <c r="P29" s="18">
        <f>IF(OR(K29="",O29=""),"",M29-O29)</f>
        <v/>
      </c>
      <c r="Q29">
        <f>IF(K29="","",IF(AND(N(N29)&gt;0,L29=0),"Jobber visit, no hours logged",IF(AND(L29&gt;0,N29=""),"Enter Jobber visits",IF(AND(L29&gt;0,N(N29)=0),"Hours logged, no Jobber visit",IF(AND(O29&lt;&gt;"",ABS(N(P29))&gt;0.5),"Hours differ from Jobber","")))))</f>
        <v/>
      </c>
    </row>
    <row r="30">
      <c r="A30">
        <f>IF(Staff!A26="","",Staff!A26)</f>
        <v/>
      </c>
      <c r="B30" s="18">
        <f>IF($A30="","",SUMIFS('Hours Log'!$G$2:$G$2001,'Hours Log'!$B$2:$B$2001,$A30,'Hours Log'!$A$2:$A$2001,B$5))</f>
        <v/>
      </c>
      <c r="C30" s="18">
        <f>IF($A30="","",SUMIFS('Hours Log'!$G$2:$G$2001,'Hours Log'!$B$2:$B$2001,$A30,'Hours Log'!$A$2:$A$2001,C$5))</f>
        <v/>
      </c>
      <c r="D30" s="18">
        <f>IF($A30="","",SUMIFS('Hours Log'!$G$2:$G$2001,'Hours Log'!$B$2:$B$2001,$A30,'Hours Log'!$A$2:$A$2001,D$5))</f>
        <v/>
      </c>
      <c r="E30" s="18">
        <f>IF($A30="","",SUMIFS('Hours Log'!$G$2:$G$2001,'Hours Log'!$B$2:$B$2001,$A30,'Hours Log'!$A$2:$A$2001,E$5))</f>
        <v/>
      </c>
      <c r="F30" s="18">
        <f>IF($A30="","",SUMIFS('Hours Log'!$G$2:$G$2001,'Hours Log'!$B$2:$B$2001,$A30,'Hours Log'!$A$2:$A$2001,F$5))</f>
        <v/>
      </c>
      <c r="G30" s="18">
        <f>IF($A30="","",SUMIFS('Hours Log'!$G$2:$G$2001,'Hours Log'!$B$2:$B$2001,$A30,'Hours Log'!$A$2:$A$2001,G$5))</f>
        <v/>
      </c>
      <c r="H30" s="18">
        <f>IF($A30="","",SUMIFS('Hours Log'!$G$2:$G$2001,'Hours Log'!$B$2:$B$2001,$A30,'Hours Log'!$A$2:$A$2001,H$5))</f>
        <v/>
      </c>
      <c r="I30" s="14">
        <f>IF($A30="","",SUM(B30:H30))</f>
        <v/>
      </c>
      <c r="K30">
        <f>IF(Sites!A26="","",Sites!A26)</f>
        <v/>
      </c>
      <c r="L30">
        <f>IF(K30="","",COUNTIFS('Hours Log'!$C$2:$C$2001,K30,'Hours Log'!$I$2:$I$2001,$B$3))</f>
        <v/>
      </c>
      <c r="M30" s="18">
        <f>IF(K30="","",SUMIFS('Hours Log'!$G$2:$G$2001,'Hours Log'!$C$2:$C$2001,K30,'Hours Log'!$I$2:$I$2001,$B$3))</f>
        <v/>
      </c>
      <c r="N30" s="10" t="n"/>
      <c r="O30" s="10" t="n"/>
      <c r="P30" s="18">
        <f>IF(OR(K30="",O30=""),"",M30-O30)</f>
        <v/>
      </c>
      <c r="Q30">
        <f>IF(K30="","",IF(AND(N(N30)&gt;0,L30=0),"Jobber visit, no hours logged",IF(AND(L30&gt;0,N30=""),"Enter Jobber visits",IF(AND(L30&gt;0,N(N30)=0),"Hours logged, no Jobber visit",IF(AND(O30&lt;&gt;"",ABS(N(P30))&gt;0.5),"Hours differ from Jobber","")))))</f>
        <v/>
      </c>
    </row>
    <row r="31">
      <c r="A31">
        <f>IF(Staff!A27="","",Staff!A27)</f>
        <v/>
      </c>
      <c r="B31" s="18">
        <f>IF($A31="","",SUMIFS('Hours Log'!$G$2:$G$2001,'Hours Log'!$B$2:$B$2001,$A31,'Hours Log'!$A$2:$A$2001,B$5))</f>
        <v/>
      </c>
      <c r="C31" s="18">
        <f>IF($A31="","",SUMIFS('Hours Log'!$G$2:$G$2001,'Hours Log'!$B$2:$B$2001,$A31,'Hours Log'!$A$2:$A$2001,C$5))</f>
        <v/>
      </c>
      <c r="D31" s="18">
        <f>IF($A31="","",SUMIFS('Hours Log'!$G$2:$G$2001,'Hours Log'!$B$2:$B$2001,$A31,'Hours Log'!$A$2:$A$2001,D$5))</f>
        <v/>
      </c>
      <c r="E31" s="18">
        <f>IF($A31="","",SUMIFS('Hours Log'!$G$2:$G$2001,'Hours Log'!$B$2:$B$2001,$A31,'Hours Log'!$A$2:$A$2001,E$5))</f>
        <v/>
      </c>
      <c r="F31" s="18">
        <f>IF($A31="","",SUMIFS('Hours Log'!$G$2:$G$2001,'Hours Log'!$B$2:$B$2001,$A31,'Hours Log'!$A$2:$A$2001,F$5))</f>
        <v/>
      </c>
      <c r="G31" s="18">
        <f>IF($A31="","",SUMIFS('Hours Log'!$G$2:$G$2001,'Hours Log'!$B$2:$B$2001,$A31,'Hours Log'!$A$2:$A$2001,G$5))</f>
        <v/>
      </c>
      <c r="H31" s="18">
        <f>IF($A31="","",SUMIFS('Hours Log'!$G$2:$G$2001,'Hours Log'!$B$2:$B$2001,$A31,'Hours Log'!$A$2:$A$2001,H$5))</f>
        <v/>
      </c>
      <c r="I31" s="14">
        <f>IF($A31="","",SUM(B31:H31))</f>
        <v/>
      </c>
      <c r="K31">
        <f>IF(Sites!A27="","",Sites!A27)</f>
        <v/>
      </c>
      <c r="L31">
        <f>IF(K31="","",COUNTIFS('Hours Log'!$C$2:$C$2001,K31,'Hours Log'!$I$2:$I$2001,$B$3))</f>
        <v/>
      </c>
      <c r="M31" s="18">
        <f>IF(K31="","",SUMIFS('Hours Log'!$G$2:$G$2001,'Hours Log'!$C$2:$C$2001,K31,'Hours Log'!$I$2:$I$2001,$B$3))</f>
        <v/>
      </c>
      <c r="N31" s="10" t="n"/>
      <c r="O31" s="10" t="n"/>
      <c r="P31" s="18">
        <f>IF(OR(K31="",O31=""),"",M31-O31)</f>
        <v/>
      </c>
      <c r="Q31">
        <f>IF(K31="","",IF(AND(N(N31)&gt;0,L31=0),"Jobber visit, no hours logged",IF(AND(L31&gt;0,N31=""),"Enter Jobber visits",IF(AND(L31&gt;0,N(N31)=0),"Hours logged, no Jobber visit",IF(AND(O31&lt;&gt;"",ABS(N(P31))&gt;0.5),"Hours differ from Jobber","")))))</f>
        <v/>
      </c>
    </row>
    <row r="32">
      <c r="A32">
        <f>IF(Staff!A28="","",Staff!A28)</f>
        <v/>
      </c>
      <c r="B32" s="18">
        <f>IF($A32="","",SUMIFS('Hours Log'!$G$2:$G$2001,'Hours Log'!$B$2:$B$2001,$A32,'Hours Log'!$A$2:$A$2001,B$5))</f>
        <v/>
      </c>
      <c r="C32" s="18">
        <f>IF($A32="","",SUMIFS('Hours Log'!$G$2:$G$2001,'Hours Log'!$B$2:$B$2001,$A32,'Hours Log'!$A$2:$A$2001,C$5))</f>
        <v/>
      </c>
      <c r="D32" s="18">
        <f>IF($A32="","",SUMIFS('Hours Log'!$G$2:$G$2001,'Hours Log'!$B$2:$B$2001,$A32,'Hours Log'!$A$2:$A$2001,D$5))</f>
        <v/>
      </c>
      <c r="E32" s="18">
        <f>IF($A32="","",SUMIFS('Hours Log'!$G$2:$G$2001,'Hours Log'!$B$2:$B$2001,$A32,'Hours Log'!$A$2:$A$2001,E$5))</f>
        <v/>
      </c>
      <c r="F32" s="18">
        <f>IF($A32="","",SUMIFS('Hours Log'!$G$2:$G$2001,'Hours Log'!$B$2:$B$2001,$A32,'Hours Log'!$A$2:$A$2001,F$5))</f>
        <v/>
      </c>
      <c r="G32" s="18">
        <f>IF($A32="","",SUMIFS('Hours Log'!$G$2:$G$2001,'Hours Log'!$B$2:$B$2001,$A32,'Hours Log'!$A$2:$A$2001,G$5))</f>
        <v/>
      </c>
      <c r="H32" s="18">
        <f>IF($A32="","",SUMIFS('Hours Log'!$G$2:$G$2001,'Hours Log'!$B$2:$B$2001,$A32,'Hours Log'!$A$2:$A$2001,H$5))</f>
        <v/>
      </c>
      <c r="I32" s="14">
        <f>IF($A32="","",SUM(B32:H32))</f>
        <v/>
      </c>
      <c r="K32">
        <f>IF(Sites!A28="","",Sites!A28)</f>
        <v/>
      </c>
      <c r="L32">
        <f>IF(K32="","",COUNTIFS('Hours Log'!$C$2:$C$2001,K32,'Hours Log'!$I$2:$I$2001,$B$3))</f>
        <v/>
      </c>
      <c r="M32" s="18">
        <f>IF(K32="","",SUMIFS('Hours Log'!$G$2:$G$2001,'Hours Log'!$C$2:$C$2001,K32,'Hours Log'!$I$2:$I$2001,$B$3))</f>
        <v/>
      </c>
      <c r="N32" s="10" t="n"/>
      <c r="O32" s="10" t="n"/>
      <c r="P32" s="18">
        <f>IF(OR(K32="",O32=""),"",M32-O32)</f>
        <v/>
      </c>
      <c r="Q32">
        <f>IF(K32="","",IF(AND(N(N32)&gt;0,L32=0),"Jobber visit, no hours logged",IF(AND(L32&gt;0,N32=""),"Enter Jobber visits",IF(AND(L32&gt;0,N(N32)=0),"Hours logged, no Jobber visit",IF(AND(O32&lt;&gt;"",ABS(N(P32))&gt;0.5),"Hours differ from Jobber","")))))</f>
        <v/>
      </c>
    </row>
    <row r="33">
      <c r="A33">
        <f>IF(Staff!A29="","",Staff!A29)</f>
        <v/>
      </c>
      <c r="B33" s="18">
        <f>IF($A33="","",SUMIFS('Hours Log'!$G$2:$G$2001,'Hours Log'!$B$2:$B$2001,$A33,'Hours Log'!$A$2:$A$2001,B$5))</f>
        <v/>
      </c>
      <c r="C33" s="18">
        <f>IF($A33="","",SUMIFS('Hours Log'!$G$2:$G$2001,'Hours Log'!$B$2:$B$2001,$A33,'Hours Log'!$A$2:$A$2001,C$5))</f>
        <v/>
      </c>
      <c r="D33" s="18">
        <f>IF($A33="","",SUMIFS('Hours Log'!$G$2:$G$2001,'Hours Log'!$B$2:$B$2001,$A33,'Hours Log'!$A$2:$A$2001,D$5))</f>
        <v/>
      </c>
      <c r="E33" s="18">
        <f>IF($A33="","",SUMIFS('Hours Log'!$G$2:$G$2001,'Hours Log'!$B$2:$B$2001,$A33,'Hours Log'!$A$2:$A$2001,E$5))</f>
        <v/>
      </c>
      <c r="F33" s="18">
        <f>IF($A33="","",SUMIFS('Hours Log'!$G$2:$G$2001,'Hours Log'!$B$2:$B$2001,$A33,'Hours Log'!$A$2:$A$2001,F$5))</f>
        <v/>
      </c>
      <c r="G33" s="18">
        <f>IF($A33="","",SUMIFS('Hours Log'!$G$2:$G$2001,'Hours Log'!$B$2:$B$2001,$A33,'Hours Log'!$A$2:$A$2001,G$5))</f>
        <v/>
      </c>
      <c r="H33" s="18">
        <f>IF($A33="","",SUMIFS('Hours Log'!$G$2:$G$2001,'Hours Log'!$B$2:$B$2001,$A33,'Hours Log'!$A$2:$A$2001,H$5))</f>
        <v/>
      </c>
      <c r="I33" s="14">
        <f>IF($A33="","",SUM(B33:H33))</f>
        <v/>
      </c>
      <c r="K33">
        <f>IF(Sites!A29="","",Sites!A29)</f>
        <v/>
      </c>
      <c r="L33">
        <f>IF(K33="","",COUNTIFS('Hours Log'!$C$2:$C$2001,K33,'Hours Log'!$I$2:$I$2001,$B$3))</f>
        <v/>
      </c>
      <c r="M33" s="18">
        <f>IF(K33="","",SUMIFS('Hours Log'!$G$2:$G$2001,'Hours Log'!$C$2:$C$2001,K33,'Hours Log'!$I$2:$I$2001,$B$3))</f>
        <v/>
      </c>
      <c r="N33" s="10" t="n"/>
      <c r="O33" s="10" t="n"/>
      <c r="P33" s="18">
        <f>IF(OR(K33="",O33=""),"",M33-O33)</f>
        <v/>
      </c>
      <c r="Q33">
        <f>IF(K33="","",IF(AND(N(N33)&gt;0,L33=0),"Jobber visit, no hours logged",IF(AND(L33&gt;0,N33=""),"Enter Jobber visits",IF(AND(L33&gt;0,N(N33)=0),"Hours logged, no Jobber visit",IF(AND(O33&lt;&gt;"",ABS(N(P33))&gt;0.5),"Hours differ from Jobber","")))))</f>
        <v/>
      </c>
    </row>
    <row r="34">
      <c r="A34">
        <f>IF(Staff!A30="","",Staff!A30)</f>
        <v/>
      </c>
      <c r="B34" s="18">
        <f>IF($A34="","",SUMIFS('Hours Log'!$G$2:$G$2001,'Hours Log'!$B$2:$B$2001,$A34,'Hours Log'!$A$2:$A$2001,B$5))</f>
        <v/>
      </c>
      <c r="C34" s="18">
        <f>IF($A34="","",SUMIFS('Hours Log'!$G$2:$G$2001,'Hours Log'!$B$2:$B$2001,$A34,'Hours Log'!$A$2:$A$2001,C$5))</f>
        <v/>
      </c>
      <c r="D34" s="18">
        <f>IF($A34="","",SUMIFS('Hours Log'!$G$2:$G$2001,'Hours Log'!$B$2:$B$2001,$A34,'Hours Log'!$A$2:$A$2001,D$5))</f>
        <v/>
      </c>
      <c r="E34" s="18">
        <f>IF($A34="","",SUMIFS('Hours Log'!$G$2:$G$2001,'Hours Log'!$B$2:$B$2001,$A34,'Hours Log'!$A$2:$A$2001,E$5))</f>
        <v/>
      </c>
      <c r="F34" s="18">
        <f>IF($A34="","",SUMIFS('Hours Log'!$G$2:$G$2001,'Hours Log'!$B$2:$B$2001,$A34,'Hours Log'!$A$2:$A$2001,F$5))</f>
        <v/>
      </c>
      <c r="G34" s="18">
        <f>IF($A34="","",SUMIFS('Hours Log'!$G$2:$G$2001,'Hours Log'!$B$2:$B$2001,$A34,'Hours Log'!$A$2:$A$2001,G$5))</f>
        <v/>
      </c>
      <c r="H34" s="18">
        <f>IF($A34="","",SUMIFS('Hours Log'!$G$2:$G$2001,'Hours Log'!$B$2:$B$2001,$A34,'Hours Log'!$A$2:$A$2001,H$5))</f>
        <v/>
      </c>
      <c r="I34" s="14">
        <f>IF($A34="","",SUM(B34:H34))</f>
        <v/>
      </c>
      <c r="K34">
        <f>IF(Sites!A30="","",Sites!A30)</f>
        <v/>
      </c>
      <c r="L34">
        <f>IF(K34="","",COUNTIFS('Hours Log'!$C$2:$C$2001,K34,'Hours Log'!$I$2:$I$2001,$B$3))</f>
        <v/>
      </c>
      <c r="M34" s="18">
        <f>IF(K34="","",SUMIFS('Hours Log'!$G$2:$G$2001,'Hours Log'!$C$2:$C$2001,K34,'Hours Log'!$I$2:$I$2001,$B$3))</f>
        <v/>
      </c>
      <c r="N34" s="10" t="n"/>
      <c r="O34" s="10" t="n"/>
      <c r="P34" s="18">
        <f>IF(OR(K34="",O34=""),"",M34-O34)</f>
        <v/>
      </c>
      <c r="Q34">
        <f>IF(K34="","",IF(AND(N(N34)&gt;0,L34=0),"Jobber visit, no hours logged",IF(AND(L34&gt;0,N34=""),"Enter Jobber visits",IF(AND(L34&gt;0,N(N34)=0),"Hours logged, no Jobber visit",IF(AND(O34&lt;&gt;"",ABS(N(P34))&gt;0.5),"Hours differ from Jobber","")))))</f>
        <v/>
      </c>
    </row>
    <row r="35">
      <c r="A35">
        <f>IF(Staff!A31="","",Staff!A31)</f>
        <v/>
      </c>
      <c r="B35" s="18">
        <f>IF($A35="","",SUMIFS('Hours Log'!$G$2:$G$2001,'Hours Log'!$B$2:$B$2001,$A35,'Hours Log'!$A$2:$A$2001,B$5))</f>
        <v/>
      </c>
      <c r="C35" s="18">
        <f>IF($A35="","",SUMIFS('Hours Log'!$G$2:$G$2001,'Hours Log'!$B$2:$B$2001,$A35,'Hours Log'!$A$2:$A$2001,C$5))</f>
        <v/>
      </c>
      <c r="D35" s="18">
        <f>IF($A35="","",SUMIFS('Hours Log'!$G$2:$G$2001,'Hours Log'!$B$2:$B$2001,$A35,'Hours Log'!$A$2:$A$2001,D$5))</f>
        <v/>
      </c>
      <c r="E35" s="18">
        <f>IF($A35="","",SUMIFS('Hours Log'!$G$2:$G$2001,'Hours Log'!$B$2:$B$2001,$A35,'Hours Log'!$A$2:$A$2001,E$5))</f>
        <v/>
      </c>
      <c r="F35" s="18">
        <f>IF($A35="","",SUMIFS('Hours Log'!$G$2:$G$2001,'Hours Log'!$B$2:$B$2001,$A35,'Hours Log'!$A$2:$A$2001,F$5))</f>
        <v/>
      </c>
      <c r="G35" s="18">
        <f>IF($A35="","",SUMIFS('Hours Log'!$G$2:$G$2001,'Hours Log'!$B$2:$B$2001,$A35,'Hours Log'!$A$2:$A$2001,G$5))</f>
        <v/>
      </c>
      <c r="H35" s="18">
        <f>IF($A35="","",SUMIFS('Hours Log'!$G$2:$G$2001,'Hours Log'!$B$2:$B$2001,$A35,'Hours Log'!$A$2:$A$2001,H$5))</f>
        <v/>
      </c>
      <c r="I35" s="14">
        <f>IF($A35="","",SUM(B35:H35))</f>
        <v/>
      </c>
      <c r="K35">
        <f>IF(Sites!A31="","",Sites!A31)</f>
        <v/>
      </c>
      <c r="L35">
        <f>IF(K35="","",COUNTIFS('Hours Log'!$C$2:$C$2001,K35,'Hours Log'!$I$2:$I$2001,$B$3))</f>
        <v/>
      </c>
      <c r="M35" s="18">
        <f>IF(K35="","",SUMIFS('Hours Log'!$G$2:$G$2001,'Hours Log'!$C$2:$C$2001,K35,'Hours Log'!$I$2:$I$2001,$B$3))</f>
        <v/>
      </c>
      <c r="N35" s="10" t="n"/>
      <c r="O35" s="10" t="n"/>
      <c r="P35" s="18">
        <f>IF(OR(K35="",O35=""),"",M35-O35)</f>
        <v/>
      </c>
      <c r="Q35">
        <f>IF(K35="","",IF(AND(N(N35)&gt;0,L35=0),"Jobber visit, no hours logged",IF(AND(L35&gt;0,N35=""),"Enter Jobber visits",IF(AND(L35&gt;0,N(N35)=0),"Hours logged, no Jobber visit",IF(AND(O35&lt;&gt;"",ABS(N(P35))&gt;0.5),"Hours differ from Jobber","")))))</f>
        <v/>
      </c>
    </row>
    <row r="36">
      <c r="A36">
        <f>IF(Staff!A32="","",Staff!A32)</f>
        <v/>
      </c>
      <c r="B36" s="18">
        <f>IF($A36="","",SUMIFS('Hours Log'!$G$2:$G$2001,'Hours Log'!$B$2:$B$2001,$A36,'Hours Log'!$A$2:$A$2001,B$5))</f>
        <v/>
      </c>
      <c r="C36" s="18">
        <f>IF($A36="","",SUMIFS('Hours Log'!$G$2:$G$2001,'Hours Log'!$B$2:$B$2001,$A36,'Hours Log'!$A$2:$A$2001,C$5))</f>
        <v/>
      </c>
      <c r="D36" s="18">
        <f>IF($A36="","",SUMIFS('Hours Log'!$G$2:$G$2001,'Hours Log'!$B$2:$B$2001,$A36,'Hours Log'!$A$2:$A$2001,D$5))</f>
        <v/>
      </c>
      <c r="E36" s="18">
        <f>IF($A36="","",SUMIFS('Hours Log'!$G$2:$G$2001,'Hours Log'!$B$2:$B$2001,$A36,'Hours Log'!$A$2:$A$2001,E$5))</f>
        <v/>
      </c>
      <c r="F36" s="18">
        <f>IF($A36="","",SUMIFS('Hours Log'!$G$2:$G$2001,'Hours Log'!$B$2:$B$2001,$A36,'Hours Log'!$A$2:$A$2001,F$5))</f>
        <v/>
      </c>
      <c r="G36" s="18">
        <f>IF($A36="","",SUMIFS('Hours Log'!$G$2:$G$2001,'Hours Log'!$B$2:$B$2001,$A36,'Hours Log'!$A$2:$A$2001,G$5))</f>
        <v/>
      </c>
      <c r="H36" s="18">
        <f>IF($A36="","",SUMIFS('Hours Log'!$G$2:$G$2001,'Hours Log'!$B$2:$B$2001,$A36,'Hours Log'!$A$2:$A$2001,H$5))</f>
        <v/>
      </c>
      <c r="I36" s="14">
        <f>IF($A36="","",SUM(B36:H36))</f>
        <v/>
      </c>
      <c r="K36">
        <f>IF(Sites!A32="","",Sites!A32)</f>
        <v/>
      </c>
      <c r="L36">
        <f>IF(K36="","",COUNTIFS('Hours Log'!$C$2:$C$2001,K36,'Hours Log'!$I$2:$I$2001,$B$3))</f>
        <v/>
      </c>
      <c r="M36" s="18">
        <f>IF(K36="","",SUMIFS('Hours Log'!$G$2:$G$2001,'Hours Log'!$C$2:$C$2001,K36,'Hours Log'!$I$2:$I$2001,$B$3))</f>
        <v/>
      </c>
      <c r="N36" s="10" t="n"/>
      <c r="O36" s="10" t="n"/>
      <c r="P36" s="18">
        <f>IF(OR(K36="",O36=""),"",M36-O36)</f>
        <v/>
      </c>
      <c r="Q36">
        <f>IF(K36="","",IF(AND(N(N36)&gt;0,L36=0),"Jobber visit, no hours logged",IF(AND(L36&gt;0,N36=""),"Enter Jobber visits",IF(AND(L36&gt;0,N(N36)=0),"Hours logged, no Jobber visit",IF(AND(O36&lt;&gt;"",ABS(N(P36))&gt;0.5),"Hours differ from Jobber","")))))</f>
        <v/>
      </c>
    </row>
    <row r="37">
      <c r="A37">
        <f>IF(Staff!A33="","",Staff!A33)</f>
        <v/>
      </c>
      <c r="B37" s="18">
        <f>IF($A37="","",SUMIFS('Hours Log'!$G$2:$G$2001,'Hours Log'!$B$2:$B$2001,$A37,'Hours Log'!$A$2:$A$2001,B$5))</f>
        <v/>
      </c>
      <c r="C37" s="18">
        <f>IF($A37="","",SUMIFS('Hours Log'!$G$2:$G$2001,'Hours Log'!$B$2:$B$2001,$A37,'Hours Log'!$A$2:$A$2001,C$5))</f>
        <v/>
      </c>
      <c r="D37" s="18">
        <f>IF($A37="","",SUMIFS('Hours Log'!$G$2:$G$2001,'Hours Log'!$B$2:$B$2001,$A37,'Hours Log'!$A$2:$A$2001,D$5))</f>
        <v/>
      </c>
      <c r="E37" s="18">
        <f>IF($A37="","",SUMIFS('Hours Log'!$G$2:$G$2001,'Hours Log'!$B$2:$B$2001,$A37,'Hours Log'!$A$2:$A$2001,E$5))</f>
        <v/>
      </c>
      <c r="F37" s="18">
        <f>IF($A37="","",SUMIFS('Hours Log'!$G$2:$G$2001,'Hours Log'!$B$2:$B$2001,$A37,'Hours Log'!$A$2:$A$2001,F$5))</f>
        <v/>
      </c>
      <c r="G37" s="18">
        <f>IF($A37="","",SUMIFS('Hours Log'!$G$2:$G$2001,'Hours Log'!$B$2:$B$2001,$A37,'Hours Log'!$A$2:$A$2001,G$5))</f>
        <v/>
      </c>
      <c r="H37" s="18">
        <f>IF($A37="","",SUMIFS('Hours Log'!$G$2:$G$2001,'Hours Log'!$B$2:$B$2001,$A37,'Hours Log'!$A$2:$A$2001,H$5))</f>
        <v/>
      </c>
      <c r="I37" s="14">
        <f>IF($A37="","",SUM(B37:H37))</f>
        <v/>
      </c>
      <c r="K37">
        <f>IF(Sites!A33="","",Sites!A33)</f>
        <v/>
      </c>
      <c r="L37">
        <f>IF(K37="","",COUNTIFS('Hours Log'!$C$2:$C$2001,K37,'Hours Log'!$I$2:$I$2001,$B$3))</f>
        <v/>
      </c>
      <c r="M37" s="18">
        <f>IF(K37="","",SUMIFS('Hours Log'!$G$2:$G$2001,'Hours Log'!$C$2:$C$2001,K37,'Hours Log'!$I$2:$I$2001,$B$3))</f>
        <v/>
      </c>
      <c r="N37" s="10" t="n"/>
      <c r="O37" s="10" t="n"/>
      <c r="P37" s="18">
        <f>IF(OR(K37="",O37=""),"",M37-O37)</f>
        <v/>
      </c>
      <c r="Q37">
        <f>IF(K37="","",IF(AND(N(N37)&gt;0,L37=0),"Jobber visit, no hours logged",IF(AND(L37&gt;0,N37=""),"Enter Jobber visits",IF(AND(L37&gt;0,N(N37)=0),"Hours logged, no Jobber visit",IF(AND(O37&lt;&gt;"",ABS(N(P37))&gt;0.5),"Hours differ from Jobber","")))))</f>
        <v/>
      </c>
    </row>
    <row r="38">
      <c r="A38">
        <f>IF(Staff!A34="","",Staff!A34)</f>
        <v/>
      </c>
      <c r="B38" s="18">
        <f>IF($A38="","",SUMIFS('Hours Log'!$G$2:$G$2001,'Hours Log'!$B$2:$B$2001,$A38,'Hours Log'!$A$2:$A$2001,B$5))</f>
        <v/>
      </c>
      <c r="C38" s="18">
        <f>IF($A38="","",SUMIFS('Hours Log'!$G$2:$G$2001,'Hours Log'!$B$2:$B$2001,$A38,'Hours Log'!$A$2:$A$2001,C$5))</f>
        <v/>
      </c>
      <c r="D38" s="18">
        <f>IF($A38="","",SUMIFS('Hours Log'!$G$2:$G$2001,'Hours Log'!$B$2:$B$2001,$A38,'Hours Log'!$A$2:$A$2001,D$5))</f>
        <v/>
      </c>
      <c r="E38" s="18">
        <f>IF($A38="","",SUMIFS('Hours Log'!$G$2:$G$2001,'Hours Log'!$B$2:$B$2001,$A38,'Hours Log'!$A$2:$A$2001,E$5))</f>
        <v/>
      </c>
      <c r="F38" s="18">
        <f>IF($A38="","",SUMIFS('Hours Log'!$G$2:$G$2001,'Hours Log'!$B$2:$B$2001,$A38,'Hours Log'!$A$2:$A$2001,F$5))</f>
        <v/>
      </c>
      <c r="G38" s="18">
        <f>IF($A38="","",SUMIFS('Hours Log'!$G$2:$G$2001,'Hours Log'!$B$2:$B$2001,$A38,'Hours Log'!$A$2:$A$2001,G$5))</f>
        <v/>
      </c>
      <c r="H38" s="18">
        <f>IF($A38="","",SUMIFS('Hours Log'!$G$2:$G$2001,'Hours Log'!$B$2:$B$2001,$A38,'Hours Log'!$A$2:$A$2001,H$5))</f>
        <v/>
      </c>
      <c r="I38" s="14">
        <f>IF($A38="","",SUM(B38:H38))</f>
        <v/>
      </c>
      <c r="K38">
        <f>IF(Sites!A34="","",Sites!A34)</f>
        <v/>
      </c>
      <c r="L38">
        <f>IF(K38="","",COUNTIFS('Hours Log'!$C$2:$C$2001,K38,'Hours Log'!$I$2:$I$2001,$B$3))</f>
        <v/>
      </c>
      <c r="M38" s="18">
        <f>IF(K38="","",SUMIFS('Hours Log'!$G$2:$G$2001,'Hours Log'!$C$2:$C$2001,K38,'Hours Log'!$I$2:$I$2001,$B$3))</f>
        <v/>
      </c>
      <c r="N38" s="10" t="n"/>
      <c r="O38" s="10" t="n"/>
      <c r="P38" s="18">
        <f>IF(OR(K38="",O38=""),"",M38-O38)</f>
        <v/>
      </c>
      <c r="Q38">
        <f>IF(K38="","",IF(AND(N(N38)&gt;0,L38=0),"Jobber visit, no hours logged",IF(AND(L38&gt;0,N38=""),"Enter Jobber visits",IF(AND(L38&gt;0,N(N38)=0),"Hours logged, no Jobber visit",IF(AND(O38&lt;&gt;"",ABS(N(P38))&gt;0.5),"Hours differ from Jobber","")))))</f>
        <v/>
      </c>
    </row>
    <row r="39">
      <c r="A39">
        <f>IF(Staff!A35="","",Staff!A35)</f>
        <v/>
      </c>
      <c r="B39" s="18">
        <f>IF($A39="","",SUMIFS('Hours Log'!$G$2:$G$2001,'Hours Log'!$B$2:$B$2001,$A39,'Hours Log'!$A$2:$A$2001,B$5))</f>
        <v/>
      </c>
      <c r="C39" s="18">
        <f>IF($A39="","",SUMIFS('Hours Log'!$G$2:$G$2001,'Hours Log'!$B$2:$B$2001,$A39,'Hours Log'!$A$2:$A$2001,C$5))</f>
        <v/>
      </c>
      <c r="D39" s="18">
        <f>IF($A39="","",SUMIFS('Hours Log'!$G$2:$G$2001,'Hours Log'!$B$2:$B$2001,$A39,'Hours Log'!$A$2:$A$2001,D$5))</f>
        <v/>
      </c>
      <c r="E39" s="18">
        <f>IF($A39="","",SUMIFS('Hours Log'!$G$2:$G$2001,'Hours Log'!$B$2:$B$2001,$A39,'Hours Log'!$A$2:$A$2001,E$5))</f>
        <v/>
      </c>
      <c r="F39" s="18">
        <f>IF($A39="","",SUMIFS('Hours Log'!$G$2:$G$2001,'Hours Log'!$B$2:$B$2001,$A39,'Hours Log'!$A$2:$A$2001,F$5))</f>
        <v/>
      </c>
      <c r="G39" s="18">
        <f>IF($A39="","",SUMIFS('Hours Log'!$G$2:$G$2001,'Hours Log'!$B$2:$B$2001,$A39,'Hours Log'!$A$2:$A$2001,G$5))</f>
        <v/>
      </c>
      <c r="H39" s="18">
        <f>IF($A39="","",SUMIFS('Hours Log'!$G$2:$G$2001,'Hours Log'!$B$2:$B$2001,$A39,'Hours Log'!$A$2:$A$2001,H$5))</f>
        <v/>
      </c>
      <c r="I39" s="14">
        <f>IF($A39="","",SUM(B39:H39))</f>
        <v/>
      </c>
      <c r="K39">
        <f>IF(Sites!A35="","",Sites!A35)</f>
        <v/>
      </c>
      <c r="L39">
        <f>IF(K39="","",COUNTIFS('Hours Log'!$C$2:$C$2001,K39,'Hours Log'!$I$2:$I$2001,$B$3))</f>
        <v/>
      </c>
      <c r="M39" s="18">
        <f>IF(K39="","",SUMIFS('Hours Log'!$G$2:$G$2001,'Hours Log'!$C$2:$C$2001,K39,'Hours Log'!$I$2:$I$2001,$B$3))</f>
        <v/>
      </c>
      <c r="N39" s="10" t="n"/>
      <c r="O39" s="10" t="n"/>
      <c r="P39" s="18">
        <f>IF(OR(K39="",O39=""),"",M39-O39)</f>
        <v/>
      </c>
      <c r="Q39">
        <f>IF(K39="","",IF(AND(N(N39)&gt;0,L39=0),"Jobber visit, no hours logged",IF(AND(L39&gt;0,N39=""),"Enter Jobber visits",IF(AND(L39&gt;0,N(N39)=0),"Hours logged, no Jobber visit",IF(AND(O39&lt;&gt;"",ABS(N(P39))&gt;0.5),"Hours differ from Jobber","")))))</f>
        <v/>
      </c>
    </row>
    <row r="40">
      <c r="A40">
        <f>IF(Staff!A36="","",Staff!A36)</f>
        <v/>
      </c>
      <c r="B40" s="18">
        <f>IF($A40="","",SUMIFS('Hours Log'!$G$2:$G$2001,'Hours Log'!$B$2:$B$2001,$A40,'Hours Log'!$A$2:$A$2001,B$5))</f>
        <v/>
      </c>
      <c r="C40" s="18">
        <f>IF($A40="","",SUMIFS('Hours Log'!$G$2:$G$2001,'Hours Log'!$B$2:$B$2001,$A40,'Hours Log'!$A$2:$A$2001,C$5))</f>
        <v/>
      </c>
      <c r="D40" s="18">
        <f>IF($A40="","",SUMIFS('Hours Log'!$G$2:$G$2001,'Hours Log'!$B$2:$B$2001,$A40,'Hours Log'!$A$2:$A$2001,D$5))</f>
        <v/>
      </c>
      <c r="E40" s="18">
        <f>IF($A40="","",SUMIFS('Hours Log'!$G$2:$G$2001,'Hours Log'!$B$2:$B$2001,$A40,'Hours Log'!$A$2:$A$2001,E$5))</f>
        <v/>
      </c>
      <c r="F40" s="18">
        <f>IF($A40="","",SUMIFS('Hours Log'!$G$2:$G$2001,'Hours Log'!$B$2:$B$2001,$A40,'Hours Log'!$A$2:$A$2001,F$5))</f>
        <v/>
      </c>
      <c r="G40" s="18">
        <f>IF($A40="","",SUMIFS('Hours Log'!$G$2:$G$2001,'Hours Log'!$B$2:$B$2001,$A40,'Hours Log'!$A$2:$A$2001,G$5))</f>
        <v/>
      </c>
      <c r="H40" s="18">
        <f>IF($A40="","",SUMIFS('Hours Log'!$G$2:$G$2001,'Hours Log'!$B$2:$B$2001,$A40,'Hours Log'!$A$2:$A$2001,H$5))</f>
        <v/>
      </c>
      <c r="I40" s="14">
        <f>IF($A40="","",SUM(B40:H40))</f>
        <v/>
      </c>
      <c r="K40">
        <f>IF(Sites!A36="","",Sites!A36)</f>
        <v/>
      </c>
      <c r="L40">
        <f>IF(K40="","",COUNTIFS('Hours Log'!$C$2:$C$2001,K40,'Hours Log'!$I$2:$I$2001,$B$3))</f>
        <v/>
      </c>
      <c r="M40" s="18">
        <f>IF(K40="","",SUMIFS('Hours Log'!$G$2:$G$2001,'Hours Log'!$C$2:$C$2001,K40,'Hours Log'!$I$2:$I$2001,$B$3))</f>
        <v/>
      </c>
      <c r="N40" s="10" t="n"/>
      <c r="O40" s="10" t="n"/>
      <c r="P40" s="18">
        <f>IF(OR(K40="",O40=""),"",M40-O40)</f>
        <v/>
      </c>
      <c r="Q40">
        <f>IF(K40="","",IF(AND(N(N40)&gt;0,L40=0),"Jobber visit, no hours logged",IF(AND(L40&gt;0,N40=""),"Enter Jobber visits",IF(AND(L40&gt;0,N(N40)=0),"Hours logged, no Jobber visit",IF(AND(O40&lt;&gt;"",ABS(N(P40))&gt;0.5),"Hours differ from Jobber","")))))</f>
        <v/>
      </c>
    </row>
    <row r="41">
      <c r="A41">
        <f>IF(Staff!A37="","",Staff!A37)</f>
        <v/>
      </c>
      <c r="B41" s="18">
        <f>IF($A41="","",SUMIFS('Hours Log'!$G$2:$G$2001,'Hours Log'!$B$2:$B$2001,$A41,'Hours Log'!$A$2:$A$2001,B$5))</f>
        <v/>
      </c>
      <c r="C41" s="18">
        <f>IF($A41="","",SUMIFS('Hours Log'!$G$2:$G$2001,'Hours Log'!$B$2:$B$2001,$A41,'Hours Log'!$A$2:$A$2001,C$5))</f>
        <v/>
      </c>
      <c r="D41" s="18">
        <f>IF($A41="","",SUMIFS('Hours Log'!$G$2:$G$2001,'Hours Log'!$B$2:$B$2001,$A41,'Hours Log'!$A$2:$A$2001,D$5))</f>
        <v/>
      </c>
      <c r="E41" s="18">
        <f>IF($A41="","",SUMIFS('Hours Log'!$G$2:$G$2001,'Hours Log'!$B$2:$B$2001,$A41,'Hours Log'!$A$2:$A$2001,E$5))</f>
        <v/>
      </c>
      <c r="F41" s="18">
        <f>IF($A41="","",SUMIFS('Hours Log'!$G$2:$G$2001,'Hours Log'!$B$2:$B$2001,$A41,'Hours Log'!$A$2:$A$2001,F$5))</f>
        <v/>
      </c>
      <c r="G41" s="18">
        <f>IF($A41="","",SUMIFS('Hours Log'!$G$2:$G$2001,'Hours Log'!$B$2:$B$2001,$A41,'Hours Log'!$A$2:$A$2001,G$5))</f>
        <v/>
      </c>
      <c r="H41" s="18">
        <f>IF($A41="","",SUMIFS('Hours Log'!$G$2:$G$2001,'Hours Log'!$B$2:$B$2001,$A41,'Hours Log'!$A$2:$A$2001,H$5))</f>
        <v/>
      </c>
      <c r="I41" s="14">
        <f>IF($A41="","",SUM(B41:H41))</f>
        <v/>
      </c>
      <c r="K41">
        <f>IF(Sites!A37="","",Sites!A37)</f>
        <v/>
      </c>
      <c r="L41">
        <f>IF(K41="","",COUNTIFS('Hours Log'!$C$2:$C$2001,K41,'Hours Log'!$I$2:$I$2001,$B$3))</f>
        <v/>
      </c>
      <c r="M41" s="18">
        <f>IF(K41="","",SUMIFS('Hours Log'!$G$2:$G$2001,'Hours Log'!$C$2:$C$2001,K41,'Hours Log'!$I$2:$I$2001,$B$3))</f>
        <v/>
      </c>
      <c r="N41" s="10" t="n"/>
      <c r="O41" s="10" t="n"/>
      <c r="P41" s="18">
        <f>IF(OR(K41="",O41=""),"",M41-O41)</f>
        <v/>
      </c>
      <c r="Q41">
        <f>IF(K41="","",IF(AND(N(N41)&gt;0,L41=0),"Jobber visit, no hours logged",IF(AND(L41&gt;0,N41=""),"Enter Jobber visits",IF(AND(L41&gt;0,N(N41)=0),"Hours logged, no Jobber visit",IF(AND(O41&lt;&gt;"",ABS(N(P41))&gt;0.5),"Hours differ from Jobber","")))))</f>
        <v/>
      </c>
    </row>
    <row r="42">
      <c r="A42">
        <f>IF(Staff!A38="","",Staff!A38)</f>
        <v/>
      </c>
      <c r="B42" s="18">
        <f>IF($A42="","",SUMIFS('Hours Log'!$G$2:$G$2001,'Hours Log'!$B$2:$B$2001,$A42,'Hours Log'!$A$2:$A$2001,B$5))</f>
        <v/>
      </c>
      <c r="C42" s="18">
        <f>IF($A42="","",SUMIFS('Hours Log'!$G$2:$G$2001,'Hours Log'!$B$2:$B$2001,$A42,'Hours Log'!$A$2:$A$2001,C$5))</f>
        <v/>
      </c>
      <c r="D42" s="18">
        <f>IF($A42="","",SUMIFS('Hours Log'!$G$2:$G$2001,'Hours Log'!$B$2:$B$2001,$A42,'Hours Log'!$A$2:$A$2001,D$5))</f>
        <v/>
      </c>
      <c r="E42" s="18">
        <f>IF($A42="","",SUMIFS('Hours Log'!$G$2:$G$2001,'Hours Log'!$B$2:$B$2001,$A42,'Hours Log'!$A$2:$A$2001,E$5))</f>
        <v/>
      </c>
      <c r="F42" s="18">
        <f>IF($A42="","",SUMIFS('Hours Log'!$G$2:$G$2001,'Hours Log'!$B$2:$B$2001,$A42,'Hours Log'!$A$2:$A$2001,F$5))</f>
        <v/>
      </c>
      <c r="G42" s="18">
        <f>IF($A42="","",SUMIFS('Hours Log'!$G$2:$G$2001,'Hours Log'!$B$2:$B$2001,$A42,'Hours Log'!$A$2:$A$2001,G$5))</f>
        <v/>
      </c>
      <c r="H42" s="18">
        <f>IF($A42="","",SUMIFS('Hours Log'!$G$2:$G$2001,'Hours Log'!$B$2:$B$2001,$A42,'Hours Log'!$A$2:$A$2001,H$5))</f>
        <v/>
      </c>
      <c r="I42" s="14">
        <f>IF($A42="","",SUM(B42:H42))</f>
        <v/>
      </c>
      <c r="K42">
        <f>IF(Sites!A38="","",Sites!A38)</f>
        <v/>
      </c>
      <c r="L42">
        <f>IF(K42="","",COUNTIFS('Hours Log'!$C$2:$C$2001,K42,'Hours Log'!$I$2:$I$2001,$B$3))</f>
        <v/>
      </c>
      <c r="M42" s="18">
        <f>IF(K42="","",SUMIFS('Hours Log'!$G$2:$G$2001,'Hours Log'!$C$2:$C$2001,K42,'Hours Log'!$I$2:$I$2001,$B$3))</f>
        <v/>
      </c>
      <c r="N42" s="10" t="n"/>
      <c r="O42" s="10" t="n"/>
      <c r="P42" s="18">
        <f>IF(OR(K42="",O42=""),"",M42-O42)</f>
        <v/>
      </c>
      <c r="Q42">
        <f>IF(K42="","",IF(AND(N(N42)&gt;0,L42=0),"Jobber visit, no hours logged",IF(AND(L42&gt;0,N42=""),"Enter Jobber visits",IF(AND(L42&gt;0,N(N42)=0),"Hours logged, no Jobber visit",IF(AND(O42&lt;&gt;"",ABS(N(P42))&gt;0.5),"Hours differ from Jobber","")))))</f>
        <v/>
      </c>
    </row>
    <row r="43">
      <c r="A43">
        <f>IF(Staff!A39="","",Staff!A39)</f>
        <v/>
      </c>
      <c r="B43" s="18">
        <f>IF($A43="","",SUMIFS('Hours Log'!$G$2:$G$2001,'Hours Log'!$B$2:$B$2001,$A43,'Hours Log'!$A$2:$A$2001,B$5))</f>
        <v/>
      </c>
      <c r="C43" s="18">
        <f>IF($A43="","",SUMIFS('Hours Log'!$G$2:$G$2001,'Hours Log'!$B$2:$B$2001,$A43,'Hours Log'!$A$2:$A$2001,C$5))</f>
        <v/>
      </c>
      <c r="D43" s="18">
        <f>IF($A43="","",SUMIFS('Hours Log'!$G$2:$G$2001,'Hours Log'!$B$2:$B$2001,$A43,'Hours Log'!$A$2:$A$2001,D$5))</f>
        <v/>
      </c>
      <c r="E43" s="18">
        <f>IF($A43="","",SUMIFS('Hours Log'!$G$2:$G$2001,'Hours Log'!$B$2:$B$2001,$A43,'Hours Log'!$A$2:$A$2001,E$5))</f>
        <v/>
      </c>
      <c r="F43" s="18">
        <f>IF($A43="","",SUMIFS('Hours Log'!$G$2:$G$2001,'Hours Log'!$B$2:$B$2001,$A43,'Hours Log'!$A$2:$A$2001,F$5))</f>
        <v/>
      </c>
      <c r="G43" s="18">
        <f>IF($A43="","",SUMIFS('Hours Log'!$G$2:$G$2001,'Hours Log'!$B$2:$B$2001,$A43,'Hours Log'!$A$2:$A$2001,G$5))</f>
        <v/>
      </c>
      <c r="H43" s="18">
        <f>IF($A43="","",SUMIFS('Hours Log'!$G$2:$G$2001,'Hours Log'!$B$2:$B$2001,$A43,'Hours Log'!$A$2:$A$2001,H$5))</f>
        <v/>
      </c>
      <c r="I43" s="14">
        <f>IF($A43="","",SUM(B43:H43))</f>
        <v/>
      </c>
      <c r="K43">
        <f>IF(Sites!A39="","",Sites!A39)</f>
        <v/>
      </c>
      <c r="L43">
        <f>IF(K43="","",COUNTIFS('Hours Log'!$C$2:$C$2001,K43,'Hours Log'!$I$2:$I$2001,$B$3))</f>
        <v/>
      </c>
      <c r="M43" s="18">
        <f>IF(K43="","",SUMIFS('Hours Log'!$G$2:$G$2001,'Hours Log'!$C$2:$C$2001,K43,'Hours Log'!$I$2:$I$2001,$B$3))</f>
        <v/>
      </c>
      <c r="N43" s="10" t="n"/>
      <c r="O43" s="10" t="n"/>
      <c r="P43" s="18">
        <f>IF(OR(K43="",O43=""),"",M43-O43)</f>
        <v/>
      </c>
      <c r="Q43">
        <f>IF(K43="","",IF(AND(N(N43)&gt;0,L43=0),"Jobber visit, no hours logged",IF(AND(L43&gt;0,N43=""),"Enter Jobber visits",IF(AND(L43&gt;0,N(N43)=0),"Hours logged, no Jobber visit",IF(AND(O43&lt;&gt;"",ABS(N(P43))&gt;0.5),"Hours differ from Jobber","")))))</f>
        <v/>
      </c>
    </row>
    <row r="44">
      <c r="A44">
        <f>IF(Staff!A40="","",Staff!A40)</f>
        <v/>
      </c>
      <c r="B44" s="18">
        <f>IF($A44="","",SUMIFS('Hours Log'!$G$2:$G$2001,'Hours Log'!$B$2:$B$2001,$A44,'Hours Log'!$A$2:$A$2001,B$5))</f>
        <v/>
      </c>
      <c r="C44" s="18">
        <f>IF($A44="","",SUMIFS('Hours Log'!$G$2:$G$2001,'Hours Log'!$B$2:$B$2001,$A44,'Hours Log'!$A$2:$A$2001,C$5))</f>
        <v/>
      </c>
      <c r="D44" s="18">
        <f>IF($A44="","",SUMIFS('Hours Log'!$G$2:$G$2001,'Hours Log'!$B$2:$B$2001,$A44,'Hours Log'!$A$2:$A$2001,D$5))</f>
        <v/>
      </c>
      <c r="E44" s="18">
        <f>IF($A44="","",SUMIFS('Hours Log'!$G$2:$G$2001,'Hours Log'!$B$2:$B$2001,$A44,'Hours Log'!$A$2:$A$2001,E$5))</f>
        <v/>
      </c>
      <c r="F44" s="18">
        <f>IF($A44="","",SUMIFS('Hours Log'!$G$2:$G$2001,'Hours Log'!$B$2:$B$2001,$A44,'Hours Log'!$A$2:$A$2001,F$5))</f>
        <v/>
      </c>
      <c r="G44" s="18">
        <f>IF($A44="","",SUMIFS('Hours Log'!$G$2:$G$2001,'Hours Log'!$B$2:$B$2001,$A44,'Hours Log'!$A$2:$A$2001,G$5))</f>
        <v/>
      </c>
      <c r="H44" s="18">
        <f>IF($A44="","",SUMIFS('Hours Log'!$G$2:$G$2001,'Hours Log'!$B$2:$B$2001,$A44,'Hours Log'!$A$2:$A$2001,H$5))</f>
        <v/>
      </c>
      <c r="I44" s="14">
        <f>IF($A44="","",SUM(B44:H44))</f>
        <v/>
      </c>
      <c r="K44">
        <f>IF(Sites!A40="","",Sites!A40)</f>
        <v/>
      </c>
      <c r="L44">
        <f>IF(K44="","",COUNTIFS('Hours Log'!$C$2:$C$2001,K44,'Hours Log'!$I$2:$I$2001,$B$3))</f>
        <v/>
      </c>
      <c r="M44" s="18">
        <f>IF(K44="","",SUMIFS('Hours Log'!$G$2:$G$2001,'Hours Log'!$C$2:$C$2001,K44,'Hours Log'!$I$2:$I$2001,$B$3))</f>
        <v/>
      </c>
      <c r="N44" s="10" t="n"/>
      <c r="O44" s="10" t="n"/>
      <c r="P44" s="18">
        <f>IF(OR(K44="",O44=""),"",M44-O44)</f>
        <v/>
      </c>
      <c r="Q44">
        <f>IF(K44="","",IF(AND(N(N44)&gt;0,L44=0),"Jobber visit, no hours logged",IF(AND(L44&gt;0,N44=""),"Enter Jobber visits",IF(AND(L44&gt;0,N(N44)=0),"Hours logged, no Jobber visit",IF(AND(O44&lt;&gt;"",ABS(N(P44))&gt;0.5),"Hours differ from Jobber","")))))</f>
        <v/>
      </c>
    </row>
    <row r="45">
      <c r="A45">
        <f>IF(Staff!A41="","",Staff!A41)</f>
        <v/>
      </c>
      <c r="B45" s="18">
        <f>IF($A45="","",SUMIFS('Hours Log'!$G$2:$G$2001,'Hours Log'!$B$2:$B$2001,$A45,'Hours Log'!$A$2:$A$2001,B$5))</f>
        <v/>
      </c>
      <c r="C45" s="18">
        <f>IF($A45="","",SUMIFS('Hours Log'!$G$2:$G$2001,'Hours Log'!$B$2:$B$2001,$A45,'Hours Log'!$A$2:$A$2001,C$5))</f>
        <v/>
      </c>
      <c r="D45" s="18">
        <f>IF($A45="","",SUMIFS('Hours Log'!$G$2:$G$2001,'Hours Log'!$B$2:$B$2001,$A45,'Hours Log'!$A$2:$A$2001,D$5))</f>
        <v/>
      </c>
      <c r="E45" s="18">
        <f>IF($A45="","",SUMIFS('Hours Log'!$G$2:$G$2001,'Hours Log'!$B$2:$B$2001,$A45,'Hours Log'!$A$2:$A$2001,E$5))</f>
        <v/>
      </c>
      <c r="F45" s="18">
        <f>IF($A45="","",SUMIFS('Hours Log'!$G$2:$G$2001,'Hours Log'!$B$2:$B$2001,$A45,'Hours Log'!$A$2:$A$2001,F$5))</f>
        <v/>
      </c>
      <c r="G45" s="18">
        <f>IF($A45="","",SUMIFS('Hours Log'!$G$2:$G$2001,'Hours Log'!$B$2:$B$2001,$A45,'Hours Log'!$A$2:$A$2001,G$5))</f>
        <v/>
      </c>
      <c r="H45" s="18">
        <f>IF($A45="","",SUMIFS('Hours Log'!$G$2:$G$2001,'Hours Log'!$B$2:$B$2001,$A45,'Hours Log'!$A$2:$A$2001,H$5))</f>
        <v/>
      </c>
      <c r="I45" s="14">
        <f>IF($A45="","",SUM(B45:H45))</f>
        <v/>
      </c>
      <c r="K45">
        <f>IF(Sites!A41="","",Sites!A41)</f>
        <v/>
      </c>
      <c r="L45">
        <f>IF(K45="","",COUNTIFS('Hours Log'!$C$2:$C$2001,K45,'Hours Log'!$I$2:$I$2001,$B$3))</f>
        <v/>
      </c>
      <c r="M45" s="18">
        <f>IF(K45="","",SUMIFS('Hours Log'!$G$2:$G$2001,'Hours Log'!$C$2:$C$2001,K45,'Hours Log'!$I$2:$I$2001,$B$3))</f>
        <v/>
      </c>
      <c r="N45" s="10" t="n"/>
      <c r="O45" s="10" t="n"/>
      <c r="P45" s="18">
        <f>IF(OR(K45="",O45=""),"",M45-O45)</f>
        <v/>
      </c>
      <c r="Q45">
        <f>IF(K45="","",IF(AND(N(N45)&gt;0,L45=0),"Jobber visit, no hours logged",IF(AND(L45&gt;0,N45=""),"Enter Jobber visits",IF(AND(L45&gt;0,N(N45)=0),"Hours logged, no Jobber visit",IF(AND(O45&lt;&gt;"",ABS(N(P45))&gt;0.5),"Hours differ from Jobber","")))))</f>
        <v/>
      </c>
    </row>
    <row r="46">
      <c r="A46">
        <f>IF(Staff!A42="","",Staff!A42)</f>
        <v/>
      </c>
      <c r="B46" s="18">
        <f>IF($A46="","",SUMIFS('Hours Log'!$G$2:$G$2001,'Hours Log'!$B$2:$B$2001,$A46,'Hours Log'!$A$2:$A$2001,B$5))</f>
        <v/>
      </c>
      <c r="C46" s="18">
        <f>IF($A46="","",SUMIFS('Hours Log'!$G$2:$G$2001,'Hours Log'!$B$2:$B$2001,$A46,'Hours Log'!$A$2:$A$2001,C$5))</f>
        <v/>
      </c>
      <c r="D46" s="18">
        <f>IF($A46="","",SUMIFS('Hours Log'!$G$2:$G$2001,'Hours Log'!$B$2:$B$2001,$A46,'Hours Log'!$A$2:$A$2001,D$5))</f>
        <v/>
      </c>
      <c r="E46" s="18">
        <f>IF($A46="","",SUMIFS('Hours Log'!$G$2:$G$2001,'Hours Log'!$B$2:$B$2001,$A46,'Hours Log'!$A$2:$A$2001,E$5))</f>
        <v/>
      </c>
      <c r="F46" s="18">
        <f>IF($A46="","",SUMIFS('Hours Log'!$G$2:$G$2001,'Hours Log'!$B$2:$B$2001,$A46,'Hours Log'!$A$2:$A$2001,F$5))</f>
        <v/>
      </c>
      <c r="G46" s="18">
        <f>IF($A46="","",SUMIFS('Hours Log'!$G$2:$G$2001,'Hours Log'!$B$2:$B$2001,$A46,'Hours Log'!$A$2:$A$2001,G$5))</f>
        <v/>
      </c>
      <c r="H46" s="18">
        <f>IF($A46="","",SUMIFS('Hours Log'!$G$2:$G$2001,'Hours Log'!$B$2:$B$2001,$A46,'Hours Log'!$A$2:$A$2001,H$5))</f>
        <v/>
      </c>
      <c r="I46" s="14">
        <f>IF($A46="","",SUM(B46:H46))</f>
        <v/>
      </c>
      <c r="K46">
        <f>IF(Sites!A42="","",Sites!A42)</f>
        <v/>
      </c>
      <c r="L46">
        <f>IF(K46="","",COUNTIFS('Hours Log'!$C$2:$C$2001,K46,'Hours Log'!$I$2:$I$2001,$B$3))</f>
        <v/>
      </c>
      <c r="M46" s="18">
        <f>IF(K46="","",SUMIFS('Hours Log'!$G$2:$G$2001,'Hours Log'!$C$2:$C$2001,K46,'Hours Log'!$I$2:$I$2001,$B$3))</f>
        <v/>
      </c>
      <c r="N46" s="10" t="n"/>
      <c r="O46" s="10" t="n"/>
      <c r="P46" s="18">
        <f>IF(OR(K46="",O46=""),"",M46-O46)</f>
        <v/>
      </c>
      <c r="Q46">
        <f>IF(K46="","",IF(AND(N(N46)&gt;0,L46=0),"Jobber visit, no hours logged",IF(AND(L46&gt;0,N46=""),"Enter Jobber visits",IF(AND(L46&gt;0,N(N46)=0),"Hours logged, no Jobber visit",IF(AND(O46&lt;&gt;"",ABS(N(P46))&gt;0.5),"Hours differ from Jobber","")))))</f>
        <v/>
      </c>
    </row>
    <row r="47">
      <c r="A47">
        <f>IF(Staff!A43="","",Staff!A43)</f>
        <v/>
      </c>
      <c r="B47" s="18">
        <f>IF($A47="","",SUMIFS('Hours Log'!$G$2:$G$2001,'Hours Log'!$B$2:$B$2001,$A47,'Hours Log'!$A$2:$A$2001,B$5))</f>
        <v/>
      </c>
      <c r="C47" s="18">
        <f>IF($A47="","",SUMIFS('Hours Log'!$G$2:$G$2001,'Hours Log'!$B$2:$B$2001,$A47,'Hours Log'!$A$2:$A$2001,C$5))</f>
        <v/>
      </c>
      <c r="D47" s="18">
        <f>IF($A47="","",SUMIFS('Hours Log'!$G$2:$G$2001,'Hours Log'!$B$2:$B$2001,$A47,'Hours Log'!$A$2:$A$2001,D$5))</f>
        <v/>
      </c>
      <c r="E47" s="18">
        <f>IF($A47="","",SUMIFS('Hours Log'!$G$2:$G$2001,'Hours Log'!$B$2:$B$2001,$A47,'Hours Log'!$A$2:$A$2001,E$5))</f>
        <v/>
      </c>
      <c r="F47" s="18">
        <f>IF($A47="","",SUMIFS('Hours Log'!$G$2:$G$2001,'Hours Log'!$B$2:$B$2001,$A47,'Hours Log'!$A$2:$A$2001,F$5))</f>
        <v/>
      </c>
      <c r="G47" s="18">
        <f>IF($A47="","",SUMIFS('Hours Log'!$G$2:$G$2001,'Hours Log'!$B$2:$B$2001,$A47,'Hours Log'!$A$2:$A$2001,G$5))</f>
        <v/>
      </c>
      <c r="H47" s="18">
        <f>IF($A47="","",SUMIFS('Hours Log'!$G$2:$G$2001,'Hours Log'!$B$2:$B$2001,$A47,'Hours Log'!$A$2:$A$2001,H$5))</f>
        <v/>
      </c>
      <c r="I47" s="14">
        <f>IF($A47="","",SUM(B47:H47))</f>
        <v/>
      </c>
      <c r="K47">
        <f>IF(Sites!A43="","",Sites!A43)</f>
        <v/>
      </c>
      <c r="L47">
        <f>IF(K47="","",COUNTIFS('Hours Log'!$C$2:$C$2001,K47,'Hours Log'!$I$2:$I$2001,$B$3))</f>
        <v/>
      </c>
      <c r="M47" s="18">
        <f>IF(K47="","",SUMIFS('Hours Log'!$G$2:$G$2001,'Hours Log'!$C$2:$C$2001,K47,'Hours Log'!$I$2:$I$2001,$B$3))</f>
        <v/>
      </c>
      <c r="N47" s="10" t="n"/>
      <c r="O47" s="10" t="n"/>
      <c r="P47" s="18">
        <f>IF(OR(K47="",O47=""),"",M47-O47)</f>
        <v/>
      </c>
      <c r="Q47">
        <f>IF(K47="","",IF(AND(N(N47)&gt;0,L47=0),"Jobber visit, no hours logged",IF(AND(L47&gt;0,N47=""),"Enter Jobber visits",IF(AND(L47&gt;0,N(N47)=0),"Hours logged, no Jobber visit",IF(AND(O47&lt;&gt;"",ABS(N(P47))&gt;0.5),"Hours differ from Jobber","")))))</f>
        <v/>
      </c>
    </row>
    <row r="48">
      <c r="A48">
        <f>IF(Staff!A44="","",Staff!A44)</f>
        <v/>
      </c>
      <c r="B48" s="18">
        <f>IF($A48="","",SUMIFS('Hours Log'!$G$2:$G$2001,'Hours Log'!$B$2:$B$2001,$A48,'Hours Log'!$A$2:$A$2001,B$5))</f>
        <v/>
      </c>
      <c r="C48" s="18">
        <f>IF($A48="","",SUMIFS('Hours Log'!$G$2:$G$2001,'Hours Log'!$B$2:$B$2001,$A48,'Hours Log'!$A$2:$A$2001,C$5))</f>
        <v/>
      </c>
      <c r="D48" s="18">
        <f>IF($A48="","",SUMIFS('Hours Log'!$G$2:$G$2001,'Hours Log'!$B$2:$B$2001,$A48,'Hours Log'!$A$2:$A$2001,D$5))</f>
        <v/>
      </c>
      <c r="E48" s="18">
        <f>IF($A48="","",SUMIFS('Hours Log'!$G$2:$G$2001,'Hours Log'!$B$2:$B$2001,$A48,'Hours Log'!$A$2:$A$2001,E$5))</f>
        <v/>
      </c>
      <c r="F48" s="18">
        <f>IF($A48="","",SUMIFS('Hours Log'!$G$2:$G$2001,'Hours Log'!$B$2:$B$2001,$A48,'Hours Log'!$A$2:$A$2001,F$5))</f>
        <v/>
      </c>
      <c r="G48" s="18">
        <f>IF($A48="","",SUMIFS('Hours Log'!$G$2:$G$2001,'Hours Log'!$B$2:$B$2001,$A48,'Hours Log'!$A$2:$A$2001,G$5))</f>
        <v/>
      </c>
      <c r="H48" s="18">
        <f>IF($A48="","",SUMIFS('Hours Log'!$G$2:$G$2001,'Hours Log'!$B$2:$B$2001,$A48,'Hours Log'!$A$2:$A$2001,H$5))</f>
        <v/>
      </c>
      <c r="I48" s="14">
        <f>IF($A48="","",SUM(B48:H48))</f>
        <v/>
      </c>
      <c r="K48">
        <f>IF(Sites!A44="","",Sites!A44)</f>
        <v/>
      </c>
      <c r="L48">
        <f>IF(K48="","",COUNTIFS('Hours Log'!$C$2:$C$2001,K48,'Hours Log'!$I$2:$I$2001,$B$3))</f>
        <v/>
      </c>
      <c r="M48" s="18">
        <f>IF(K48="","",SUMIFS('Hours Log'!$G$2:$G$2001,'Hours Log'!$C$2:$C$2001,K48,'Hours Log'!$I$2:$I$2001,$B$3))</f>
        <v/>
      </c>
      <c r="N48" s="10" t="n"/>
      <c r="O48" s="10" t="n"/>
      <c r="P48" s="18">
        <f>IF(OR(K48="",O48=""),"",M48-O48)</f>
        <v/>
      </c>
      <c r="Q48">
        <f>IF(K48="","",IF(AND(N(N48)&gt;0,L48=0),"Jobber visit, no hours logged",IF(AND(L48&gt;0,N48=""),"Enter Jobber visits",IF(AND(L48&gt;0,N(N48)=0),"Hours logged, no Jobber visit",IF(AND(O48&lt;&gt;"",ABS(N(P48))&gt;0.5),"Hours differ from Jobber","")))))</f>
        <v/>
      </c>
    </row>
    <row r="49">
      <c r="A49">
        <f>IF(Staff!A45="","",Staff!A45)</f>
        <v/>
      </c>
      <c r="B49" s="18">
        <f>IF($A49="","",SUMIFS('Hours Log'!$G$2:$G$2001,'Hours Log'!$B$2:$B$2001,$A49,'Hours Log'!$A$2:$A$2001,B$5))</f>
        <v/>
      </c>
      <c r="C49" s="18">
        <f>IF($A49="","",SUMIFS('Hours Log'!$G$2:$G$2001,'Hours Log'!$B$2:$B$2001,$A49,'Hours Log'!$A$2:$A$2001,C$5))</f>
        <v/>
      </c>
      <c r="D49" s="18">
        <f>IF($A49="","",SUMIFS('Hours Log'!$G$2:$G$2001,'Hours Log'!$B$2:$B$2001,$A49,'Hours Log'!$A$2:$A$2001,D$5))</f>
        <v/>
      </c>
      <c r="E49" s="18">
        <f>IF($A49="","",SUMIFS('Hours Log'!$G$2:$G$2001,'Hours Log'!$B$2:$B$2001,$A49,'Hours Log'!$A$2:$A$2001,E$5))</f>
        <v/>
      </c>
      <c r="F49" s="18">
        <f>IF($A49="","",SUMIFS('Hours Log'!$G$2:$G$2001,'Hours Log'!$B$2:$B$2001,$A49,'Hours Log'!$A$2:$A$2001,F$5))</f>
        <v/>
      </c>
      <c r="G49" s="18">
        <f>IF($A49="","",SUMIFS('Hours Log'!$G$2:$G$2001,'Hours Log'!$B$2:$B$2001,$A49,'Hours Log'!$A$2:$A$2001,G$5))</f>
        <v/>
      </c>
      <c r="H49" s="18">
        <f>IF($A49="","",SUMIFS('Hours Log'!$G$2:$G$2001,'Hours Log'!$B$2:$B$2001,$A49,'Hours Log'!$A$2:$A$2001,H$5))</f>
        <v/>
      </c>
      <c r="I49" s="14">
        <f>IF($A49="","",SUM(B49:H49))</f>
        <v/>
      </c>
      <c r="K49">
        <f>IF(Sites!A45="","",Sites!A45)</f>
        <v/>
      </c>
      <c r="L49">
        <f>IF(K49="","",COUNTIFS('Hours Log'!$C$2:$C$2001,K49,'Hours Log'!$I$2:$I$2001,$B$3))</f>
        <v/>
      </c>
      <c r="M49" s="18">
        <f>IF(K49="","",SUMIFS('Hours Log'!$G$2:$G$2001,'Hours Log'!$C$2:$C$2001,K49,'Hours Log'!$I$2:$I$2001,$B$3))</f>
        <v/>
      </c>
      <c r="N49" s="10" t="n"/>
      <c r="O49" s="10" t="n"/>
      <c r="P49" s="18">
        <f>IF(OR(K49="",O49=""),"",M49-O49)</f>
        <v/>
      </c>
      <c r="Q49">
        <f>IF(K49="","",IF(AND(N(N49)&gt;0,L49=0),"Jobber visit, no hours logged",IF(AND(L49&gt;0,N49=""),"Enter Jobber visits",IF(AND(L49&gt;0,N(N49)=0),"Hours logged, no Jobber visit",IF(AND(O49&lt;&gt;"",ABS(N(P49))&gt;0.5),"Hours differ from Jobber","")))))</f>
        <v/>
      </c>
    </row>
    <row r="50">
      <c r="A50">
        <f>IF(Staff!A46="","",Staff!A46)</f>
        <v/>
      </c>
      <c r="B50" s="18">
        <f>IF($A50="","",SUMIFS('Hours Log'!$G$2:$G$2001,'Hours Log'!$B$2:$B$2001,$A50,'Hours Log'!$A$2:$A$2001,B$5))</f>
        <v/>
      </c>
      <c r="C50" s="18">
        <f>IF($A50="","",SUMIFS('Hours Log'!$G$2:$G$2001,'Hours Log'!$B$2:$B$2001,$A50,'Hours Log'!$A$2:$A$2001,C$5))</f>
        <v/>
      </c>
      <c r="D50" s="18">
        <f>IF($A50="","",SUMIFS('Hours Log'!$G$2:$G$2001,'Hours Log'!$B$2:$B$2001,$A50,'Hours Log'!$A$2:$A$2001,D$5))</f>
        <v/>
      </c>
      <c r="E50" s="18">
        <f>IF($A50="","",SUMIFS('Hours Log'!$G$2:$G$2001,'Hours Log'!$B$2:$B$2001,$A50,'Hours Log'!$A$2:$A$2001,E$5))</f>
        <v/>
      </c>
      <c r="F50" s="18">
        <f>IF($A50="","",SUMIFS('Hours Log'!$G$2:$G$2001,'Hours Log'!$B$2:$B$2001,$A50,'Hours Log'!$A$2:$A$2001,F$5))</f>
        <v/>
      </c>
      <c r="G50" s="18">
        <f>IF($A50="","",SUMIFS('Hours Log'!$G$2:$G$2001,'Hours Log'!$B$2:$B$2001,$A50,'Hours Log'!$A$2:$A$2001,G$5))</f>
        <v/>
      </c>
      <c r="H50" s="18">
        <f>IF($A50="","",SUMIFS('Hours Log'!$G$2:$G$2001,'Hours Log'!$B$2:$B$2001,$A50,'Hours Log'!$A$2:$A$2001,H$5))</f>
        <v/>
      </c>
      <c r="I50" s="14">
        <f>IF($A50="","",SUM(B50:H50))</f>
        <v/>
      </c>
      <c r="K50">
        <f>IF(Sites!A46="","",Sites!A46)</f>
        <v/>
      </c>
      <c r="L50">
        <f>IF(K50="","",COUNTIFS('Hours Log'!$C$2:$C$2001,K50,'Hours Log'!$I$2:$I$2001,$B$3))</f>
        <v/>
      </c>
      <c r="M50" s="18">
        <f>IF(K50="","",SUMIFS('Hours Log'!$G$2:$G$2001,'Hours Log'!$C$2:$C$2001,K50,'Hours Log'!$I$2:$I$2001,$B$3))</f>
        <v/>
      </c>
      <c r="N50" s="10" t="n"/>
      <c r="O50" s="10" t="n"/>
      <c r="P50" s="18">
        <f>IF(OR(K50="",O50=""),"",M50-O50)</f>
        <v/>
      </c>
      <c r="Q50">
        <f>IF(K50="","",IF(AND(N(N50)&gt;0,L50=0),"Jobber visit, no hours logged",IF(AND(L50&gt;0,N50=""),"Enter Jobber visits",IF(AND(L50&gt;0,N(N50)=0),"Hours logged, no Jobber visit",IF(AND(O50&lt;&gt;"",ABS(N(P50))&gt;0.5),"Hours differ from Jobber","")))))</f>
        <v/>
      </c>
    </row>
    <row r="51">
      <c r="A51">
        <f>IF(Staff!A47="","",Staff!A47)</f>
        <v/>
      </c>
      <c r="B51" s="18">
        <f>IF($A51="","",SUMIFS('Hours Log'!$G$2:$G$2001,'Hours Log'!$B$2:$B$2001,$A51,'Hours Log'!$A$2:$A$2001,B$5))</f>
        <v/>
      </c>
      <c r="C51" s="18">
        <f>IF($A51="","",SUMIFS('Hours Log'!$G$2:$G$2001,'Hours Log'!$B$2:$B$2001,$A51,'Hours Log'!$A$2:$A$2001,C$5))</f>
        <v/>
      </c>
      <c r="D51" s="18">
        <f>IF($A51="","",SUMIFS('Hours Log'!$G$2:$G$2001,'Hours Log'!$B$2:$B$2001,$A51,'Hours Log'!$A$2:$A$2001,D$5))</f>
        <v/>
      </c>
      <c r="E51" s="18">
        <f>IF($A51="","",SUMIFS('Hours Log'!$G$2:$G$2001,'Hours Log'!$B$2:$B$2001,$A51,'Hours Log'!$A$2:$A$2001,E$5))</f>
        <v/>
      </c>
      <c r="F51" s="18">
        <f>IF($A51="","",SUMIFS('Hours Log'!$G$2:$G$2001,'Hours Log'!$B$2:$B$2001,$A51,'Hours Log'!$A$2:$A$2001,F$5))</f>
        <v/>
      </c>
      <c r="G51" s="18">
        <f>IF($A51="","",SUMIFS('Hours Log'!$G$2:$G$2001,'Hours Log'!$B$2:$B$2001,$A51,'Hours Log'!$A$2:$A$2001,G$5))</f>
        <v/>
      </c>
      <c r="H51" s="18">
        <f>IF($A51="","",SUMIFS('Hours Log'!$G$2:$G$2001,'Hours Log'!$B$2:$B$2001,$A51,'Hours Log'!$A$2:$A$2001,H$5))</f>
        <v/>
      </c>
      <c r="I51" s="14">
        <f>IF($A51="","",SUM(B51:H51))</f>
        <v/>
      </c>
      <c r="K51">
        <f>IF(Sites!A47="","",Sites!A47)</f>
        <v/>
      </c>
      <c r="L51">
        <f>IF(K51="","",COUNTIFS('Hours Log'!$C$2:$C$2001,K51,'Hours Log'!$I$2:$I$2001,$B$3))</f>
        <v/>
      </c>
      <c r="M51" s="18">
        <f>IF(K51="","",SUMIFS('Hours Log'!$G$2:$G$2001,'Hours Log'!$C$2:$C$2001,K51,'Hours Log'!$I$2:$I$2001,$B$3))</f>
        <v/>
      </c>
      <c r="N51" s="10" t="n"/>
      <c r="O51" s="10" t="n"/>
      <c r="P51" s="18">
        <f>IF(OR(K51="",O51=""),"",M51-O51)</f>
        <v/>
      </c>
      <c r="Q51">
        <f>IF(K51="","",IF(AND(N(N51)&gt;0,L51=0),"Jobber visit, no hours logged",IF(AND(L51&gt;0,N51=""),"Enter Jobber visits",IF(AND(L51&gt;0,N(N51)=0),"Hours logged, no Jobber visit",IF(AND(O51&lt;&gt;"",ABS(N(P51))&gt;0.5),"Hours differ from Jobber","")))))</f>
        <v/>
      </c>
    </row>
    <row r="52">
      <c r="A52">
        <f>IF(Staff!A48="","",Staff!A48)</f>
        <v/>
      </c>
      <c r="B52" s="18">
        <f>IF($A52="","",SUMIFS('Hours Log'!$G$2:$G$2001,'Hours Log'!$B$2:$B$2001,$A52,'Hours Log'!$A$2:$A$2001,B$5))</f>
        <v/>
      </c>
      <c r="C52" s="18">
        <f>IF($A52="","",SUMIFS('Hours Log'!$G$2:$G$2001,'Hours Log'!$B$2:$B$2001,$A52,'Hours Log'!$A$2:$A$2001,C$5))</f>
        <v/>
      </c>
      <c r="D52" s="18">
        <f>IF($A52="","",SUMIFS('Hours Log'!$G$2:$G$2001,'Hours Log'!$B$2:$B$2001,$A52,'Hours Log'!$A$2:$A$2001,D$5))</f>
        <v/>
      </c>
      <c r="E52" s="18">
        <f>IF($A52="","",SUMIFS('Hours Log'!$G$2:$G$2001,'Hours Log'!$B$2:$B$2001,$A52,'Hours Log'!$A$2:$A$2001,E$5))</f>
        <v/>
      </c>
      <c r="F52" s="18">
        <f>IF($A52="","",SUMIFS('Hours Log'!$G$2:$G$2001,'Hours Log'!$B$2:$B$2001,$A52,'Hours Log'!$A$2:$A$2001,F$5))</f>
        <v/>
      </c>
      <c r="G52" s="18">
        <f>IF($A52="","",SUMIFS('Hours Log'!$G$2:$G$2001,'Hours Log'!$B$2:$B$2001,$A52,'Hours Log'!$A$2:$A$2001,G$5))</f>
        <v/>
      </c>
      <c r="H52" s="18">
        <f>IF($A52="","",SUMIFS('Hours Log'!$G$2:$G$2001,'Hours Log'!$B$2:$B$2001,$A52,'Hours Log'!$A$2:$A$2001,H$5))</f>
        <v/>
      </c>
      <c r="I52" s="14">
        <f>IF($A52="","",SUM(B52:H52))</f>
        <v/>
      </c>
      <c r="K52">
        <f>IF(Sites!A48="","",Sites!A48)</f>
        <v/>
      </c>
      <c r="L52">
        <f>IF(K52="","",COUNTIFS('Hours Log'!$C$2:$C$2001,K52,'Hours Log'!$I$2:$I$2001,$B$3))</f>
        <v/>
      </c>
      <c r="M52" s="18">
        <f>IF(K52="","",SUMIFS('Hours Log'!$G$2:$G$2001,'Hours Log'!$C$2:$C$2001,K52,'Hours Log'!$I$2:$I$2001,$B$3))</f>
        <v/>
      </c>
      <c r="N52" s="10" t="n"/>
      <c r="O52" s="10" t="n"/>
      <c r="P52" s="18">
        <f>IF(OR(K52="",O52=""),"",M52-O52)</f>
        <v/>
      </c>
      <c r="Q52">
        <f>IF(K52="","",IF(AND(N(N52)&gt;0,L52=0),"Jobber visit, no hours logged",IF(AND(L52&gt;0,N52=""),"Enter Jobber visits",IF(AND(L52&gt;0,N(N52)=0),"Hours logged, no Jobber visit",IF(AND(O52&lt;&gt;"",ABS(N(P52))&gt;0.5),"Hours differ from Jobber","")))))</f>
        <v/>
      </c>
    </row>
    <row r="53">
      <c r="A53">
        <f>IF(Staff!A49="","",Staff!A49)</f>
        <v/>
      </c>
      <c r="B53" s="18">
        <f>IF($A53="","",SUMIFS('Hours Log'!$G$2:$G$2001,'Hours Log'!$B$2:$B$2001,$A53,'Hours Log'!$A$2:$A$2001,B$5))</f>
        <v/>
      </c>
      <c r="C53" s="18">
        <f>IF($A53="","",SUMIFS('Hours Log'!$G$2:$G$2001,'Hours Log'!$B$2:$B$2001,$A53,'Hours Log'!$A$2:$A$2001,C$5))</f>
        <v/>
      </c>
      <c r="D53" s="18">
        <f>IF($A53="","",SUMIFS('Hours Log'!$G$2:$G$2001,'Hours Log'!$B$2:$B$2001,$A53,'Hours Log'!$A$2:$A$2001,D$5))</f>
        <v/>
      </c>
      <c r="E53" s="18">
        <f>IF($A53="","",SUMIFS('Hours Log'!$G$2:$G$2001,'Hours Log'!$B$2:$B$2001,$A53,'Hours Log'!$A$2:$A$2001,E$5))</f>
        <v/>
      </c>
      <c r="F53" s="18">
        <f>IF($A53="","",SUMIFS('Hours Log'!$G$2:$G$2001,'Hours Log'!$B$2:$B$2001,$A53,'Hours Log'!$A$2:$A$2001,F$5))</f>
        <v/>
      </c>
      <c r="G53" s="18">
        <f>IF($A53="","",SUMIFS('Hours Log'!$G$2:$G$2001,'Hours Log'!$B$2:$B$2001,$A53,'Hours Log'!$A$2:$A$2001,G$5))</f>
        <v/>
      </c>
      <c r="H53" s="18">
        <f>IF($A53="","",SUMIFS('Hours Log'!$G$2:$G$2001,'Hours Log'!$B$2:$B$2001,$A53,'Hours Log'!$A$2:$A$2001,H$5))</f>
        <v/>
      </c>
      <c r="I53" s="14">
        <f>IF($A53="","",SUM(B53:H53))</f>
        <v/>
      </c>
      <c r="K53">
        <f>IF(Sites!A49="","",Sites!A49)</f>
        <v/>
      </c>
      <c r="L53">
        <f>IF(K53="","",COUNTIFS('Hours Log'!$C$2:$C$2001,K53,'Hours Log'!$I$2:$I$2001,$B$3))</f>
        <v/>
      </c>
      <c r="M53" s="18">
        <f>IF(K53="","",SUMIFS('Hours Log'!$G$2:$G$2001,'Hours Log'!$C$2:$C$2001,K53,'Hours Log'!$I$2:$I$2001,$B$3))</f>
        <v/>
      </c>
      <c r="N53" s="10" t="n"/>
      <c r="O53" s="10" t="n"/>
      <c r="P53" s="18">
        <f>IF(OR(K53="",O53=""),"",M53-O53)</f>
        <v/>
      </c>
      <c r="Q53">
        <f>IF(K53="","",IF(AND(N(N53)&gt;0,L53=0),"Jobber visit, no hours logged",IF(AND(L53&gt;0,N53=""),"Enter Jobber visits",IF(AND(L53&gt;0,N(N53)=0),"Hours logged, no Jobber visit",IF(AND(O53&lt;&gt;"",ABS(N(P53))&gt;0.5),"Hours differ from Jobber","")))))</f>
        <v/>
      </c>
    </row>
    <row r="54">
      <c r="A54">
        <f>IF(Staff!A50="","",Staff!A50)</f>
        <v/>
      </c>
      <c r="B54" s="18">
        <f>IF($A54="","",SUMIFS('Hours Log'!$G$2:$G$2001,'Hours Log'!$B$2:$B$2001,$A54,'Hours Log'!$A$2:$A$2001,B$5))</f>
        <v/>
      </c>
      <c r="C54" s="18">
        <f>IF($A54="","",SUMIFS('Hours Log'!$G$2:$G$2001,'Hours Log'!$B$2:$B$2001,$A54,'Hours Log'!$A$2:$A$2001,C$5))</f>
        <v/>
      </c>
      <c r="D54" s="18">
        <f>IF($A54="","",SUMIFS('Hours Log'!$G$2:$G$2001,'Hours Log'!$B$2:$B$2001,$A54,'Hours Log'!$A$2:$A$2001,D$5))</f>
        <v/>
      </c>
      <c r="E54" s="18">
        <f>IF($A54="","",SUMIFS('Hours Log'!$G$2:$G$2001,'Hours Log'!$B$2:$B$2001,$A54,'Hours Log'!$A$2:$A$2001,E$5))</f>
        <v/>
      </c>
      <c r="F54" s="18">
        <f>IF($A54="","",SUMIFS('Hours Log'!$G$2:$G$2001,'Hours Log'!$B$2:$B$2001,$A54,'Hours Log'!$A$2:$A$2001,F$5))</f>
        <v/>
      </c>
      <c r="G54" s="18">
        <f>IF($A54="","",SUMIFS('Hours Log'!$G$2:$G$2001,'Hours Log'!$B$2:$B$2001,$A54,'Hours Log'!$A$2:$A$2001,G$5))</f>
        <v/>
      </c>
      <c r="H54" s="18">
        <f>IF($A54="","",SUMIFS('Hours Log'!$G$2:$G$2001,'Hours Log'!$B$2:$B$2001,$A54,'Hours Log'!$A$2:$A$2001,H$5))</f>
        <v/>
      </c>
      <c r="I54" s="14">
        <f>IF($A54="","",SUM(B54:H54))</f>
        <v/>
      </c>
      <c r="K54">
        <f>IF(Sites!A50="","",Sites!A50)</f>
        <v/>
      </c>
      <c r="L54">
        <f>IF(K54="","",COUNTIFS('Hours Log'!$C$2:$C$2001,K54,'Hours Log'!$I$2:$I$2001,$B$3))</f>
        <v/>
      </c>
      <c r="M54" s="18">
        <f>IF(K54="","",SUMIFS('Hours Log'!$G$2:$G$2001,'Hours Log'!$C$2:$C$2001,K54,'Hours Log'!$I$2:$I$2001,$B$3))</f>
        <v/>
      </c>
      <c r="N54" s="10" t="n"/>
      <c r="O54" s="10" t="n"/>
      <c r="P54" s="18">
        <f>IF(OR(K54="",O54=""),"",M54-O54)</f>
        <v/>
      </c>
      <c r="Q54">
        <f>IF(K54="","",IF(AND(N(N54)&gt;0,L54=0),"Jobber visit, no hours logged",IF(AND(L54&gt;0,N54=""),"Enter Jobber visits",IF(AND(L54&gt;0,N(N54)=0),"Hours logged, no Jobber visit",IF(AND(O54&lt;&gt;"",ABS(N(P54))&gt;0.5),"Hours differ from Jobber","")))))</f>
        <v/>
      </c>
    </row>
    <row r="55">
      <c r="A55">
        <f>IF(Staff!A51="","",Staff!A51)</f>
        <v/>
      </c>
      <c r="B55" s="18">
        <f>IF($A55="","",SUMIFS('Hours Log'!$G$2:$G$2001,'Hours Log'!$B$2:$B$2001,$A55,'Hours Log'!$A$2:$A$2001,B$5))</f>
        <v/>
      </c>
      <c r="C55" s="18">
        <f>IF($A55="","",SUMIFS('Hours Log'!$G$2:$G$2001,'Hours Log'!$B$2:$B$2001,$A55,'Hours Log'!$A$2:$A$2001,C$5))</f>
        <v/>
      </c>
      <c r="D55" s="18">
        <f>IF($A55="","",SUMIFS('Hours Log'!$G$2:$G$2001,'Hours Log'!$B$2:$B$2001,$A55,'Hours Log'!$A$2:$A$2001,D$5))</f>
        <v/>
      </c>
      <c r="E55" s="18">
        <f>IF($A55="","",SUMIFS('Hours Log'!$G$2:$G$2001,'Hours Log'!$B$2:$B$2001,$A55,'Hours Log'!$A$2:$A$2001,E$5))</f>
        <v/>
      </c>
      <c r="F55" s="18">
        <f>IF($A55="","",SUMIFS('Hours Log'!$G$2:$G$2001,'Hours Log'!$B$2:$B$2001,$A55,'Hours Log'!$A$2:$A$2001,F$5))</f>
        <v/>
      </c>
      <c r="G55" s="18">
        <f>IF($A55="","",SUMIFS('Hours Log'!$G$2:$G$2001,'Hours Log'!$B$2:$B$2001,$A55,'Hours Log'!$A$2:$A$2001,G$5))</f>
        <v/>
      </c>
      <c r="H55" s="18">
        <f>IF($A55="","",SUMIFS('Hours Log'!$G$2:$G$2001,'Hours Log'!$B$2:$B$2001,$A55,'Hours Log'!$A$2:$A$2001,H$5))</f>
        <v/>
      </c>
      <c r="I55" s="14">
        <f>IF($A55="","",SUM(B55:H55))</f>
        <v/>
      </c>
      <c r="K55">
        <f>IF(Sites!A51="","",Sites!A51)</f>
        <v/>
      </c>
      <c r="L55">
        <f>IF(K55="","",COUNTIFS('Hours Log'!$C$2:$C$2001,K55,'Hours Log'!$I$2:$I$2001,$B$3))</f>
        <v/>
      </c>
      <c r="M55" s="18">
        <f>IF(K55="","",SUMIFS('Hours Log'!$G$2:$G$2001,'Hours Log'!$C$2:$C$2001,K55,'Hours Log'!$I$2:$I$2001,$B$3))</f>
        <v/>
      </c>
      <c r="N55" s="10" t="n"/>
      <c r="O55" s="10" t="n"/>
      <c r="P55" s="18">
        <f>IF(OR(K55="",O55=""),"",M55-O55)</f>
        <v/>
      </c>
      <c r="Q55">
        <f>IF(K55="","",IF(AND(N(N55)&gt;0,L55=0),"Jobber visit, no hours logged",IF(AND(L55&gt;0,N55=""),"Enter Jobber visits",IF(AND(L55&gt;0,N(N55)=0),"Hours logged, no Jobber visit",IF(AND(O55&lt;&gt;"",ABS(N(P55))&gt;0.5),"Hours differ from Jobber","")))))</f>
        <v/>
      </c>
    </row>
    <row r="56">
      <c r="A56">
        <f>IF(Staff!A52="","",Staff!A52)</f>
        <v/>
      </c>
      <c r="B56" s="18">
        <f>IF($A56="","",SUMIFS('Hours Log'!$G$2:$G$2001,'Hours Log'!$B$2:$B$2001,$A56,'Hours Log'!$A$2:$A$2001,B$5))</f>
        <v/>
      </c>
      <c r="C56" s="18">
        <f>IF($A56="","",SUMIFS('Hours Log'!$G$2:$G$2001,'Hours Log'!$B$2:$B$2001,$A56,'Hours Log'!$A$2:$A$2001,C$5))</f>
        <v/>
      </c>
      <c r="D56" s="18">
        <f>IF($A56="","",SUMIFS('Hours Log'!$G$2:$G$2001,'Hours Log'!$B$2:$B$2001,$A56,'Hours Log'!$A$2:$A$2001,D$5))</f>
        <v/>
      </c>
      <c r="E56" s="18">
        <f>IF($A56="","",SUMIFS('Hours Log'!$G$2:$G$2001,'Hours Log'!$B$2:$B$2001,$A56,'Hours Log'!$A$2:$A$2001,E$5))</f>
        <v/>
      </c>
      <c r="F56" s="18">
        <f>IF($A56="","",SUMIFS('Hours Log'!$G$2:$G$2001,'Hours Log'!$B$2:$B$2001,$A56,'Hours Log'!$A$2:$A$2001,F$5))</f>
        <v/>
      </c>
      <c r="G56" s="18">
        <f>IF($A56="","",SUMIFS('Hours Log'!$G$2:$G$2001,'Hours Log'!$B$2:$B$2001,$A56,'Hours Log'!$A$2:$A$2001,G$5))</f>
        <v/>
      </c>
      <c r="H56" s="18">
        <f>IF($A56="","",SUMIFS('Hours Log'!$G$2:$G$2001,'Hours Log'!$B$2:$B$2001,$A56,'Hours Log'!$A$2:$A$2001,H$5))</f>
        <v/>
      </c>
      <c r="I56" s="14">
        <f>IF($A56="","",SUM(B56:H56))</f>
        <v/>
      </c>
      <c r="K56">
        <f>IF(Sites!A52="","",Sites!A52)</f>
        <v/>
      </c>
      <c r="L56">
        <f>IF(K56="","",COUNTIFS('Hours Log'!$C$2:$C$2001,K56,'Hours Log'!$I$2:$I$2001,$B$3))</f>
        <v/>
      </c>
      <c r="M56" s="18">
        <f>IF(K56="","",SUMIFS('Hours Log'!$G$2:$G$2001,'Hours Log'!$C$2:$C$2001,K56,'Hours Log'!$I$2:$I$2001,$B$3))</f>
        <v/>
      </c>
      <c r="N56" s="10" t="n"/>
      <c r="O56" s="10" t="n"/>
      <c r="P56" s="18">
        <f>IF(OR(K56="",O56=""),"",M56-O56)</f>
        <v/>
      </c>
      <c r="Q56">
        <f>IF(K56="","",IF(AND(N(N56)&gt;0,L56=0),"Jobber visit, no hours logged",IF(AND(L56&gt;0,N56=""),"Enter Jobber visits",IF(AND(L56&gt;0,N(N56)=0),"Hours logged, no Jobber visit",IF(AND(O56&lt;&gt;"",ABS(N(P56))&gt;0.5),"Hours differ from Jobber","")))))</f>
        <v/>
      </c>
    </row>
    <row r="57">
      <c r="A57">
        <f>IF(Staff!A53="","",Staff!A53)</f>
        <v/>
      </c>
      <c r="B57" s="18">
        <f>IF($A57="","",SUMIFS('Hours Log'!$G$2:$G$2001,'Hours Log'!$B$2:$B$2001,$A57,'Hours Log'!$A$2:$A$2001,B$5))</f>
        <v/>
      </c>
      <c r="C57" s="18">
        <f>IF($A57="","",SUMIFS('Hours Log'!$G$2:$G$2001,'Hours Log'!$B$2:$B$2001,$A57,'Hours Log'!$A$2:$A$2001,C$5))</f>
        <v/>
      </c>
      <c r="D57" s="18">
        <f>IF($A57="","",SUMIFS('Hours Log'!$G$2:$G$2001,'Hours Log'!$B$2:$B$2001,$A57,'Hours Log'!$A$2:$A$2001,D$5))</f>
        <v/>
      </c>
      <c r="E57" s="18">
        <f>IF($A57="","",SUMIFS('Hours Log'!$G$2:$G$2001,'Hours Log'!$B$2:$B$2001,$A57,'Hours Log'!$A$2:$A$2001,E$5))</f>
        <v/>
      </c>
      <c r="F57" s="18">
        <f>IF($A57="","",SUMIFS('Hours Log'!$G$2:$G$2001,'Hours Log'!$B$2:$B$2001,$A57,'Hours Log'!$A$2:$A$2001,F$5))</f>
        <v/>
      </c>
      <c r="G57" s="18">
        <f>IF($A57="","",SUMIFS('Hours Log'!$G$2:$G$2001,'Hours Log'!$B$2:$B$2001,$A57,'Hours Log'!$A$2:$A$2001,G$5))</f>
        <v/>
      </c>
      <c r="H57" s="18">
        <f>IF($A57="","",SUMIFS('Hours Log'!$G$2:$G$2001,'Hours Log'!$B$2:$B$2001,$A57,'Hours Log'!$A$2:$A$2001,H$5))</f>
        <v/>
      </c>
      <c r="I57" s="14">
        <f>IF($A57="","",SUM(B57:H57))</f>
        <v/>
      </c>
      <c r="K57">
        <f>IF(Sites!A53="","",Sites!A53)</f>
        <v/>
      </c>
      <c r="L57">
        <f>IF(K57="","",COUNTIFS('Hours Log'!$C$2:$C$2001,K57,'Hours Log'!$I$2:$I$2001,$B$3))</f>
        <v/>
      </c>
      <c r="M57" s="18">
        <f>IF(K57="","",SUMIFS('Hours Log'!$G$2:$G$2001,'Hours Log'!$C$2:$C$2001,K57,'Hours Log'!$I$2:$I$2001,$B$3))</f>
        <v/>
      </c>
      <c r="N57" s="10" t="n"/>
      <c r="O57" s="10" t="n"/>
      <c r="P57" s="18">
        <f>IF(OR(K57="",O57=""),"",M57-O57)</f>
        <v/>
      </c>
      <c r="Q57">
        <f>IF(K57="","",IF(AND(N(N57)&gt;0,L57=0),"Jobber visit, no hours logged",IF(AND(L57&gt;0,N57=""),"Enter Jobber visits",IF(AND(L57&gt;0,N(N57)=0),"Hours logged, no Jobber visit",IF(AND(O57&lt;&gt;"",ABS(N(P57))&gt;0.5),"Hours differ from Jobber","")))))</f>
        <v/>
      </c>
    </row>
    <row r="58">
      <c r="A58">
        <f>IF(Staff!A54="","",Staff!A54)</f>
        <v/>
      </c>
      <c r="B58" s="18">
        <f>IF($A58="","",SUMIFS('Hours Log'!$G$2:$G$2001,'Hours Log'!$B$2:$B$2001,$A58,'Hours Log'!$A$2:$A$2001,B$5))</f>
        <v/>
      </c>
      <c r="C58" s="18">
        <f>IF($A58="","",SUMIFS('Hours Log'!$G$2:$G$2001,'Hours Log'!$B$2:$B$2001,$A58,'Hours Log'!$A$2:$A$2001,C$5))</f>
        <v/>
      </c>
      <c r="D58" s="18">
        <f>IF($A58="","",SUMIFS('Hours Log'!$G$2:$G$2001,'Hours Log'!$B$2:$B$2001,$A58,'Hours Log'!$A$2:$A$2001,D$5))</f>
        <v/>
      </c>
      <c r="E58" s="18">
        <f>IF($A58="","",SUMIFS('Hours Log'!$G$2:$G$2001,'Hours Log'!$B$2:$B$2001,$A58,'Hours Log'!$A$2:$A$2001,E$5))</f>
        <v/>
      </c>
      <c r="F58" s="18">
        <f>IF($A58="","",SUMIFS('Hours Log'!$G$2:$G$2001,'Hours Log'!$B$2:$B$2001,$A58,'Hours Log'!$A$2:$A$2001,F$5))</f>
        <v/>
      </c>
      <c r="G58" s="18">
        <f>IF($A58="","",SUMIFS('Hours Log'!$G$2:$G$2001,'Hours Log'!$B$2:$B$2001,$A58,'Hours Log'!$A$2:$A$2001,G$5))</f>
        <v/>
      </c>
      <c r="H58" s="18">
        <f>IF($A58="","",SUMIFS('Hours Log'!$G$2:$G$2001,'Hours Log'!$B$2:$B$2001,$A58,'Hours Log'!$A$2:$A$2001,H$5))</f>
        <v/>
      </c>
      <c r="I58" s="14">
        <f>IF($A58="","",SUM(B58:H58))</f>
        <v/>
      </c>
      <c r="K58">
        <f>IF(Sites!A54="","",Sites!A54)</f>
        <v/>
      </c>
      <c r="L58">
        <f>IF(K58="","",COUNTIFS('Hours Log'!$C$2:$C$2001,K58,'Hours Log'!$I$2:$I$2001,$B$3))</f>
        <v/>
      </c>
      <c r="M58" s="18">
        <f>IF(K58="","",SUMIFS('Hours Log'!$G$2:$G$2001,'Hours Log'!$C$2:$C$2001,K58,'Hours Log'!$I$2:$I$2001,$B$3))</f>
        <v/>
      </c>
      <c r="N58" s="10" t="n"/>
      <c r="O58" s="10" t="n"/>
      <c r="P58" s="18">
        <f>IF(OR(K58="",O58=""),"",M58-O58)</f>
        <v/>
      </c>
      <c r="Q58">
        <f>IF(K58="","",IF(AND(N(N58)&gt;0,L58=0),"Jobber visit, no hours logged",IF(AND(L58&gt;0,N58=""),"Enter Jobber visits",IF(AND(L58&gt;0,N(N58)=0),"Hours logged, no Jobber visit",IF(AND(O58&lt;&gt;"",ABS(N(P58))&gt;0.5),"Hours differ from Jobber","")))))</f>
        <v/>
      </c>
    </row>
    <row r="59">
      <c r="A59">
        <f>IF(Staff!A55="","",Staff!A55)</f>
        <v/>
      </c>
      <c r="B59" s="18">
        <f>IF($A59="","",SUMIFS('Hours Log'!$G$2:$G$2001,'Hours Log'!$B$2:$B$2001,$A59,'Hours Log'!$A$2:$A$2001,B$5))</f>
        <v/>
      </c>
      <c r="C59" s="18">
        <f>IF($A59="","",SUMIFS('Hours Log'!$G$2:$G$2001,'Hours Log'!$B$2:$B$2001,$A59,'Hours Log'!$A$2:$A$2001,C$5))</f>
        <v/>
      </c>
      <c r="D59" s="18">
        <f>IF($A59="","",SUMIFS('Hours Log'!$G$2:$G$2001,'Hours Log'!$B$2:$B$2001,$A59,'Hours Log'!$A$2:$A$2001,D$5))</f>
        <v/>
      </c>
      <c r="E59" s="18">
        <f>IF($A59="","",SUMIFS('Hours Log'!$G$2:$G$2001,'Hours Log'!$B$2:$B$2001,$A59,'Hours Log'!$A$2:$A$2001,E$5))</f>
        <v/>
      </c>
      <c r="F59" s="18">
        <f>IF($A59="","",SUMIFS('Hours Log'!$G$2:$G$2001,'Hours Log'!$B$2:$B$2001,$A59,'Hours Log'!$A$2:$A$2001,F$5))</f>
        <v/>
      </c>
      <c r="G59" s="18">
        <f>IF($A59="","",SUMIFS('Hours Log'!$G$2:$G$2001,'Hours Log'!$B$2:$B$2001,$A59,'Hours Log'!$A$2:$A$2001,G$5))</f>
        <v/>
      </c>
      <c r="H59" s="18">
        <f>IF($A59="","",SUMIFS('Hours Log'!$G$2:$G$2001,'Hours Log'!$B$2:$B$2001,$A59,'Hours Log'!$A$2:$A$2001,H$5))</f>
        <v/>
      </c>
      <c r="I59" s="14">
        <f>IF($A59="","",SUM(B59:H59))</f>
        <v/>
      </c>
      <c r="K59">
        <f>IF(Sites!A55="","",Sites!A55)</f>
        <v/>
      </c>
      <c r="L59">
        <f>IF(K59="","",COUNTIFS('Hours Log'!$C$2:$C$2001,K59,'Hours Log'!$I$2:$I$2001,$B$3))</f>
        <v/>
      </c>
      <c r="M59" s="18">
        <f>IF(K59="","",SUMIFS('Hours Log'!$G$2:$G$2001,'Hours Log'!$C$2:$C$2001,K59,'Hours Log'!$I$2:$I$2001,$B$3))</f>
        <v/>
      </c>
      <c r="N59" s="10" t="n"/>
      <c r="O59" s="10" t="n"/>
      <c r="P59" s="18">
        <f>IF(OR(K59="",O59=""),"",M59-O59)</f>
        <v/>
      </c>
      <c r="Q59">
        <f>IF(K59="","",IF(AND(N(N59)&gt;0,L59=0),"Jobber visit, no hours logged",IF(AND(L59&gt;0,N59=""),"Enter Jobber visits",IF(AND(L59&gt;0,N(N59)=0),"Hours logged, no Jobber visit",IF(AND(O59&lt;&gt;"",ABS(N(P59))&gt;0.5),"Hours differ from Jobber","")))))</f>
        <v/>
      </c>
    </row>
    <row r="60">
      <c r="A60">
        <f>IF(Staff!A56="","",Staff!A56)</f>
        <v/>
      </c>
      <c r="B60" s="18">
        <f>IF($A60="","",SUMIFS('Hours Log'!$G$2:$G$2001,'Hours Log'!$B$2:$B$2001,$A60,'Hours Log'!$A$2:$A$2001,B$5))</f>
        <v/>
      </c>
      <c r="C60" s="18">
        <f>IF($A60="","",SUMIFS('Hours Log'!$G$2:$G$2001,'Hours Log'!$B$2:$B$2001,$A60,'Hours Log'!$A$2:$A$2001,C$5))</f>
        <v/>
      </c>
      <c r="D60" s="18">
        <f>IF($A60="","",SUMIFS('Hours Log'!$G$2:$G$2001,'Hours Log'!$B$2:$B$2001,$A60,'Hours Log'!$A$2:$A$2001,D$5))</f>
        <v/>
      </c>
      <c r="E60" s="18">
        <f>IF($A60="","",SUMIFS('Hours Log'!$G$2:$G$2001,'Hours Log'!$B$2:$B$2001,$A60,'Hours Log'!$A$2:$A$2001,E$5))</f>
        <v/>
      </c>
      <c r="F60" s="18">
        <f>IF($A60="","",SUMIFS('Hours Log'!$G$2:$G$2001,'Hours Log'!$B$2:$B$2001,$A60,'Hours Log'!$A$2:$A$2001,F$5))</f>
        <v/>
      </c>
      <c r="G60" s="18">
        <f>IF($A60="","",SUMIFS('Hours Log'!$G$2:$G$2001,'Hours Log'!$B$2:$B$2001,$A60,'Hours Log'!$A$2:$A$2001,G$5))</f>
        <v/>
      </c>
      <c r="H60" s="18">
        <f>IF($A60="","",SUMIFS('Hours Log'!$G$2:$G$2001,'Hours Log'!$B$2:$B$2001,$A60,'Hours Log'!$A$2:$A$2001,H$5))</f>
        <v/>
      </c>
      <c r="I60" s="14">
        <f>IF($A60="","",SUM(B60:H60))</f>
        <v/>
      </c>
      <c r="K60">
        <f>IF(Sites!A56="","",Sites!A56)</f>
        <v/>
      </c>
      <c r="L60">
        <f>IF(K60="","",COUNTIFS('Hours Log'!$C$2:$C$2001,K60,'Hours Log'!$I$2:$I$2001,$B$3))</f>
        <v/>
      </c>
      <c r="M60" s="18">
        <f>IF(K60="","",SUMIFS('Hours Log'!$G$2:$G$2001,'Hours Log'!$C$2:$C$2001,K60,'Hours Log'!$I$2:$I$2001,$B$3))</f>
        <v/>
      </c>
      <c r="N60" s="10" t="n"/>
      <c r="O60" s="10" t="n"/>
      <c r="P60" s="18">
        <f>IF(OR(K60="",O60=""),"",M60-O60)</f>
        <v/>
      </c>
      <c r="Q60">
        <f>IF(K60="","",IF(AND(N(N60)&gt;0,L60=0),"Jobber visit, no hours logged",IF(AND(L60&gt;0,N60=""),"Enter Jobber visits",IF(AND(L60&gt;0,N(N60)=0),"Hours logged, no Jobber visit",IF(AND(O60&lt;&gt;"",ABS(N(P60))&gt;0.5),"Hours differ from Jobber","")))))</f>
        <v/>
      </c>
    </row>
    <row r="61">
      <c r="A61">
        <f>IF(Staff!A57="","",Staff!A57)</f>
        <v/>
      </c>
      <c r="B61" s="18">
        <f>IF($A61="","",SUMIFS('Hours Log'!$G$2:$G$2001,'Hours Log'!$B$2:$B$2001,$A61,'Hours Log'!$A$2:$A$2001,B$5))</f>
        <v/>
      </c>
      <c r="C61" s="18">
        <f>IF($A61="","",SUMIFS('Hours Log'!$G$2:$G$2001,'Hours Log'!$B$2:$B$2001,$A61,'Hours Log'!$A$2:$A$2001,C$5))</f>
        <v/>
      </c>
      <c r="D61" s="18">
        <f>IF($A61="","",SUMIFS('Hours Log'!$G$2:$G$2001,'Hours Log'!$B$2:$B$2001,$A61,'Hours Log'!$A$2:$A$2001,D$5))</f>
        <v/>
      </c>
      <c r="E61" s="18">
        <f>IF($A61="","",SUMIFS('Hours Log'!$G$2:$G$2001,'Hours Log'!$B$2:$B$2001,$A61,'Hours Log'!$A$2:$A$2001,E$5))</f>
        <v/>
      </c>
      <c r="F61" s="18">
        <f>IF($A61="","",SUMIFS('Hours Log'!$G$2:$G$2001,'Hours Log'!$B$2:$B$2001,$A61,'Hours Log'!$A$2:$A$2001,F$5))</f>
        <v/>
      </c>
      <c r="G61" s="18">
        <f>IF($A61="","",SUMIFS('Hours Log'!$G$2:$G$2001,'Hours Log'!$B$2:$B$2001,$A61,'Hours Log'!$A$2:$A$2001,G$5))</f>
        <v/>
      </c>
      <c r="H61" s="18">
        <f>IF($A61="","",SUMIFS('Hours Log'!$G$2:$G$2001,'Hours Log'!$B$2:$B$2001,$A61,'Hours Log'!$A$2:$A$2001,H$5))</f>
        <v/>
      </c>
      <c r="I61" s="14">
        <f>IF($A61="","",SUM(B61:H61))</f>
        <v/>
      </c>
      <c r="K61">
        <f>IF(Sites!A57="","",Sites!A57)</f>
        <v/>
      </c>
      <c r="L61">
        <f>IF(K61="","",COUNTIFS('Hours Log'!$C$2:$C$2001,K61,'Hours Log'!$I$2:$I$2001,$B$3))</f>
        <v/>
      </c>
      <c r="M61" s="18">
        <f>IF(K61="","",SUMIFS('Hours Log'!$G$2:$G$2001,'Hours Log'!$C$2:$C$2001,K61,'Hours Log'!$I$2:$I$2001,$B$3))</f>
        <v/>
      </c>
      <c r="N61" s="10" t="n"/>
      <c r="O61" s="10" t="n"/>
      <c r="P61" s="18">
        <f>IF(OR(K61="",O61=""),"",M61-O61)</f>
        <v/>
      </c>
      <c r="Q61">
        <f>IF(K61="","",IF(AND(N(N61)&gt;0,L61=0),"Jobber visit, no hours logged",IF(AND(L61&gt;0,N61=""),"Enter Jobber visits",IF(AND(L61&gt;0,N(N61)=0),"Hours logged, no Jobber visit",IF(AND(O61&lt;&gt;"",ABS(N(P61))&gt;0.5),"Hours differ from Jobber","")))))</f>
        <v/>
      </c>
    </row>
    <row r="62">
      <c r="A62">
        <f>IF(Staff!A58="","",Staff!A58)</f>
        <v/>
      </c>
      <c r="B62" s="18">
        <f>IF($A62="","",SUMIFS('Hours Log'!$G$2:$G$2001,'Hours Log'!$B$2:$B$2001,$A62,'Hours Log'!$A$2:$A$2001,B$5))</f>
        <v/>
      </c>
      <c r="C62" s="18">
        <f>IF($A62="","",SUMIFS('Hours Log'!$G$2:$G$2001,'Hours Log'!$B$2:$B$2001,$A62,'Hours Log'!$A$2:$A$2001,C$5))</f>
        <v/>
      </c>
      <c r="D62" s="18">
        <f>IF($A62="","",SUMIFS('Hours Log'!$G$2:$G$2001,'Hours Log'!$B$2:$B$2001,$A62,'Hours Log'!$A$2:$A$2001,D$5))</f>
        <v/>
      </c>
      <c r="E62" s="18">
        <f>IF($A62="","",SUMIFS('Hours Log'!$G$2:$G$2001,'Hours Log'!$B$2:$B$2001,$A62,'Hours Log'!$A$2:$A$2001,E$5))</f>
        <v/>
      </c>
      <c r="F62" s="18">
        <f>IF($A62="","",SUMIFS('Hours Log'!$G$2:$G$2001,'Hours Log'!$B$2:$B$2001,$A62,'Hours Log'!$A$2:$A$2001,F$5))</f>
        <v/>
      </c>
      <c r="G62" s="18">
        <f>IF($A62="","",SUMIFS('Hours Log'!$G$2:$G$2001,'Hours Log'!$B$2:$B$2001,$A62,'Hours Log'!$A$2:$A$2001,G$5))</f>
        <v/>
      </c>
      <c r="H62" s="18">
        <f>IF($A62="","",SUMIFS('Hours Log'!$G$2:$G$2001,'Hours Log'!$B$2:$B$2001,$A62,'Hours Log'!$A$2:$A$2001,H$5))</f>
        <v/>
      </c>
      <c r="I62" s="14">
        <f>IF($A62="","",SUM(B62:H62))</f>
        <v/>
      </c>
      <c r="K62">
        <f>IF(Sites!A58="","",Sites!A58)</f>
        <v/>
      </c>
      <c r="L62">
        <f>IF(K62="","",COUNTIFS('Hours Log'!$C$2:$C$2001,K62,'Hours Log'!$I$2:$I$2001,$B$3))</f>
        <v/>
      </c>
      <c r="M62" s="18">
        <f>IF(K62="","",SUMIFS('Hours Log'!$G$2:$G$2001,'Hours Log'!$C$2:$C$2001,K62,'Hours Log'!$I$2:$I$2001,$B$3))</f>
        <v/>
      </c>
      <c r="N62" s="10" t="n"/>
      <c r="O62" s="10" t="n"/>
      <c r="P62" s="18">
        <f>IF(OR(K62="",O62=""),"",M62-O62)</f>
        <v/>
      </c>
      <c r="Q62">
        <f>IF(K62="","",IF(AND(N(N62)&gt;0,L62=0),"Jobber visit, no hours logged",IF(AND(L62&gt;0,N62=""),"Enter Jobber visits",IF(AND(L62&gt;0,N(N62)=0),"Hours logged, no Jobber visit",IF(AND(O62&lt;&gt;"",ABS(N(P62))&gt;0.5),"Hours differ from Jobber","")))))</f>
        <v/>
      </c>
    </row>
    <row r="63">
      <c r="A63">
        <f>IF(Staff!A59="","",Staff!A59)</f>
        <v/>
      </c>
      <c r="B63" s="18">
        <f>IF($A63="","",SUMIFS('Hours Log'!$G$2:$G$2001,'Hours Log'!$B$2:$B$2001,$A63,'Hours Log'!$A$2:$A$2001,B$5))</f>
        <v/>
      </c>
      <c r="C63" s="18">
        <f>IF($A63="","",SUMIFS('Hours Log'!$G$2:$G$2001,'Hours Log'!$B$2:$B$2001,$A63,'Hours Log'!$A$2:$A$2001,C$5))</f>
        <v/>
      </c>
      <c r="D63" s="18">
        <f>IF($A63="","",SUMIFS('Hours Log'!$G$2:$G$2001,'Hours Log'!$B$2:$B$2001,$A63,'Hours Log'!$A$2:$A$2001,D$5))</f>
        <v/>
      </c>
      <c r="E63" s="18">
        <f>IF($A63="","",SUMIFS('Hours Log'!$G$2:$G$2001,'Hours Log'!$B$2:$B$2001,$A63,'Hours Log'!$A$2:$A$2001,E$5))</f>
        <v/>
      </c>
      <c r="F63" s="18">
        <f>IF($A63="","",SUMIFS('Hours Log'!$G$2:$G$2001,'Hours Log'!$B$2:$B$2001,$A63,'Hours Log'!$A$2:$A$2001,F$5))</f>
        <v/>
      </c>
      <c r="G63" s="18">
        <f>IF($A63="","",SUMIFS('Hours Log'!$G$2:$G$2001,'Hours Log'!$B$2:$B$2001,$A63,'Hours Log'!$A$2:$A$2001,G$5))</f>
        <v/>
      </c>
      <c r="H63" s="18">
        <f>IF($A63="","",SUMIFS('Hours Log'!$G$2:$G$2001,'Hours Log'!$B$2:$B$2001,$A63,'Hours Log'!$A$2:$A$2001,H$5))</f>
        <v/>
      </c>
      <c r="I63" s="14">
        <f>IF($A63="","",SUM(B63:H63))</f>
        <v/>
      </c>
      <c r="K63">
        <f>IF(Sites!A59="","",Sites!A59)</f>
        <v/>
      </c>
      <c r="L63">
        <f>IF(K63="","",COUNTIFS('Hours Log'!$C$2:$C$2001,K63,'Hours Log'!$I$2:$I$2001,$B$3))</f>
        <v/>
      </c>
      <c r="M63" s="18">
        <f>IF(K63="","",SUMIFS('Hours Log'!$G$2:$G$2001,'Hours Log'!$C$2:$C$2001,K63,'Hours Log'!$I$2:$I$2001,$B$3))</f>
        <v/>
      </c>
      <c r="N63" s="10" t="n"/>
      <c r="O63" s="10" t="n"/>
      <c r="P63" s="18">
        <f>IF(OR(K63="",O63=""),"",M63-O63)</f>
        <v/>
      </c>
      <c r="Q63">
        <f>IF(K63="","",IF(AND(N(N63)&gt;0,L63=0),"Jobber visit, no hours logged",IF(AND(L63&gt;0,N63=""),"Enter Jobber visits",IF(AND(L63&gt;0,N(N63)=0),"Hours logged, no Jobber visit",IF(AND(O63&lt;&gt;"",ABS(N(P63))&gt;0.5),"Hours differ from Jobber","")))))</f>
        <v/>
      </c>
    </row>
    <row r="64">
      <c r="A64">
        <f>IF(Staff!A60="","",Staff!A60)</f>
        <v/>
      </c>
      <c r="B64" s="18">
        <f>IF($A64="","",SUMIFS('Hours Log'!$G$2:$G$2001,'Hours Log'!$B$2:$B$2001,$A64,'Hours Log'!$A$2:$A$2001,B$5))</f>
        <v/>
      </c>
      <c r="C64" s="18">
        <f>IF($A64="","",SUMIFS('Hours Log'!$G$2:$G$2001,'Hours Log'!$B$2:$B$2001,$A64,'Hours Log'!$A$2:$A$2001,C$5))</f>
        <v/>
      </c>
      <c r="D64" s="18">
        <f>IF($A64="","",SUMIFS('Hours Log'!$G$2:$G$2001,'Hours Log'!$B$2:$B$2001,$A64,'Hours Log'!$A$2:$A$2001,D$5))</f>
        <v/>
      </c>
      <c r="E64" s="18">
        <f>IF($A64="","",SUMIFS('Hours Log'!$G$2:$G$2001,'Hours Log'!$B$2:$B$2001,$A64,'Hours Log'!$A$2:$A$2001,E$5))</f>
        <v/>
      </c>
      <c r="F64" s="18">
        <f>IF($A64="","",SUMIFS('Hours Log'!$G$2:$G$2001,'Hours Log'!$B$2:$B$2001,$A64,'Hours Log'!$A$2:$A$2001,F$5))</f>
        <v/>
      </c>
      <c r="G64" s="18">
        <f>IF($A64="","",SUMIFS('Hours Log'!$G$2:$G$2001,'Hours Log'!$B$2:$B$2001,$A64,'Hours Log'!$A$2:$A$2001,G$5))</f>
        <v/>
      </c>
      <c r="H64" s="18">
        <f>IF($A64="","",SUMIFS('Hours Log'!$G$2:$G$2001,'Hours Log'!$B$2:$B$2001,$A64,'Hours Log'!$A$2:$A$2001,H$5))</f>
        <v/>
      </c>
      <c r="I64" s="14">
        <f>IF($A64="","",SUM(B64:H64))</f>
        <v/>
      </c>
      <c r="K64">
        <f>IF(Sites!A60="","",Sites!A60)</f>
        <v/>
      </c>
      <c r="L64">
        <f>IF(K64="","",COUNTIFS('Hours Log'!$C$2:$C$2001,K64,'Hours Log'!$I$2:$I$2001,$B$3))</f>
        <v/>
      </c>
      <c r="M64" s="18">
        <f>IF(K64="","",SUMIFS('Hours Log'!$G$2:$G$2001,'Hours Log'!$C$2:$C$2001,K64,'Hours Log'!$I$2:$I$2001,$B$3))</f>
        <v/>
      </c>
      <c r="N64" s="10" t="n"/>
      <c r="O64" s="10" t="n"/>
      <c r="P64" s="18">
        <f>IF(OR(K64="",O64=""),"",M64-O64)</f>
        <v/>
      </c>
      <c r="Q64">
        <f>IF(K64="","",IF(AND(N(N64)&gt;0,L64=0),"Jobber visit, no hours logged",IF(AND(L64&gt;0,N64=""),"Enter Jobber visits",IF(AND(L64&gt;0,N(N64)=0),"Hours logged, no Jobber visit",IF(AND(O64&lt;&gt;"",ABS(N(P64))&gt;0.5),"Hours differ from Jobber","")))))</f>
        <v/>
      </c>
    </row>
    <row r="65">
      <c r="A65">
        <f>IF(Staff!A61="","",Staff!A61)</f>
        <v/>
      </c>
      <c r="B65" s="18">
        <f>IF($A65="","",SUMIFS('Hours Log'!$G$2:$G$2001,'Hours Log'!$B$2:$B$2001,$A65,'Hours Log'!$A$2:$A$2001,B$5))</f>
        <v/>
      </c>
      <c r="C65" s="18">
        <f>IF($A65="","",SUMIFS('Hours Log'!$G$2:$G$2001,'Hours Log'!$B$2:$B$2001,$A65,'Hours Log'!$A$2:$A$2001,C$5))</f>
        <v/>
      </c>
      <c r="D65" s="18">
        <f>IF($A65="","",SUMIFS('Hours Log'!$G$2:$G$2001,'Hours Log'!$B$2:$B$2001,$A65,'Hours Log'!$A$2:$A$2001,D$5))</f>
        <v/>
      </c>
      <c r="E65" s="18">
        <f>IF($A65="","",SUMIFS('Hours Log'!$G$2:$G$2001,'Hours Log'!$B$2:$B$2001,$A65,'Hours Log'!$A$2:$A$2001,E$5))</f>
        <v/>
      </c>
      <c r="F65" s="18">
        <f>IF($A65="","",SUMIFS('Hours Log'!$G$2:$G$2001,'Hours Log'!$B$2:$B$2001,$A65,'Hours Log'!$A$2:$A$2001,F$5))</f>
        <v/>
      </c>
      <c r="G65" s="18">
        <f>IF($A65="","",SUMIFS('Hours Log'!$G$2:$G$2001,'Hours Log'!$B$2:$B$2001,$A65,'Hours Log'!$A$2:$A$2001,G$5))</f>
        <v/>
      </c>
      <c r="H65" s="18">
        <f>IF($A65="","",SUMIFS('Hours Log'!$G$2:$G$2001,'Hours Log'!$B$2:$B$2001,$A65,'Hours Log'!$A$2:$A$2001,H$5))</f>
        <v/>
      </c>
      <c r="I65" s="14">
        <f>IF($A65="","",SUM(B65:H65))</f>
        <v/>
      </c>
      <c r="K65">
        <f>IF(Sites!A61="","",Sites!A61)</f>
        <v/>
      </c>
      <c r="L65">
        <f>IF(K65="","",COUNTIFS('Hours Log'!$C$2:$C$2001,K65,'Hours Log'!$I$2:$I$2001,$B$3))</f>
        <v/>
      </c>
      <c r="M65" s="18">
        <f>IF(K65="","",SUMIFS('Hours Log'!$G$2:$G$2001,'Hours Log'!$C$2:$C$2001,K65,'Hours Log'!$I$2:$I$2001,$B$3))</f>
        <v/>
      </c>
      <c r="N65" s="10" t="n"/>
      <c r="O65" s="10" t="n"/>
      <c r="P65" s="18">
        <f>IF(OR(K65="",O65=""),"",M65-O65)</f>
        <v/>
      </c>
      <c r="Q65">
        <f>IF(K65="","",IF(AND(N(N65)&gt;0,L65=0),"Jobber visit, no hours logged",IF(AND(L65&gt;0,N65=""),"Enter Jobber visits",IF(AND(L65&gt;0,N(N65)=0),"Hours logged, no Jobber visit",IF(AND(O65&lt;&gt;"",ABS(N(P65))&gt;0.5),"Hours differ from Jobber","")))))</f>
        <v/>
      </c>
    </row>
    <row r="66">
      <c r="A66">
        <f>IF(Staff!A62="","",Staff!A62)</f>
        <v/>
      </c>
      <c r="B66" s="18">
        <f>IF($A66="","",SUMIFS('Hours Log'!$G$2:$G$2001,'Hours Log'!$B$2:$B$2001,$A66,'Hours Log'!$A$2:$A$2001,B$5))</f>
        <v/>
      </c>
      <c r="C66" s="18">
        <f>IF($A66="","",SUMIFS('Hours Log'!$G$2:$G$2001,'Hours Log'!$B$2:$B$2001,$A66,'Hours Log'!$A$2:$A$2001,C$5))</f>
        <v/>
      </c>
      <c r="D66" s="18">
        <f>IF($A66="","",SUMIFS('Hours Log'!$G$2:$G$2001,'Hours Log'!$B$2:$B$2001,$A66,'Hours Log'!$A$2:$A$2001,D$5))</f>
        <v/>
      </c>
      <c r="E66" s="18">
        <f>IF($A66="","",SUMIFS('Hours Log'!$G$2:$G$2001,'Hours Log'!$B$2:$B$2001,$A66,'Hours Log'!$A$2:$A$2001,E$5))</f>
        <v/>
      </c>
      <c r="F66" s="18">
        <f>IF($A66="","",SUMIFS('Hours Log'!$G$2:$G$2001,'Hours Log'!$B$2:$B$2001,$A66,'Hours Log'!$A$2:$A$2001,F$5))</f>
        <v/>
      </c>
      <c r="G66" s="18">
        <f>IF($A66="","",SUMIFS('Hours Log'!$G$2:$G$2001,'Hours Log'!$B$2:$B$2001,$A66,'Hours Log'!$A$2:$A$2001,G$5))</f>
        <v/>
      </c>
      <c r="H66" s="18">
        <f>IF($A66="","",SUMIFS('Hours Log'!$G$2:$G$2001,'Hours Log'!$B$2:$B$2001,$A66,'Hours Log'!$A$2:$A$2001,H$5))</f>
        <v/>
      </c>
      <c r="I66" s="14">
        <f>IF($A66="","",SUM(B66:H66))</f>
        <v/>
      </c>
      <c r="K66">
        <f>IF(Sites!A62="","",Sites!A62)</f>
        <v/>
      </c>
      <c r="L66">
        <f>IF(K66="","",COUNTIFS('Hours Log'!$C$2:$C$2001,K66,'Hours Log'!$I$2:$I$2001,$B$3))</f>
        <v/>
      </c>
      <c r="M66" s="18">
        <f>IF(K66="","",SUMIFS('Hours Log'!$G$2:$G$2001,'Hours Log'!$C$2:$C$2001,K66,'Hours Log'!$I$2:$I$2001,$B$3))</f>
        <v/>
      </c>
      <c r="N66" s="10" t="n"/>
      <c r="O66" s="10" t="n"/>
      <c r="P66" s="18">
        <f>IF(OR(K66="",O66=""),"",M66-O66)</f>
        <v/>
      </c>
      <c r="Q66">
        <f>IF(K66="","",IF(AND(N(N66)&gt;0,L66=0),"Jobber visit, no hours logged",IF(AND(L66&gt;0,N66=""),"Enter Jobber visits",IF(AND(L66&gt;0,N(N66)=0),"Hours logged, no Jobber visit",IF(AND(O66&lt;&gt;"",ABS(N(P66))&gt;0.5),"Hours differ from Jobber","")))))</f>
        <v/>
      </c>
    </row>
    <row r="67">
      <c r="A67">
        <f>IF(Staff!A63="","",Staff!A63)</f>
        <v/>
      </c>
      <c r="B67" s="18">
        <f>IF($A67="","",SUMIFS('Hours Log'!$G$2:$G$2001,'Hours Log'!$B$2:$B$2001,$A67,'Hours Log'!$A$2:$A$2001,B$5))</f>
        <v/>
      </c>
      <c r="C67" s="18">
        <f>IF($A67="","",SUMIFS('Hours Log'!$G$2:$G$2001,'Hours Log'!$B$2:$B$2001,$A67,'Hours Log'!$A$2:$A$2001,C$5))</f>
        <v/>
      </c>
      <c r="D67" s="18">
        <f>IF($A67="","",SUMIFS('Hours Log'!$G$2:$G$2001,'Hours Log'!$B$2:$B$2001,$A67,'Hours Log'!$A$2:$A$2001,D$5))</f>
        <v/>
      </c>
      <c r="E67" s="18">
        <f>IF($A67="","",SUMIFS('Hours Log'!$G$2:$G$2001,'Hours Log'!$B$2:$B$2001,$A67,'Hours Log'!$A$2:$A$2001,E$5))</f>
        <v/>
      </c>
      <c r="F67" s="18">
        <f>IF($A67="","",SUMIFS('Hours Log'!$G$2:$G$2001,'Hours Log'!$B$2:$B$2001,$A67,'Hours Log'!$A$2:$A$2001,F$5))</f>
        <v/>
      </c>
      <c r="G67" s="18">
        <f>IF($A67="","",SUMIFS('Hours Log'!$G$2:$G$2001,'Hours Log'!$B$2:$B$2001,$A67,'Hours Log'!$A$2:$A$2001,G$5))</f>
        <v/>
      </c>
      <c r="H67" s="18">
        <f>IF($A67="","",SUMIFS('Hours Log'!$G$2:$G$2001,'Hours Log'!$B$2:$B$2001,$A67,'Hours Log'!$A$2:$A$2001,H$5))</f>
        <v/>
      </c>
      <c r="I67" s="14">
        <f>IF($A67="","",SUM(B67:H67))</f>
        <v/>
      </c>
      <c r="K67">
        <f>IF(Sites!A63="","",Sites!A63)</f>
        <v/>
      </c>
      <c r="L67">
        <f>IF(K67="","",COUNTIFS('Hours Log'!$C$2:$C$2001,K67,'Hours Log'!$I$2:$I$2001,$B$3))</f>
        <v/>
      </c>
      <c r="M67" s="18">
        <f>IF(K67="","",SUMIFS('Hours Log'!$G$2:$G$2001,'Hours Log'!$C$2:$C$2001,K67,'Hours Log'!$I$2:$I$2001,$B$3))</f>
        <v/>
      </c>
      <c r="N67" s="10" t="n"/>
      <c r="O67" s="10" t="n"/>
      <c r="P67" s="18">
        <f>IF(OR(K67="",O67=""),"",M67-O67)</f>
        <v/>
      </c>
      <c r="Q67">
        <f>IF(K67="","",IF(AND(N(N67)&gt;0,L67=0),"Jobber visit, no hours logged",IF(AND(L67&gt;0,N67=""),"Enter Jobber visits",IF(AND(L67&gt;0,N(N67)=0),"Hours logged, no Jobber visit",IF(AND(O67&lt;&gt;"",ABS(N(P67))&gt;0.5),"Hours differ from Jobber","")))))</f>
        <v/>
      </c>
    </row>
    <row r="68">
      <c r="A68">
        <f>IF(Staff!A64="","",Staff!A64)</f>
        <v/>
      </c>
      <c r="B68" s="18">
        <f>IF($A68="","",SUMIFS('Hours Log'!$G$2:$G$2001,'Hours Log'!$B$2:$B$2001,$A68,'Hours Log'!$A$2:$A$2001,B$5))</f>
        <v/>
      </c>
      <c r="C68" s="18">
        <f>IF($A68="","",SUMIFS('Hours Log'!$G$2:$G$2001,'Hours Log'!$B$2:$B$2001,$A68,'Hours Log'!$A$2:$A$2001,C$5))</f>
        <v/>
      </c>
      <c r="D68" s="18">
        <f>IF($A68="","",SUMIFS('Hours Log'!$G$2:$G$2001,'Hours Log'!$B$2:$B$2001,$A68,'Hours Log'!$A$2:$A$2001,D$5))</f>
        <v/>
      </c>
      <c r="E68" s="18">
        <f>IF($A68="","",SUMIFS('Hours Log'!$G$2:$G$2001,'Hours Log'!$B$2:$B$2001,$A68,'Hours Log'!$A$2:$A$2001,E$5))</f>
        <v/>
      </c>
      <c r="F68" s="18">
        <f>IF($A68="","",SUMIFS('Hours Log'!$G$2:$G$2001,'Hours Log'!$B$2:$B$2001,$A68,'Hours Log'!$A$2:$A$2001,F$5))</f>
        <v/>
      </c>
      <c r="G68" s="18">
        <f>IF($A68="","",SUMIFS('Hours Log'!$G$2:$G$2001,'Hours Log'!$B$2:$B$2001,$A68,'Hours Log'!$A$2:$A$2001,G$5))</f>
        <v/>
      </c>
      <c r="H68" s="18">
        <f>IF($A68="","",SUMIFS('Hours Log'!$G$2:$G$2001,'Hours Log'!$B$2:$B$2001,$A68,'Hours Log'!$A$2:$A$2001,H$5))</f>
        <v/>
      </c>
      <c r="I68" s="14">
        <f>IF($A68="","",SUM(B68:H68))</f>
        <v/>
      </c>
      <c r="K68">
        <f>IF(Sites!A64="","",Sites!A64)</f>
        <v/>
      </c>
      <c r="L68">
        <f>IF(K68="","",COUNTIFS('Hours Log'!$C$2:$C$2001,K68,'Hours Log'!$I$2:$I$2001,$B$3))</f>
        <v/>
      </c>
      <c r="M68" s="18">
        <f>IF(K68="","",SUMIFS('Hours Log'!$G$2:$G$2001,'Hours Log'!$C$2:$C$2001,K68,'Hours Log'!$I$2:$I$2001,$B$3))</f>
        <v/>
      </c>
      <c r="N68" s="10" t="n"/>
      <c r="O68" s="10" t="n"/>
      <c r="P68" s="18">
        <f>IF(OR(K68="",O68=""),"",M68-O68)</f>
        <v/>
      </c>
      <c r="Q68">
        <f>IF(K68="","",IF(AND(N(N68)&gt;0,L68=0),"Jobber visit, no hours logged",IF(AND(L68&gt;0,N68=""),"Enter Jobber visits",IF(AND(L68&gt;0,N(N68)=0),"Hours logged, no Jobber visit",IF(AND(O68&lt;&gt;"",ABS(N(P68))&gt;0.5),"Hours differ from Jobber","")))))</f>
        <v/>
      </c>
    </row>
    <row r="69">
      <c r="A69">
        <f>IF(Staff!A65="","",Staff!A65)</f>
        <v/>
      </c>
      <c r="B69" s="18">
        <f>IF($A69="","",SUMIFS('Hours Log'!$G$2:$G$2001,'Hours Log'!$B$2:$B$2001,$A69,'Hours Log'!$A$2:$A$2001,B$5))</f>
        <v/>
      </c>
      <c r="C69" s="18">
        <f>IF($A69="","",SUMIFS('Hours Log'!$G$2:$G$2001,'Hours Log'!$B$2:$B$2001,$A69,'Hours Log'!$A$2:$A$2001,C$5))</f>
        <v/>
      </c>
      <c r="D69" s="18">
        <f>IF($A69="","",SUMIFS('Hours Log'!$G$2:$G$2001,'Hours Log'!$B$2:$B$2001,$A69,'Hours Log'!$A$2:$A$2001,D$5))</f>
        <v/>
      </c>
      <c r="E69" s="18">
        <f>IF($A69="","",SUMIFS('Hours Log'!$G$2:$G$2001,'Hours Log'!$B$2:$B$2001,$A69,'Hours Log'!$A$2:$A$2001,E$5))</f>
        <v/>
      </c>
      <c r="F69" s="18">
        <f>IF($A69="","",SUMIFS('Hours Log'!$G$2:$G$2001,'Hours Log'!$B$2:$B$2001,$A69,'Hours Log'!$A$2:$A$2001,F$5))</f>
        <v/>
      </c>
      <c r="G69" s="18">
        <f>IF($A69="","",SUMIFS('Hours Log'!$G$2:$G$2001,'Hours Log'!$B$2:$B$2001,$A69,'Hours Log'!$A$2:$A$2001,G$5))</f>
        <v/>
      </c>
      <c r="H69" s="18">
        <f>IF($A69="","",SUMIFS('Hours Log'!$G$2:$G$2001,'Hours Log'!$B$2:$B$2001,$A69,'Hours Log'!$A$2:$A$2001,H$5))</f>
        <v/>
      </c>
      <c r="I69" s="14">
        <f>IF($A69="","",SUM(B69:H69))</f>
        <v/>
      </c>
      <c r="K69">
        <f>IF(Sites!A65="","",Sites!A65)</f>
        <v/>
      </c>
      <c r="L69">
        <f>IF(K69="","",COUNTIFS('Hours Log'!$C$2:$C$2001,K69,'Hours Log'!$I$2:$I$2001,$B$3))</f>
        <v/>
      </c>
      <c r="M69" s="18">
        <f>IF(K69="","",SUMIFS('Hours Log'!$G$2:$G$2001,'Hours Log'!$C$2:$C$2001,K69,'Hours Log'!$I$2:$I$2001,$B$3))</f>
        <v/>
      </c>
      <c r="N69" s="10" t="n"/>
      <c r="O69" s="10" t="n"/>
      <c r="P69" s="18">
        <f>IF(OR(K69="",O69=""),"",M69-O69)</f>
        <v/>
      </c>
      <c r="Q69">
        <f>IF(K69="","",IF(AND(N(N69)&gt;0,L69=0),"Jobber visit, no hours logged",IF(AND(L69&gt;0,N69=""),"Enter Jobber visits",IF(AND(L69&gt;0,N(N69)=0),"Hours logged, no Jobber visit",IF(AND(O69&lt;&gt;"",ABS(N(P69))&gt;0.5),"Hours differ from Jobber","")))))</f>
        <v/>
      </c>
    </row>
    <row r="70">
      <c r="A70">
        <f>IF(Staff!A66="","",Staff!A66)</f>
        <v/>
      </c>
      <c r="B70" s="18">
        <f>IF($A70="","",SUMIFS('Hours Log'!$G$2:$G$2001,'Hours Log'!$B$2:$B$2001,$A70,'Hours Log'!$A$2:$A$2001,B$5))</f>
        <v/>
      </c>
      <c r="C70" s="18">
        <f>IF($A70="","",SUMIFS('Hours Log'!$G$2:$G$2001,'Hours Log'!$B$2:$B$2001,$A70,'Hours Log'!$A$2:$A$2001,C$5))</f>
        <v/>
      </c>
      <c r="D70" s="18">
        <f>IF($A70="","",SUMIFS('Hours Log'!$G$2:$G$2001,'Hours Log'!$B$2:$B$2001,$A70,'Hours Log'!$A$2:$A$2001,D$5))</f>
        <v/>
      </c>
      <c r="E70" s="18">
        <f>IF($A70="","",SUMIFS('Hours Log'!$G$2:$G$2001,'Hours Log'!$B$2:$B$2001,$A70,'Hours Log'!$A$2:$A$2001,E$5))</f>
        <v/>
      </c>
      <c r="F70" s="18">
        <f>IF($A70="","",SUMIFS('Hours Log'!$G$2:$G$2001,'Hours Log'!$B$2:$B$2001,$A70,'Hours Log'!$A$2:$A$2001,F$5))</f>
        <v/>
      </c>
      <c r="G70" s="18">
        <f>IF($A70="","",SUMIFS('Hours Log'!$G$2:$G$2001,'Hours Log'!$B$2:$B$2001,$A70,'Hours Log'!$A$2:$A$2001,G$5))</f>
        <v/>
      </c>
      <c r="H70" s="18">
        <f>IF($A70="","",SUMIFS('Hours Log'!$G$2:$G$2001,'Hours Log'!$B$2:$B$2001,$A70,'Hours Log'!$A$2:$A$2001,H$5))</f>
        <v/>
      </c>
      <c r="I70" s="14">
        <f>IF($A70="","",SUM(B70:H70))</f>
        <v/>
      </c>
      <c r="K70">
        <f>IF(Sites!A66="","",Sites!A66)</f>
        <v/>
      </c>
      <c r="L70">
        <f>IF(K70="","",COUNTIFS('Hours Log'!$C$2:$C$2001,K70,'Hours Log'!$I$2:$I$2001,$B$3))</f>
        <v/>
      </c>
      <c r="M70" s="18">
        <f>IF(K70="","",SUMIFS('Hours Log'!$G$2:$G$2001,'Hours Log'!$C$2:$C$2001,K70,'Hours Log'!$I$2:$I$2001,$B$3))</f>
        <v/>
      </c>
      <c r="N70" s="10" t="n"/>
      <c r="O70" s="10" t="n"/>
      <c r="P70" s="18">
        <f>IF(OR(K70="",O70=""),"",M70-O70)</f>
        <v/>
      </c>
      <c r="Q70">
        <f>IF(K70="","",IF(AND(N(N70)&gt;0,L70=0),"Jobber visit, no hours logged",IF(AND(L70&gt;0,N70=""),"Enter Jobber visits",IF(AND(L70&gt;0,N(N70)=0),"Hours logged, no Jobber visit",IF(AND(O70&lt;&gt;"",ABS(N(P70))&gt;0.5),"Hours differ from Jobber","")))))</f>
        <v/>
      </c>
    </row>
    <row r="71">
      <c r="A71">
        <f>IF(Staff!A67="","",Staff!A67)</f>
        <v/>
      </c>
      <c r="B71" s="18">
        <f>IF($A71="","",SUMIFS('Hours Log'!$G$2:$G$2001,'Hours Log'!$B$2:$B$2001,$A71,'Hours Log'!$A$2:$A$2001,B$5))</f>
        <v/>
      </c>
      <c r="C71" s="18">
        <f>IF($A71="","",SUMIFS('Hours Log'!$G$2:$G$2001,'Hours Log'!$B$2:$B$2001,$A71,'Hours Log'!$A$2:$A$2001,C$5))</f>
        <v/>
      </c>
      <c r="D71" s="18">
        <f>IF($A71="","",SUMIFS('Hours Log'!$G$2:$G$2001,'Hours Log'!$B$2:$B$2001,$A71,'Hours Log'!$A$2:$A$2001,D$5))</f>
        <v/>
      </c>
      <c r="E71" s="18">
        <f>IF($A71="","",SUMIFS('Hours Log'!$G$2:$G$2001,'Hours Log'!$B$2:$B$2001,$A71,'Hours Log'!$A$2:$A$2001,E$5))</f>
        <v/>
      </c>
      <c r="F71" s="18">
        <f>IF($A71="","",SUMIFS('Hours Log'!$G$2:$G$2001,'Hours Log'!$B$2:$B$2001,$A71,'Hours Log'!$A$2:$A$2001,F$5))</f>
        <v/>
      </c>
      <c r="G71" s="18">
        <f>IF($A71="","",SUMIFS('Hours Log'!$G$2:$G$2001,'Hours Log'!$B$2:$B$2001,$A71,'Hours Log'!$A$2:$A$2001,G$5))</f>
        <v/>
      </c>
      <c r="H71" s="18">
        <f>IF($A71="","",SUMIFS('Hours Log'!$G$2:$G$2001,'Hours Log'!$B$2:$B$2001,$A71,'Hours Log'!$A$2:$A$2001,H$5))</f>
        <v/>
      </c>
      <c r="I71" s="14">
        <f>IF($A71="","",SUM(B71:H71))</f>
        <v/>
      </c>
      <c r="K71">
        <f>IF(Sites!A67="","",Sites!A67)</f>
        <v/>
      </c>
      <c r="L71">
        <f>IF(K71="","",COUNTIFS('Hours Log'!$C$2:$C$2001,K71,'Hours Log'!$I$2:$I$2001,$B$3))</f>
        <v/>
      </c>
      <c r="M71" s="18">
        <f>IF(K71="","",SUMIFS('Hours Log'!$G$2:$G$2001,'Hours Log'!$C$2:$C$2001,K71,'Hours Log'!$I$2:$I$2001,$B$3))</f>
        <v/>
      </c>
      <c r="N71" s="10" t="n"/>
      <c r="O71" s="10" t="n"/>
      <c r="P71" s="18">
        <f>IF(OR(K71="",O71=""),"",M71-O71)</f>
        <v/>
      </c>
      <c r="Q71">
        <f>IF(K71="","",IF(AND(N(N71)&gt;0,L71=0),"Jobber visit, no hours logged",IF(AND(L71&gt;0,N71=""),"Enter Jobber visits",IF(AND(L71&gt;0,N(N71)=0),"Hours logged, no Jobber visit",IF(AND(O71&lt;&gt;"",ABS(N(P71))&gt;0.5),"Hours differ from Jobber","")))))</f>
        <v/>
      </c>
    </row>
    <row r="72">
      <c r="A72">
        <f>IF(Staff!A68="","",Staff!A68)</f>
        <v/>
      </c>
      <c r="B72" s="18">
        <f>IF($A72="","",SUMIFS('Hours Log'!$G$2:$G$2001,'Hours Log'!$B$2:$B$2001,$A72,'Hours Log'!$A$2:$A$2001,B$5))</f>
        <v/>
      </c>
      <c r="C72" s="18">
        <f>IF($A72="","",SUMIFS('Hours Log'!$G$2:$G$2001,'Hours Log'!$B$2:$B$2001,$A72,'Hours Log'!$A$2:$A$2001,C$5))</f>
        <v/>
      </c>
      <c r="D72" s="18">
        <f>IF($A72="","",SUMIFS('Hours Log'!$G$2:$G$2001,'Hours Log'!$B$2:$B$2001,$A72,'Hours Log'!$A$2:$A$2001,D$5))</f>
        <v/>
      </c>
      <c r="E72" s="18">
        <f>IF($A72="","",SUMIFS('Hours Log'!$G$2:$G$2001,'Hours Log'!$B$2:$B$2001,$A72,'Hours Log'!$A$2:$A$2001,E$5))</f>
        <v/>
      </c>
      <c r="F72" s="18">
        <f>IF($A72="","",SUMIFS('Hours Log'!$G$2:$G$2001,'Hours Log'!$B$2:$B$2001,$A72,'Hours Log'!$A$2:$A$2001,F$5))</f>
        <v/>
      </c>
      <c r="G72" s="18">
        <f>IF($A72="","",SUMIFS('Hours Log'!$G$2:$G$2001,'Hours Log'!$B$2:$B$2001,$A72,'Hours Log'!$A$2:$A$2001,G$5))</f>
        <v/>
      </c>
      <c r="H72" s="18">
        <f>IF($A72="","",SUMIFS('Hours Log'!$G$2:$G$2001,'Hours Log'!$B$2:$B$2001,$A72,'Hours Log'!$A$2:$A$2001,H$5))</f>
        <v/>
      </c>
      <c r="I72" s="14">
        <f>IF($A72="","",SUM(B72:H72))</f>
        <v/>
      </c>
      <c r="K72">
        <f>IF(Sites!A68="","",Sites!A68)</f>
        <v/>
      </c>
      <c r="L72">
        <f>IF(K72="","",COUNTIFS('Hours Log'!$C$2:$C$2001,K72,'Hours Log'!$I$2:$I$2001,$B$3))</f>
        <v/>
      </c>
      <c r="M72" s="18">
        <f>IF(K72="","",SUMIFS('Hours Log'!$G$2:$G$2001,'Hours Log'!$C$2:$C$2001,K72,'Hours Log'!$I$2:$I$2001,$B$3))</f>
        <v/>
      </c>
      <c r="N72" s="10" t="n"/>
      <c r="O72" s="10" t="n"/>
      <c r="P72" s="18">
        <f>IF(OR(K72="",O72=""),"",M72-O72)</f>
        <v/>
      </c>
      <c r="Q72">
        <f>IF(K72="","",IF(AND(N(N72)&gt;0,L72=0),"Jobber visit, no hours logged",IF(AND(L72&gt;0,N72=""),"Enter Jobber visits",IF(AND(L72&gt;0,N(N72)=0),"Hours logged, no Jobber visit",IF(AND(O72&lt;&gt;"",ABS(N(P72))&gt;0.5),"Hours differ from Jobber","")))))</f>
        <v/>
      </c>
    </row>
    <row r="73">
      <c r="A73">
        <f>IF(Staff!A69="","",Staff!A69)</f>
        <v/>
      </c>
      <c r="B73" s="18">
        <f>IF($A73="","",SUMIFS('Hours Log'!$G$2:$G$2001,'Hours Log'!$B$2:$B$2001,$A73,'Hours Log'!$A$2:$A$2001,B$5))</f>
        <v/>
      </c>
      <c r="C73" s="18">
        <f>IF($A73="","",SUMIFS('Hours Log'!$G$2:$G$2001,'Hours Log'!$B$2:$B$2001,$A73,'Hours Log'!$A$2:$A$2001,C$5))</f>
        <v/>
      </c>
      <c r="D73" s="18">
        <f>IF($A73="","",SUMIFS('Hours Log'!$G$2:$G$2001,'Hours Log'!$B$2:$B$2001,$A73,'Hours Log'!$A$2:$A$2001,D$5))</f>
        <v/>
      </c>
      <c r="E73" s="18">
        <f>IF($A73="","",SUMIFS('Hours Log'!$G$2:$G$2001,'Hours Log'!$B$2:$B$2001,$A73,'Hours Log'!$A$2:$A$2001,E$5))</f>
        <v/>
      </c>
      <c r="F73" s="18">
        <f>IF($A73="","",SUMIFS('Hours Log'!$G$2:$G$2001,'Hours Log'!$B$2:$B$2001,$A73,'Hours Log'!$A$2:$A$2001,F$5))</f>
        <v/>
      </c>
      <c r="G73" s="18">
        <f>IF($A73="","",SUMIFS('Hours Log'!$G$2:$G$2001,'Hours Log'!$B$2:$B$2001,$A73,'Hours Log'!$A$2:$A$2001,G$5))</f>
        <v/>
      </c>
      <c r="H73" s="18">
        <f>IF($A73="","",SUMIFS('Hours Log'!$G$2:$G$2001,'Hours Log'!$B$2:$B$2001,$A73,'Hours Log'!$A$2:$A$2001,H$5))</f>
        <v/>
      </c>
      <c r="I73" s="14">
        <f>IF($A73="","",SUM(B73:H73))</f>
        <v/>
      </c>
      <c r="K73">
        <f>IF(Sites!A69="","",Sites!A69)</f>
        <v/>
      </c>
      <c r="L73">
        <f>IF(K73="","",COUNTIFS('Hours Log'!$C$2:$C$2001,K73,'Hours Log'!$I$2:$I$2001,$B$3))</f>
        <v/>
      </c>
      <c r="M73" s="18">
        <f>IF(K73="","",SUMIFS('Hours Log'!$G$2:$G$2001,'Hours Log'!$C$2:$C$2001,K73,'Hours Log'!$I$2:$I$2001,$B$3))</f>
        <v/>
      </c>
      <c r="N73" s="10" t="n"/>
      <c r="O73" s="10" t="n"/>
      <c r="P73" s="18">
        <f>IF(OR(K73="",O73=""),"",M73-O73)</f>
        <v/>
      </c>
      <c r="Q73">
        <f>IF(K73="","",IF(AND(N(N73)&gt;0,L73=0),"Jobber visit, no hours logged",IF(AND(L73&gt;0,N73=""),"Enter Jobber visits",IF(AND(L73&gt;0,N(N73)=0),"Hours logged, no Jobber visit",IF(AND(O73&lt;&gt;"",ABS(N(P73))&gt;0.5),"Hours differ from Jobber","")))))</f>
        <v/>
      </c>
    </row>
    <row r="74">
      <c r="A74">
        <f>IF(Staff!A70="","",Staff!A70)</f>
        <v/>
      </c>
      <c r="B74" s="18">
        <f>IF($A74="","",SUMIFS('Hours Log'!$G$2:$G$2001,'Hours Log'!$B$2:$B$2001,$A74,'Hours Log'!$A$2:$A$2001,B$5))</f>
        <v/>
      </c>
      <c r="C74" s="18">
        <f>IF($A74="","",SUMIFS('Hours Log'!$G$2:$G$2001,'Hours Log'!$B$2:$B$2001,$A74,'Hours Log'!$A$2:$A$2001,C$5))</f>
        <v/>
      </c>
      <c r="D74" s="18">
        <f>IF($A74="","",SUMIFS('Hours Log'!$G$2:$G$2001,'Hours Log'!$B$2:$B$2001,$A74,'Hours Log'!$A$2:$A$2001,D$5))</f>
        <v/>
      </c>
      <c r="E74" s="18">
        <f>IF($A74="","",SUMIFS('Hours Log'!$G$2:$G$2001,'Hours Log'!$B$2:$B$2001,$A74,'Hours Log'!$A$2:$A$2001,E$5))</f>
        <v/>
      </c>
      <c r="F74" s="18">
        <f>IF($A74="","",SUMIFS('Hours Log'!$G$2:$G$2001,'Hours Log'!$B$2:$B$2001,$A74,'Hours Log'!$A$2:$A$2001,F$5))</f>
        <v/>
      </c>
      <c r="G74" s="18">
        <f>IF($A74="","",SUMIFS('Hours Log'!$G$2:$G$2001,'Hours Log'!$B$2:$B$2001,$A74,'Hours Log'!$A$2:$A$2001,G$5))</f>
        <v/>
      </c>
      <c r="H74" s="18">
        <f>IF($A74="","",SUMIFS('Hours Log'!$G$2:$G$2001,'Hours Log'!$B$2:$B$2001,$A74,'Hours Log'!$A$2:$A$2001,H$5))</f>
        <v/>
      </c>
      <c r="I74" s="14">
        <f>IF($A74="","",SUM(B74:H74))</f>
        <v/>
      </c>
      <c r="K74">
        <f>IF(Sites!A70="","",Sites!A70)</f>
        <v/>
      </c>
      <c r="L74">
        <f>IF(K74="","",COUNTIFS('Hours Log'!$C$2:$C$2001,K74,'Hours Log'!$I$2:$I$2001,$B$3))</f>
        <v/>
      </c>
      <c r="M74" s="18">
        <f>IF(K74="","",SUMIFS('Hours Log'!$G$2:$G$2001,'Hours Log'!$C$2:$C$2001,K74,'Hours Log'!$I$2:$I$2001,$B$3))</f>
        <v/>
      </c>
      <c r="N74" s="10" t="n"/>
      <c r="O74" s="10" t="n"/>
      <c r="P74" s="18">
        <f>IF(OR(K74="",O74=""),"",M74-O74)</f>
        <v/>
      </c>
      <c r="Q74">
        <f>IF(K74="","",IF(AND(N(N74)&gt;0,L74=0),"Jobber visit, no hours logged",IF(AND(L74&gt;0,N74=""),"Enter Jobber visits",IF(AND(L74&gt;0,N(N74)=0),"Hours logged, no Jobber visit",IF(AND(O74&lt;&gt;"",ABS(N(P74))&gt;0.5),"Hours differ from Jobber","")))))</f>
        <v/>
      </c>
    </row>
    <row r="75">
      <c r="A75">
        <f>IF(Staff!A71="","",Staff!A71)</f>
        <v/>
      </c>
      <c r="B75" s="18">
        <f>IF($A75="","",SUMIFS('Hours Log'!$G$2:$G$2001,'Hours Log'!$B$2:$B$2001,$A75,'Hours Log'!$A$2:$A$2001,B$5))</f>
        <v/>
      </c>
      <c r="C75" s="18">
        <f>IF($A75="","",SUMIFS('Hours Log'!$G$2:$G$2001,'Hours Log'!$B$2:$B$2001,$A75,'Hours Log'!$A$2:$A$2001,C$5))</f>
        <v/>
      </c>
      <c r="D75" s="18">
        <f>IF($A75="","",SUMIFS('Hours Log'!$G$2:$G$2001,'Hours Log'!$B$2:$B$2001,$A75,'Hours Log'!$A$2:$A$2001,D$5))</f>
        <v/>
      </c>
      <c r="E75" s="18">
        <f>IF($A75="","",SUMIFS('Hours Log'!$G$2:$G$2001,'Hours Log'!$B$2:$B$2001,$A75,'Hours Log'!$A$2:$A$2001,E$5))</f>
        <v/>
      </c>
      <c r="F75" s="18">
        <f>IF($A75="","",SUMIFS('Hours Log'!$G$2:$G$2001,'Hours Log'!$B$2:$B$2001,$A75,'Hours Log'!$A$2:$A$2001,F$5))</f>
        <v/>
      </c>
      <c r="G75" s="18">
        <f>IF($A75="","",SUMIFS('Hours Log'!$G$2:$G$2001,'Hours Log'!$B$2:$B$2001,$A75,'Hours Log'!$A$2:$A$2001,G$5))</f>
        <v/>
      </c>
      <c r="H75" s="18">
        <f>IF($A75="","",SUMIFS('Hours Log'!$G$2:$G$2001,'Hours Log'!$B$2:$B$2001,$A75,'Hours Log'!$A$2:$A$2001,H$5))</f>
        <v/>
      </c>
      <c r="I75" s="14">
        <f>IF($A75="","",SUM(B75:H75))</f>
        <v/>
      </c>
      <c r="K75">
        <f>IF(Sites!A71="","",Sites!A71)</f>
        <v/>
      </c>
      <c r="L75">
        <f>IF(K75="","",COUNTIFS('Hours Log'!$C$2:$C$2001,K75,'Hours Log'!$I$2:$I$2001,$B$3))</f>
        <v/>
      </c>
      <c r="M75" s="18">
        <f>IF(K75="","",SUMIFS('Hours Log'!$G$2:$G$2001,'Hours Log'!$C$2:$C$2001,K75,'Hours Log'!$I$2:$I$2001,$B$3))</f>
        <v/>
      </c>
      <c r="N75" s="10" t="n"/>
      <c r="O75" s="10" t="n"/>
      <c r="P75" s="18">
        <f>IF(OR(K75="",O75=""),"",M75-O75)</f>
        <v/>
      </c>
      <c r="Q75">
        <f>IF(K75="","",IF(AND(N(N75)&gt;0,L75=0),"Jobber visit, no hours logged",IF(AND(L75&gt;0,N75=""),"Enter Jobber visits",IF(AND(L75&gt;0,N(N75)=0),"Hours logged, no Jobber visit",IF(AND(O75&lt;&gt;"",ABS(N(P75))&gt;0.5),"Hours differ from Jobber","")))))</f>
        <v/>
      </c>
    </row>
    <row r="76">
      <c r="A76">
        <f>IF(Staff!A72="","",Staff!A72)</f>
        <v/>
      </c>
      <c r="B76" s="18">
        <f>IF($A76="","",SUMIFS('Hours Log'!$G$2:$G$2001,'Hours Log'!$B$2:$B$2001,$A76,'Hours Log'!$A$2:$A$2001,B$5))</f>
        <v/>
      </c>
      <c r="C76" s="18">
        <f>IF($A76="","",SUMIFS('Hours Log'!$G$2:$G$2001,'Hours Log'!$B$2:$B$2001,$A76,'Hours Log'!$A$2:$A$2001,C$5))</f>
        <v/>
      </c>
      <c r="D76" s="18">
        <f>IF($A76="","",SUMIFS('Hours Log'!$G$2:$G$2001,'Hours Log'!$B$2:$B$2001,$A76,'Hours Log'!$A$2:$A$2001,D$5))</f>
        <v/>
      </c>
      <c r="E76" s="18">
        <f>IF($A76="","",SUMIFS('Hours Log'!$G$2:$G$2001,'Hours Log'!$B$2:$B$2001,$A76,'Hours Log'!$A$2:$A$2001,E$5))</f>
        <v/>
      </c>
      <c r="F76" s="18">
        <f>IF($A76="","",SUMIFS('Hours Log'!$G$2:$G$2001,'Hours Log'!$B$2:$B$2001,$A76,'Hours Log'!$A$2:$A$2001,F$5))</f>
        <v/>
      </c>
      <c r="G76" s="18">
        <f>IF($A76="","",SUMIFS('Hours Log'!$G$2:$G$2001,'Hours Log'!$B$2:$B$2001,$A76,'Hours Log'!$A$2:$A$2001,G$5))</f>
        <v/>
      </c>
      <c r="H76" s="18">
        <f>IF($A76="","",SUMIFS('Hours Log'!$G$2:$G$2001,'Hours Log'!$B$2:$B$2001,$A76,'Hours Log'!$A$2:$A$2001,H$5))</f>
        <v/>
      </c>
      <c r="I76" s="14">
        <f>IF($A76="","",SUM(B76:H76))</f>
        <v/>
      </c>
      <c r="K76">
        <f>IF(Sites!A72="","",Sites!A72)</f>
        <v/>
      </c>
      <c r="L76">
        <f>IF(K76="","",COUNTIFS('Hours Log'!$C$2:$C$2001,K76,'Hours Log'!$I$2:$I$2001,$B$3))</f>
        <v/>
      </c>
      <c r="M76" s="18">
        <f>IF(K76="","",SUMIFS('Hours Log'!$G$2:$G$2001,'Hours Log'!$C$2:$C$2001,K76,'Hours Log'!$I$2:$I$2001,$B$3))</f>
        <v/>
      </c>
      <c r="N76" s="10" t="n"/>
      <c r="O76" s="10" t="n"/>
      <c r="P76" s="18">
        <f>IF(OR(K76="",O76=""),"",M76-O76)</f>
        <v/>
      </c>
      <c r="Q76">
        <f>IF(K76="","",IF(AND(N(N76)&gt;0,L76=0),"Jobber visit, no hours logged",IF(AND(L76&gt;0,N76=""),"Enter Jobber visits",IF(AND(L76&gt;0,N(N76)=0),"Hours logged, no Jobber visit",IF(AND(O76&lt;&gt;"",ABS(N(P76))&gt;0.5),"Hours differ from Jobber","")))))</f>
        <v/>
      </c>
    </row>
    <row r="77">
      <c r="A77">
        <f>IF(Staff!A73="","",Staff!A73)</f>
        <v/>
      </c>
      <c r="B77" s="18">
        <f>IF($A77="","",SUMIFS('Hours Log'!$G$2:$G$2001,'Hours Log'!$B$2:$B$2001,$A77,'Hours Log'!$A$2:$A$2001,B$5))</f>
        <v/>
      </c>
      <c r="C77" s="18">
        <f>IF($A77="","",SUMIFS('Hours Log'!$G$2:$G$2001,'Hours Log'!$B$2:$B$2001,$A77,'Hours Log'!$A$2:$A$2001,C$5))</f>
        <v/>
      </c>
      <c r="D77" s="18">
        <f>IF($A77="","",SUMIFS('Hours Log'!$G$2:$G$2001,'Hours Log'!$B$2:$B$2001,$A77,'Hours Log'!$A$2:$A$2001,D$5))</f>
        <v/>
      </c>
      <c r="E77" s="18">
        <f>IF($A77="","",SUMIFS('Hours Log'!$G$2:$G$2001,'Hours Log'!$B$2:$B$2001,$A77,'Hours Log'!$A$2:$A$2001,E$5))</f>
        <v/>
      </c>
      <c r="F77" s="18">
        <f>IF($A77="","",SUMIFS('Hours Log'!$G$2:$G$2001,'Hours Log'!$B$2:$B$2001,$A77,'Hours Log'!$A$2:$A$2001,F$5))</f>
        <v/>
      </c>
      <c r="G77" s="18">
        <f>IF($A77="","",SUMIFS('Hours Log'!$G$2:$G$2001,'Hours Log'!$B$2:$B$2001,$A77,'Hours Log'!$A$2:$A$2001,G$5))</f>
        <v/>
      </c>
      <c r="H77" s="18">
        <f>IF($A77="","",SUMIFS('Hours Log'!$G$2:$G$2001,'Hours Log'!$B$2:$B$2001,$A77,'Hours Log'!$A$2:$A$2001,H$5))</f>
        <v/>
      </c>
      <c r="I77" s="14">
        <f>IF($A77="","",SUM(B77:H77))</f>
        <v/>
      </c>
      <c r="K77">
        <f>IF(Sites!A73="","",Sites!A73)</f>
        <v/>
      </c>
      <c r="L77">
        <f>IF(K77="","",COUNTIFS('Hours Log'!$C$2:$C$2001,K77,'Hours Log'!$I$2:$I$2001,$B$3))</f>
        <v/>
      </c>
      <c r="M77" s="18">
        <f>IF(K77="","",SUMIFS('Hours Log'!$G$2:$G$2001,'Hours Log'!$C$2:$C$2001,K77,'Hours Log'!$I$2:$I$2001,$B$3))</f>
        <v/>
      </c>
      <c r="N77" s="10" t="n"/>
      <c r="O77" s="10" t="n"/>
      <c r="P77" s="18">
        <f>IF(OR(K77="",O77=""),"",M77-O77)</f>
        <v/>
      </c>
      <c r="Q77">
        <f>IF(K77="","",IF(AND(N(N77)&gt;0,L77=0),"Jobber visit, no hours logged",IF(AND(L77&gt;0,N77=""),"Enter Jobber visits",IF(AND(L77&gt;0,N(N77)=0),"Hours logged, no Jobber visit",IF(AND(O77&lt;&gt;"",ABS(N(P77))&gt;0.5),"Hours differ from Jobber","")))))</f>
        <v/>
      </c>
    </row>
    <row r="78">
      <c r="A78">
        <f>IF(Staff!A74="","",Staff!A74)</f>
        <v/>
      </c>
      <c r="B78" s="18">
        <f>IF($A78="","",SUMIFS('Hours Log'!$G$2:$G$2001,'Hours Log'!$B$2:$B$2001,$A78,'Hours Log'!$A$2:$A$2001,B$5))</f>
        <v/>
      </c>
      <c r="C78" s="18">
        <f>IF($A78="","",SUMIFS('Hours Log'!$G$2:$G$2001,'Hours Log'!$B$2:$B$2001,$A78,'Hours Log'!$A$2:$A$2001,C$5))</f>
        <v/>
      </c>
      <c r="D78" s="18">
        <f>IF($A78="","",SUMIFS('Hours Log'!$G$2:$G$2001,'Hours Log'!$B$2:$B$2001,$A78,'Hours Log'!$A$2:$A$2001,D$5))</f>
        <v/>
      </c>
      <c r="E78" s="18">
        <f>IF($A78="","",SUMIFS('Hours Log'!$G$2:$G$2001,'Hours Log'!$B$2:$B$2001,$A78,'Hours Log'!$A$2:$A$2001,E$5))</f>
        <v/>
      </c>
      <c r="F78" s="18">
        <f>IF($A78="","",SUMIFS('Hours Log'!$G$2:$G$2001,'Hours Log'!$B$2:$B$2001,$A78,'Hours Log'!$A$2:$A$2001,F$5))</f>
        <v/>
      </c>
      <c r="G78" s="18">
        <f>IF($A78="","",SUMIFS('Hours Log'!$G$2:$G$2001,'Hours Log'!$B$2:$B$2001,$A78,'Hours Log'!$A$2:$A$2001,G$5))</f>
        <v/>
      </c>
      <c r="H78" s="18">
        <f>IF($A78="","",SUMIFS('Hours Log'!$G$2:$G$2001,'Hours Log'!$B$2:$B$2001,$A78,'Hours Log'!$A$2:$A$2001,H$5))</f>
        <v/>
      </c>
      <c r="I78" s="14">
        <f>IF($A78="","",SUM(B78:H78))</f>
        <v/>
      </c>
      <c r="K78">
        <f>IF(Sites!A74="","",Sites!A74)</f>
        <v/>
      </c>
      <c r="L78">
        <f>IF(K78="","",COUNTIFS('Hours Log'!$C$2:$C$2001,K78,'Hours Log'!$I$2:$I$2001,$B$3))</f>
        <v/>
      </c>
      <c r="M78" s="18">
        <f>IF(K78="","",SUMIFS('Hours Log'!$G$2:$G$2001,'Hours Log'!$C$2:$C$2001,K78,'Hours Log'!$I$2:$I$2001,$B$3))</f>
        <v/>
      </c>
      <c r="N78" s="10" t="n"/>
      <c r="O78" s="10" t="n"/>
      <c r="P78" s="18">
        <f>IF(OR(K78="",O78=""),"",M78-O78)</f>
        <v/>
      </c>
      <c r="Q78">
        <f>IF(K78="","",IF(AND(N(N78)&gt;0,L78=0),"Jobber visit, no hours logged",IF(AND(L78&gt;0,N78=""),"Enter Jobber visits",IF(AND(L78&gt;0,N(N78)=0),"Hours logged, no Jobber visit",IF(AND(O78&lt;&gt;"",ABS(N(P78))&gt;0.5),"Hours differ from Jobber","")))))</f>
        <v/>
      </c>
    </row>
    <row r="79">
      <c r="A79">
        <f>IF(Staff!A75="","",Staff!A75)</f>
        <v/>
      </c>
      <c r="B79" s="18">
        <f>IF($A79="","",SUMIFS('Hours Log'!$G$2:$G$2001,'Hours Log'!$B$2:$B$2001,$A79,'Hours Log'!$A$2:$A$2001,B$5))</f>
        <v/>
      </c>
      <c r="C79" s="18">
        <f>IF($A79="","",SUMIFS('Hours Log'!$G$2:$G$2001,'Hours Log'!$B$2:$B$2001,$A79,'Hours Log'!$A$2:$A$2001,C$5))</f>
        <v/>
      </c>
      <c r="D79" s="18">
        <f>IF($A79="","",SUMIFS('Hours Log'!$G$2:$G$2001,'Hours Log'!$B$2:$B$2001,$A79,'Hours Log'!$A$2:$A$2001,D$5))</f>
        <v/>
      </c>
      <c r="E79" s="18">
        <f>IF($A79="","",SUMIFS('Hours Log'!$G$2:$G$2001,'Hours Log'!$B$2:$B$2001,$A79,'Hours Log'!$A$2:$A$2001,E$5))</f>
        <v/>
      </c>
      <c r="F79" s="18">
        <f>IF($A79="","",SUMIFS('Hours Log'!$G$2:$G$2001,'Hours Log'!$B$2:$B$2001,$A79,'Hours Log'!$A$2:$A$2001,F$5))</f>
        <v/>
      </c>
      <c r="G79" s="18">
        <f>IF($A79="","",SUMIFS('Hours Log'!$G$2:$G$2001,'Hours Log'!$B$2:$B$2001,$A79,'Hours Log'!$A$2:$A$2001,G$5))</f>
        <v/>
      </c>
      <c r="H79" s="18">
        <f>IF($A79="","",SUMIFS('Hours Log'!$G$2:$G$2001,'Hours Log'!$B$2:$B$2001,$A79,'Hours Log'!$A$2:$A$2001,H$5))</f>
        <v/>
      </c>
      <c r="I79" s="14">
        <f>IF($A79="","",SUM(B79:H79))</f>
        <v/>
      </c>
      <c r="K79">
        <f>IF(Sites!A75="","",Sites!A75)</f>
        <v/>
      </c>
      <c r="L79">
        <f>IF(K79="","",COUNTIFS('Hours Log'!$C$2:$C$2001,K79,'Hours Log'!$I$2:$I$2001,$B$3))</f>
        <v/>
      </c>
      <c r="M79" s="18">
        <f>IF(K79="","",SUMIFS('Hours Log'!$G$2:$G$2001,'Hours Log'!$C$2:$C$2001,K79,'Hours Log'!$I$2:$I$2001,$B$3))</f>
        <v/>
      </c>
      <c r="N79" s="10" t="n"/>
      <c r="O79" s="10" t="n"/>
      <c r="P79" s="18">
        <f>IF(OR(K79="",O79=""),"",M79-O79)</f>
        <v/>
      </c>
      <c r="Q79">
        <f>IF(K79="","",IF(AND(N(N79)&gt;0,L79=0),"Jobber visit, no hours logged",IF(AND(L79&gt;0,N79=""),"Enter Jobber visits",IF(AND(L79&gt;0,N(N79)=0),"Hours logged, no Jobber visit",IF(AND(O79&lt;&gt;"",ABS(N(P79))&gt;0.5),"Hours differ from Jobber","")))))</f>
        <v/>
      </c>
    </row>
    <row r="80">
      <c r="A80">
        <f>IF(Staff!A76="","",Staff!A76)</f>
        <v/>
      </c>
      <c r="B80" s="18">
        <f>IF($A80="","",SUMIFS('Hours Log'!$G$2:$G$2001,'Hours Log'!$B$2:$B$2001,$A80,'Hours Log'!$A$2:$A$2001,B$5))</f>
        <v/>
      </c>
      <c r="C80" s="18">
        <f>IF($A80="","",SUMIFS('Hours Log'!$G$2:$G$2001,'Hours Log'!$B$2:$B$2001,$A80,'Hours Log'!$A$2:$A$2001,C$5))</f>
        <v/>
      </c>
      <c r="D80" s="18">
        <f>IF($A80="","",SUMIFS('Hours Log'!$G$2:$G$2001,'Hours Log'!$B$2:$B$2001,$A80,'Hours Log'!$A$2:$A$2001,D$5))</f>
        <v/>
      </c>
      <c r="E80" s="18">
        <f>IF($A80="","",SUMIFS('Hours Log'!$G$2:$G$2001,'Hours Log'!$B$2:$B$2001,$A80,'Hours Log'!$A$2:$A$2001,E$5))</f>
        <v/>
      </c>
      <c r="F80" s="18">
        <f>IF($A80="","",SUMIFS('Hours Log'!$G$2:$G$2001,'Hours Log'!$B$2:$B$2001,$A80,'Hours Log'!$A$2:$A$2001,F$5))</f>
        <v/>
      </c>
      <c r="G80" s="18">
        <f>IF($A80="","",SUMIFS('Hours Log'!$G$2:$G$2001,'Hours Log'!$B$2:$B$2001,$A80,'Hours Log'!$A$2:$A$2001,G$5))</f>
        <v/>
      </c>
      <c r="H80" s="18">
        <f>IF($A80="","",SUMIFS('Hours Log'!$G$2:$G$2001,'Hours Log'!$B$2:$B$2001,$A80,'Hours Log'!$A$2:$A$2001,H$5))</f>
        <v/>
      </c>
      <c r="I80" s="14">
        <f>IF($A80="","",SUM(B80:H80))</f>
        <v/>
      </c>
      <c r="K80">
        <f>IF(Sites!A76="","",Sites!A76)</f>
        <v/>
      </c>
      <c r="L80">
        <f>IF(K80="","",COUNTIFS('Hours Log'!$C$2:$C$2001,K80,'Hours Log'!$I$2:$I$2001,$B$3))</f>
        <v/>
      </c>
      <c r="M80" s="18">
        <f>IF(K80="","",SUMIFS('Hours Log'!$G$2:$G$2001,'Hours Log'!$C$2:$C$2001,K80,'Hours Log'!$I$2:$I$2001,$B$3))</f>
        <v/>
      </c>
      <c r="N80" s="10" t="n"/>
      <c r="O80" s="10" t="n"/>
      <c r="P80" s="18">
        <f>IF(OR(K80="",O80=""),"",M80-O80)</f>
        <v/>
      </c>
      <c r="Q80">
        <f>IF(K80="","",IF(AND(N(N80)&gt;0,L80=0),"Jobber visit, no hours logged",IF(AND(L80&gt;0,N80=""),"Enter Jobber visits",IF(AND(L80&gt;0,N(N80)=0),"Hours logged, no Jobber visit",IF(AND(O80&lt;&gt;"",ABS(N(P80))&gt;0.5),"Hours differ from Jobber","")))))</f>
        <v/>
      </c>
    </row>
    <row r="81">
      <c r="A81">
        <f>IF(Staff!A77="","",Staff!A77)</f>
        <v/>
      </c>
      <c r="B81" s="18">
        <f>IF($A81="","",SUMIFS('Hours Log'!$G$2:$G$2001,'Hours Log'!$B$2:$B$2001,$A81,'Hours Log'!$A$2:$A$2001,B$5))</f>
        <v/>
      </c>
      <c r="C81" s="18">
        <f>IF($A81="","",SUMIFS('Hours Log'!$G$2:$G$2001,'Hours Log'!$B$2:$B$2001,$A81,'Hours Log'!$A$2:$A$2001,C$5))</f>
        <v/>
      </c>
      <c r="D81" s="18">
        <f>IF($A81="","",SUMIFS('Hours Log'!$G$2:$G$2001,'Hours Log'!$B$2:$B$2001,$A81,'Hours Log'!$A$2:$A$2001,D$5))</f>
        <v/>
      </c>
      <c r="E81" s="18">
        <f>IF($A81="","",SUMIFS('Hours Log'!$G$2:$G$2001,'Hours Log'!$B$2:$B$2001,$A81,'Hours Log'!$A$2:$A$2001,E$5))</f>
        <v/>
      </c>
      <c r="F81" s="18">
        <f>IF($A81="","",SUMIFS('Hours Log'!$G$2:$G$2001,'Hours Log'!$B$2:$B$2001,$A81,'Hours Log'!$A$2:$A$2001,F$5))</f>
        <v/>
      </c>
      <c r="G81" s="18">
        <f>IF($A81="","",SUMIFS('Hours Log'!$G$2:$G$2001,'Hours Log'!$B$2:$B$2001,$A81,'Hours Log'!$A$2:$A$2001,G$5))</f>
        <v/>
      </c>
      <c r="H81" s="18">
        <f>IF($A81="","",SUMIFS('Hours Log'!$G$2:$G$2001,'Hours Log'!$B$2:$B$2001,$A81,'Hours Log'!$A$2:$A$2001,H$5))</f>
        <v/>
      </c>
      <c r="I81" s="14">
        <f>IF($A81="","",SUM(B81:H81))</f>
        <v/>
      </c>
      <c r="K81">
        <f>IF(Sites!A77="","",Sites!A77)</f>
        <v/>
      </c>
      <c r="L81">
        <f>IF(K81="","",COUNTIFS('Hours Log'!$C$2:$C$2001,K81,'Hours Log'!$I$2:$I$2001,$B$3))</f>
        <v/>
      </c>
      <c r="M81" s="18">
        <f>IF(K81="","",SUMIFS('Hours Log'!$G$2:$G$2001,'Hours Log'!$C$2:$C$2001,K81,'Hours Log'!$I$2:$I$2001,$B$3))</f>
        <v/>
      </c>
      <c r="N81" s="10" t="n"/>
      <c r="O81" s="10" t="n"/>
      <c r="P81" s="18">
        <f>IF(OR(K81="",O81=""),"",M81-O81)</f>
        <v/>
      </c>
      <c r="Q81">
        <f>IF(K81="","",IF(AND(N(N81)&gt;0,L81=0),"Jobber visit, no hours logged",IF(AND(L81&gt;0,N81=""),"Enter Jobber visits",IF(AND(L81&gt;0,N(N81)=0),"Hours logged, no Jobber visit",IF(AND(O81&lt;&gt;"",ABS(N(P81))&gt;0.5),"Hours differ from Jobber","")))))</f>
        <v/>
      </c>
    </row>
    <row r="82">
      <c r="A82">
        <f>IF(Staff!A78="","",Staff!A78)</f>
        <v/>
      </c>
      <c r="B82" s="18">
        <f>IF($A82="","",SUMIFS('Hours Log'!$G$2:$G$2001,'Hours Log'!$B$2:$B$2001,$A82,'Hours Log'!$A$2:$A$2001,B$5))</f>
        <v/>
      </c>
      <c r="C82" s="18">
        <f>IF($A82="","",SUMIFS('Hours Log'!$G$2:$G$2001,'Hours Log'!$B$2:$B$2001,$A82,'Hours Log'!$A$2:$A$2001,C$5))</f>
        <v/>
      </c>
      <c r="D82" s="18">
        <f>IF($A82="","",SUMIFS('Hours Log'!$G$2:$G$2001,'Hours Log'!$B$2:$B$2001,$A82,'Hours Log'!$A$2:$A$2001,D$5))</f>
        <v/>
      </c>
      <c r="E82" s="18">
        <f>IF($A82="","",SUMIFS('Hours Log'!$G$2:$G$2001,'Hours Log'!$B$2:$B$2001,$A82,'Hours Log'!$A$2:$A$2001,E$5))</f>
        <v/>
      </c>
      <c r="F82" s="18">
        <f>IF($A82="","",SUMIFS('Hours Log'!$G$2:$G$2001,'Hours Log'!$B$2:$B$2001,$A82,'Hours Log'!$A$2:$A$2001,F$5))</f>
        <v/>
      </c>
      <c r="G82" s="18">
        <f>IF($A82="","",SUMIFS('Hours Log'!$G$2:$G$2001,'Hours Log'!$B$2:$B$2001,$A82,'Hours Log'!$A$2:$A$2001,G$5))</f>
        <v/>
      </c>
      <c r="H82" s="18">
        <f>IF($A82="","",SUMIFS('Hours Log'!$G$2:$G$2001,'Hours Log'!$B$2:$B$2001,$A82,'Hours Log'!$A$2:$A$2001,H$5))</f>
        <v/>
      </c>
      <c r="I82" s="14">
        <f>IF($A82="","",SUM(B82:H82))</f>
        <v/>
      </c>
      <c r="K82">
        <f>IF(Sites!A78="","",Sites!A78)</f>
        <v/>
      </c>
      <c r="L82">
        <f>IF(K82="","",COUNTIFS('Hours Log'!$C$2:$C$2001,K82,'Hours Log'!$I$2:$I$2001,$B$3))</f>
        <v/>
      </c>
      <c r="M82" s="18">
        <f>IF(K82="","",SUMIFS('Hours Log'!$G$2:$G$2001,'Hours Log'!$C$2:$C$2001,K82,'Hours Log'!$I$2:$I$2001,$B$3))</f>
        <v/>
      </c>
      <c r="N82" s="10" t="n"/>
      <c r="O82" s="10" t="n"/>
      <c r="P82" s="18">
        <f>IF(OR(K82="",O82=""),"",M82-O82)</f>
        <v/>
      </c>
      <c r="Q82">
        <f>IF(K82="","",IF(AND(N(N82)&gt;0,L82=0),"Jobber visit, no hours logged",IF(AND(L82&gt;0,N82=""),"Enter Jobber visits",IF(AND(L82&gt;0,N(N82)=0),"Hours logged, no Jobber visit",IF(AND(O82&lt;&gt;"",ABS(N(P82))&gt;0.5),"Hours differ from Jobber","")))))</f>
        <v/>
      </c>
    </row>
    <row r="83">
      <c r="A83">
        <f>IF(Staff!A79="","",Staff!A79)</f>
        <v/>
      </c>
      <c r="B83" s="18">
        <f>IF($A83="","",SUMIFS('Hours Log'!$G$2:$G$2001,'Hours Log'!$B$2:$B$2001,$A83,'Hours Log'!$A$2:$A$2001,B$5))</f>
        <v/>
      </c>
      <c r="C83" s="18">
        <f>IF($A83="","",SUMIFS('Hours Log'!$G$2:$G$2001,'Hours Log'!$B$2:$B$2001,$A83,'Hours Log'!$A$2:$A$2001,C$5))</f>
        <v/>
      </c>
      <c r="D83" s="18">
        <f>IF($A83="","",SUMIFS('Hours Log'!$G$2:$G$2001,'Hours Log'!$B$2:$B$2001,$A83,'Hours Log'!$A$2:$A$2001,D$5))</f>
        <v/>
      </c>
      <c r="E83" s="18">
        <f>IF($A83="","",SUMIFS('Hours Log'!$G$2:$G$2001,'Hours Log'!$B$2:$B$2001,$A83,'Hours Log'!$A$2:$A$2001,E$5))</f>
        <v/>
      </c>
      <c r="F83" s="18">
        <f>IF($A83="","",SUMIFS('Hours Log'!$G$2:$G$2001,'Hours Log'!$B$2:$B$2001,$A83,'Hours Log'!$A$2:$A$2001,F$5))</f>
        <v/>
      </c>
      <c r="G83" s="18">
        <f>IF($A83="","",SUMIFS('Hours Log'!$G$2:$G$2001,'Hours Log'!$B$2:$B$2001,$A83,'Hours Log'!$A$2:$A$2001,G$5))</f>
        <v/>
      </c>
      <c r="H83" s="18">
        <f>IF($A83="","",SUMIFS('Hours Log'!$G$2:$G$2001,'Hours Log'!$B$2:$B$2001,$A83,'Hours Log'!$A$2:$A$2001,H$5))</f>
        <v/>
      </c>
      <c r="I83" s="14">
        <f>IF($A83="","",SUM(B83:H83))</f>
        <v/>
      </c>
      <c r="K83">
        <f>IF(Sites!A79="","",Sites!A79)</f>
        <v/>
      </c>
      <c r="L83">
        <f>IF(K83="","",COUNTIFS('Hours Log'!$C$2:$C$2001,K83,'Hours Log'!$I$2:$I$2001,$B$3))</f>
        <v/>
      </c>
      <c r="M83" s="18">
        <f>IF(K83="","",SUMIFS('Hours Log'!$G$2:$G$2001,'Hours Log'!$C$2:$C$2001,K83,'Hours Log'!$I$2:$I$2001,$B$3))</f>
        <v/>
      </c>
      <c r="N83" s="10" t="n"/>
      <c r="O83" s="10" t="n"/>
      <c r="P83" s="18">
        <f>IF(OR(K83="",O83=""),"",M83-O83)</f>
        <v/>
      </c>
      <c r="Q83">
        <f>IF(K83="","",IF(AND(N(N83)&gt;0,L83=0),"Jobber visit, no hours logged",IF(AND(L83&gt;0,N83=""),"Enter Jobber visits",IF(AND(L83&gt;0,N(N83)=0),"Hours logged, no Jobber visit",IF(AND(O83&lt;&gt;"",ABS(N(P83))&gt;0.5),"Hours differ from Jobber","")))))</f>
        <v/>
      </c>
    </row>
    <row r="84">
      <c r="A84">
        <f>IF(Staff!A80="","",Staff!A80)</f>
        <v/>
      </c>
      <c r="B84" s="18">
        <f>IF($A84="","",SUMIFS('Hours Log'!$G$2:$G$2001,'Hours Log'!$B$2:$B$2001,$A84,'Hours Log'!$A$2:$A$2001,B$5))</f>
        <v/>
      </c>
      <c r="C84" s="18">
        <f>IF($A84="","",SUMIFS('Hours Log'!$G$2:$G$2001,'Hours Log'!$B$2:$B$2001,$A84,'Hours Log'!$A$2:$A$2001,C$5))</f>
        <v/>
      </c>
      <c r="D84" s="18">
        <f>IF($A84="","",SUMIFS('Hours Log'!$G$2:$G$2001,'Hours Log'!$B$2:$B$2001,$A84,'Hours Log'!$A$2:$A$2001,D$5))</f>
        <v/>
      </c>
      <c r="E84" s="18">
        <f>IF($A84="","",SUMIFS('Hours Log'!$G$2:$G$2001,'Hours Log'!$B$2:$B$2001,$A84,'Hours Log'!$A$2:$A$2001,E$5))</f>
        <v/>
      </c>
      <c r="F84" s="18">
        <f>IF($A84="","",SUMIFS('Hours Log'!$G$2:$G$2001,'Hours Log'!$B$2:$B$2001,$A84,'Hours Log'!$A$2:$A$2001,F$5))</f>
        <v/>
      </c>
      <c r="G84" s="18">
        <f>IF($A84="","",SUMIFS('Hours Log'!$G$2:$G$2001,'Hours Log'!$B$2:$B$2001,$A84,'Hours Log'!$A$2:$A$2001,G$5))</f>
        <v/>
      </c>
      <c r="H84" s="18">
        <f>IF($A84="","",SUMIFS('Hours Log'!$G$2:$G$2001,'Hours Log'!$B$2:$B$2001,$A84,'Hours Log'!$A$2:$A$2001,H$5))</f>
        <v/>
      </c>
      <c r="I84" s="14">
        <f>IF($A84="","",SUM(B84:H84))</f>
        <v/>
      </c>
      <c r="K84">
        <f>IF(Sites!A80="","",Sites!A80)</f>
        <v/>
      </c>
      <c r="L84">
        <f>IF(K84="","",COUNTIFS('Hours Log'!$C$2:$C$2001,K84,'Hours Log'!$I$2:$I$2001,$B$3))</f>
        <v/>
      </c>
      <c r="M84" s="18">
        <f>IF(K84="","",SUMIFS('Hours Log'!$G$2:$G$2001,'Hours Log'!$C$2:$C$2001,K84,'Hours Log'!$I$2:$I$2001,$B$3))</f>
        <v/>
      </c>
      <c r="N84" s="10" t="n"/>
      <c r="O84" s="10" t="n"/>
      <c r="P84" s="18">
        <f>IF(OR(K84="",O84=""),"",M84-O84)</f>
        <v/>
      </c>
      <c r="Q84">
        <f>IF(K84="","",IF(AND(N(N84)&gt;0,L84=0),"Jobber visit, no hours logged",IF(AND(L84&gt;0,N84=""),"Enter Jobber visits",IF(AND(L84&gt;0,N(N84)=0),"Hours logged, no Jobber visit",IF(AND(O84&lt;&gt;"",ABS(N(P84))&gt;0.5),"Hours differ from Jobber","")))))</f>
        <v/>
      </c>
    </row>
    <row r="85">
      <c r="A85">
        <f>IF(Staff!A81="","",Staff!A81)</f>
        <v/>
      </c>
      <c r="B85" s="18">
        <f>IF($A85="","",SUMIFS('Hours Log'!$G$2:$G$2001,'Hours Log'!$B$2:$B$2001,$A85,'Hours Log'!$A$2:$A$2001,B$5))</f>
        <v/>
      </c>
      <c r="C85" s="18">
        <f>IF($A85="","",SUMIFS('Hours Log'!$G$2:$G$2001,'Hours Log'!$B$2:$B$2001,$A85,'Hours Log'!$A$2:$A$2001,C$5))</f>
        <v/>
      </c>
      <c r="D85" s="18">
        <f>IF($A85="","",SUMIFS('Hours Log'!$G$2:$G$2001,'Hours Log'!$B$2:$B$2001,$A85,'Hours Log'!$A$2:$A$2001,D$5))</f>
        <v/>
      </c>
      <c r="E85" s="18">
        <f>IF($A85="","",SUMIFS('Hours Log'!$G$2:$G$2001,'Hours Log'!$B$2:$B$2001,$A85,'Hours Log'!$A$2:$A$2001,E$5))</f>
        <v/>
      </c>
      <c r="F85" s="18">
        <f>IF($A85="","",SUMIFS('Hours Log'!$G$2:$G$2001,'Hours Log'!$B$2:$B$2001,$A85,'Hours Log'!$A$2:$A$2001,F$5))</f>
        <v/>
      </c>
      <c r="G85" s="18">
        <f>IF($A85="","",SUMIFS('Hours Log'!$G$2:$G$2001,'Hours Log'!$B$2:$B$2001,$A85,'Hours Log'!$A$2:$A$2001,G$5))</f>
        <v/>
      </c>
      <c r="H85" s="18">
        <f>IF($A85="","",SUMIFS('Hours Log'!$G$2:$G$2001,'Hours Log'!$B$2:$B$2001,$A85,'Hours Log'!$A$2:$A$2001,H$5))</f>
        <v/>
      </c>
      <c r="I85" s="14">
        <f>IF($A85="","",SUM(B85:H85))</f>
        <v/>
      </c>
      <c r="K85">
        <f>IF(Sites!A81="","",Sites!A81)</f>
        <v/>
      </c>
      <c r="L85">
        <f>IF(K85="","",COUNTIFS('Hours Log'!$C$2:$C$2001,K85,'Hours Log'!$I$2:$I$2001,$B$3))</f>
        <v/>
      </c>
      <c r="M85" s="18">
        <f>IF(K85="","",SUMIFS('Hours Log'!$G$2:$G$2001,'Hours Log'!$C$2:$C$2001,K85,'Hours Log'!$I$2:$I$2001,$B$3))</f>
        <v/>
      </c>
      <c r="N85" s="10" t="n"/>
      <c r="O85" s="10" t="n"/>
      <c r="P85" s="18">
        <f>IF(OR(K85="",O85=""),"",M85-O85)</f>
        <v/>
      </c>
      <c r="Q85">
        <f>IF(K85="","",IF(AND(N(N85)&gt;0,L85=0),"Jobber visit, no hours logged",IF(AND(L85&gt;0,N85=""),"Enter Jobber visits",IF(AND(L85&gt;0,N(N85)=0),"Hours logged, no Jobber visit",IF(AND(O85&lt;&gt;"",ABS(N(P85))&gt;0.5),"Hours differ from Jobber","")))))</f>
        <v/>
      </c>
    </row>
    <row r="86">
      <c r="A86">
        <f>IF(Staff!A82="","",Staff!A82)</f>
        <v/>
      </c>
      <c r="B86" s="18">
        <f>IF($A86="","",SUMIFS('Hours Log'!$G$2:$G$2001,'Hours Log'!$B$2:$B$2001,$A86,'Hours Log'!$A$2:$A$2001,B$5))</f>
        <v/>
      </c>
      <c r="C86" s="18">
        <f>IF($A86="","",SUMIFS('Hours Log'!$G$2:$G$2001,'Hours Log'!$B$2:$B$2001,$A86,'Hours Log'!$A$2:$A$2001,C$5))</f>
        <v/>
      </c>
      <c r="D86" s="18">
        <f>IF($A86="","",SUMIFS('Hours Log'!$G$2:$G$2001,'Hours Log'!$B$2:$B$2001,$A86,'Hours Log'!$A$2:$A$2001,D$5))</f>
        <v/>
      </c>
      <c r="E86" s="18">
        <f>IF($A86="","",SUMIFS('Hours Log'!$G$2:$G$2001,'Hours Log'!$B$2:$B$2001,$A86,'Hours Log'!$A$2:$A$2001,E$5))</f>
        <v/>
      </c>
      <c r="F86" s="18">
        <f>IF($A86="","",SUMIFS('Hours Log'!$G$2:$G$2001,'Hours Log'!$B$2:$B$2001,$A86,'Hours Log'!$A$2:$A$2001,F$5))</f>
        <v/>
      </c>
      <c r="G86" s="18">
        <f>IF($A86="","",SUMIFS('Hours Log'!$G$2:$G$2001,'Hours Log'!$B$2:$B$2001,$A86,'Hours Log'!$A$2:$A$2001,G$5))</f>
        <v/>
      </c>
      <c r="H86" s="18">
        <f>IF($A86="","",SUMIFS('Hours Log'!$G$2:$G$2001,'Hours Log'!$B$2:$B$2001,$A86,'Hours Log'!$A$2:$A$2001,H$5))</f>
        <v/>
      </c>
      <c r="I86" s="14">
        <f>IF($A86="","",SUM(B86:H86))</f>
        <v/>
      </c>
      <c r="K86">
        <f>IF(Sites!A82="","",Sites!A82)</f>
        <v/>
      </c>
      <c r="L86">
        <f>IF(K86="","",COUNTIFS('Hours Log'!$C$2:$C$2001,K86,'Hours Log'!$I$2:$I$2001,$B$3))</f>
        <v/>
      </c>
      <c r="M86" s="18">
        <f>IF(K86="","",SUMIFS('Hours Log'!$G$2:$G$2001,'Hours Log'!$C$2:$C$2001,K86,'Hours Log'!$I$2:$I$2001,$B$3))</f>
        <v/>
      </c>
      <c r="N86" s="10" t="n"/>
      <c r="O86" s="10" t="n"/>
      <c r="P86" s="18">
        <f>IF(OR(K86="",O86=""),"",M86-O86)</f>
        <v/>
      </c>
      <c r="Q86">
        <f>IF(K86="","",IF(AND(N(N86)&gt;0,L86=0),"Jobber visit, no hours logged",IF(AND(L86&gt;0,N86=""),"Enter Jobber visits",IF(AND(L86&gt;0,N(N86)=0),"Hours logged, no Jobber visit",IF(AND(O86&lt;&gt;"",ABS(N(P86))&gt;0.5),"Hours differ from Jobber","")))))</f>
        <v/>
      </c>
    </row>
    <row r="87">
      <c r="A87">
        <f>IF(Staff!A83="","",Staff!A83)</f>
        <v/>
      </c>
      <c r="B87" s="18">
        <f>IF($A87="","",SUMIFS('Hours Log'!$G$2:$G$2001,'Hours Log'!$B$2:$B$2001,$A87,'Hours Log'!$A$2:$A$2001,B$5))</f>
        <v/>
      </c>
      <c r="C87" s="18">
        <f>IF($A87="","",SUMIFS('Hours Log'!$G$2:$G$2001,'Hours Log'!$B$2:$B$2001,$A87,'Hours Log'!$A$2:$A$2001,C$5))</f>
        <v/>
      </c>
      <c r="D87" s="18">
        <f>IF($A87="","",SUMIFS('Hours Log'!$G$2:$G$2001,'Hours Log'!$B$2:$B$2001,$A87,'Hours Log'!$A$2:$A$2001,D$5))</f>
        <v/>
      </c>
      <c r="E87" s="18">
        <f>IF($A87="","",SUMIFS('Hours Log'!$G$2:$G$2001,'Hours Log'!$B$2:$B$2001,$A87,'Hours Log'!$A$2:$A$2001,E$5))</f>
        <v/>
      </c>
      <c r="F87" s="18">
        <f>IF($A87="","",SUMIFS('Hours Log'!$G$2:$G$2001,'Hours Log'!$B$2:$B$2001,$A87,'Hours Log'!$A$2:$A$2001,F$5))</f>
        <v/>
      </c>
      <c r="G87" s="18">
        <f>IF($A87="","",SUMIFS('Hours Log'!$G$2:$G$2001,'Hours Log'!$B$2:$B$2001,$A87,'Hours Log'!$A$2:$A$2001,G$5))</f>
        <v/>
      </c>
      <c r="H87" s="18">
        <f>IF($A87="","",SUMIFS('Hours Log'!$G$2:$G$2001,'Hours Log'!$B$2:$B$2001,$A87,'Hours Log'!$A$2:$A$2001,H$5))</f>
        <v/>
      </c>
      <c r="I87" s="14">
        <f>IF($A87="","",SUM(B87:H87))</f>
        <v/>
      </c>
      <c r="K87">
        <f>IF(Sites!A83="","",Sites!A83)</f>
        <v/>
      </c>
      <c r="L87">
        <f>IF(K87="","",COUNTIFS('Hours Log'!$C$2:$C$2001,K87,'Hours Log'!$I$2:$I$2001,$B$3))</f>
        <v/>
      </c>
      <c r="M87" s="18">
        <f>IF(K87="","",SUMIFS('Hours Log'!$G$2:$G$2001,'Hours Log'!$C$2:$C$2001,K87,'Hours Log'!$I$2:$I$2001,$B$3))</f>
        <v/>
      </c>
      <c r="N87" s="10" t="n"/>
      <c r="O87" s="10" t="n"/>
      <c r="P87" s="18">
        <f>IF(OR(K87="",O87=""),"",M87-O87)</f>
        <v/>
      </c>
      <c r="Q87">
        <f>IF(K87="","",IF(AND(N(N87)&gt;0,L87=0),"Jobber visit, no hours logged",IF(AND(L87&gt;0,N87=""),"Enter Jobber visits",IF(AND(L87&gt;0,N(N87)=0),"Hours logged, no Jobber visit",IF(AND(O87&lt;&gt;"",ABS(N(P87))&gt;0.5),"Hours differ from Jobber","")))))</f>
        <v/>
      </c>
    </row>
    <row r="88">
      <c r="A88">
        <f>IF(Staff!A84="","",Staff!A84)</f>
        <v/>
      </c>
      <c r="B88" s="18">
        <f>IF($A88="","",SUMIFS('Hours Log'!$G$2:$G$2001,'Hours Log'!$B$2:$B$2001,$A88,'Hours Log'!$A$2:$A$2001,B$5))</f>
        <v/>
      </c>
      <c r="C88" s="18">
        <f>IF($A88="","",SUMIFS('Hours Log'!$G$2:$G$2001,'Hours Log'!$B$2:$B$2001,$A88,'Hours Log'!$A$2:$A$2001,C$5))</f>
        <v/>
      </c>
      <c r="D88" s="18">
        <f>IF($A88="","",SUMIFS('Hours Log'!$G$2:$G$2001,'Hours Log'!$B$2:$B$2001,$A88,'Hours Log'!$A$2:$A$2001,D$5))</f>
        <v/>
      </c>
      <c r="E88" s="18">
        <f>IF($A88="","",SUMIFS('Hours Log'!$G$2:$G$2001,'Hours Log'!$B$2:$B$2001,$A88,'Hours Log'!$A$2:$A$2001,E$5))</f>
        <v/>
      </c>
      <c r="F88" s="18">
        <f>IF($A88="","",SUMIFS('Hours Log'!$G$2:$G$2001,'Hours Log'!$B$2:$B$2001,$A88,'Hours Log'!$A$2:$A$2001,F$5))</f>
        <v/>
      </c>
      <c r="G88" s="18">
        <f>IF($A88="","",SUMIFS('Hours Log'!$G$2:$G$2001,'Hours Log'!$B$2:$B$2001,$A88,'Hours Log'!$A$2:$A$2001,G$5))</f>
        <v/>
      </c>
      <c r="H88" s="18">
        <f>IF($A88="","",SUMIFS('Hours Log'!$G$2:$G$2001,'Hours Log'!$B$2:$B$2001,$A88,'Hours Log'!$A$2:$A$2001,H$5))</f>
        <v/>
      </c>
      <c r="I88" s="14">
        <f>IF($A88="","",SUM(B88:H88))</f>
        <v/>
      </c>
      <c r="K88">
        <f>IF(Sites!A84="","",Sites!A84)</f>
        <v/>
      </c>
      <c r="L88">
        <f>IF(K88="","",COUNTIFS('Hours Log'!$C$2:$C$2001,K88,'Hours Log'!$I$2:$I$2001,$B$3))</f>
        <v/>
      </c>
      <c r="M88" s="18">
        <f>IF(K88="","",SUMIFS('Hours Log'!$G$2:$G$2001,'Hours Log'!$C$2:$C$2001,K88,'Hours Log'!$I$2:$I$2001,$B$3))</f>
        <v/>
      </c>
      <c r="N88" s="10" t="n"/>
      <c r="O88" s="10" t="n"/>
      <c r="P88" s="18">
        <f>IF(OR(K88="",O88=""),"",M88-O88)</f>
        <v/>
      </c>
      <c r="Q88">
        <f>IF(K88="","",IF(AND(N(N88)&gt;0,L88=0),"Jobber visit, no hours logged",IF(AND(L88&gt;0,N88=""),"Enter Jobber visits",IF(AND(L88&gt;0,N(N88)=0),"Hours logged, no Jobber visit",IF(AND(O88&lt;&gt;"",ABS(N(P88))&gt;0.5),"Hours differ from Jobber","")))))</f>
        <v/>
      </c>
    </row>
    <row r="89">
      <c r="A89">
        <f>IF(Staff!A85="","",Staff!A85)</f>
        <v/>
      </c>
      <c r="B89" s="18">
        <f>IF($A89="","",SUMIFS('Hours Log'!$G$2:$G$2001,'Hours Log'!$B$2:$B$2001,$A89,'Hours Log'!$A$2:$A$2001,B$5))</f>
        <v/>
      </c>
      <c r="C89" s="18">
        <f>IF($A89="","",SUMIFS('Hours Log'!$G$2:$G$2001,'Hours Log'!$B$2:$B$2001,$A89,'Hours Log'!$A$2:$A$2001,C$5))</f>
        <v/>
      </c>
      <c r="D89" s="18">
        <f>IF($A89="","",SUMIFS('Hours Log'!$G$2:$G$2001,'Hours Log'!$B$2:$B$2001,$A89,'Hours Log'!$A$2:$A$2001,D$5))</f>
        <v/>
      </c>
      <c r="E89" s="18">
        <f>IF($A89="","",SUMIFS('Hours Log'!$G$2:$G$2001,'Hours Log'!$B$2:$B$2001,$A89,'Hours Log'!$A$2:$A$2001,E$5))</f>
        <v/>
      </c>
      <c r="F89" s="18">
        <f>IF($A89="","",SUMIFS('Hours Log'!$G$2:$G$2001,'Hours Log'!$B$2:$B$2001,$A89,'Hours Log'!$A$2:$A$2001,F$5))</f>
        <v/>
      </c>
      <c r="G89" s="18">
        <f>IF($A89="","",SUMIFS('Hours Log'!$G$2:$G$2001,'Hours Log'!$B$2:$B$2001,$A89,'Hours Log'!$A$2:$A$2001,G$5))</f>
        <v/>
      </c>
      <c r="H89" s="18">
        <f>IF($A89="","",SUMIFS('Hours Log'!$G$2:$G$2001,'Hours Log'!$B$2:$B$2001,$A89,'Hours Log'!$A$2:$A$2001,H$5))</f>
        <v/>
      </c>
      <c r="I89" s="14">
        <f>IF($A89="","",SUM(B89:H89))</f>
        <v/>
      </c>
      <c r="K89">
        <f>IF(Sites!A85="","",Sites!A85)</f>
        <v/>
      </c>
      <c r="L89">
        <f>IF(K89="","",COUNTIFS('Hours Log'!$C$2:$C$2001,K89,'Hours Log'!$I$2:$I$2001,$B$3))</f>
        <v/>
      </c>
      <c r="M89" s="18">
        <f>IF(K89="","",SUMIFS('Hours Log'!$G$2:$G$2001,'Hours Log'!$C$2:$C$2001,K89,'Hours Log'!$I$2:$I$2001,$B$3))</f>
        <v/>
      </c>
      <c r="N89" s="10" t="n"/>
      <c r="O89" s="10" t="n"/>
      <c r="P89" s="18">
        <f>IF(OR(K89="",O89=""),"",M89-O89)</f>
        <v/>
      </c>
      <c r="Q89">
        <f>IF(K89="","",IF(AND(N(N89)&gt;0,L89=0),"Jobber visit, no hours logged",IF(AND(L89&gt;0,N89=""),"Enter Jobber visits",IF(AND(L89&gt;0,N(N89)=0),"Hours logged, no Jobber visit",IF(AND(O89&lt;&gt;"",ABS(N(P89))&gt;0.5),"Hours differ from Jobber","")))))</f>
        <v/>
      </c>
    </row>
    <row r="90">
      <c r="A90">
        <f>IF(Staff!A86="","",Staff!A86)</f>
        <v/>
      </c>
      <c r="B90" s="18">
        <f>IF($A90="","",SUMIFS('Hours Log'!$G$2:$G$2001,'Hours Log'!$B$2:$B$2001,$A90,'Hours Log'!$A$2:$A$2001,B$5))</f>
        <v/>
      </c>
      <c r="C90" s="18">
        <f>IF($A90="","",SUMIFS('Hours Log'!$G$2:$G$2001,'Hours Log'!$B$2:$B$2001,$A90,'Hours Log'!$A$2:$A$2001,C$5))</f>
        <v/>
      </c>
      <c r="D90" s="18">
        <f>IF($A90="","",SUMIFS('Hours Log'!$G$2:$G$2001,'Hours Log'!$B$2:$B$2001,$A90,'Hours Log'!$A$2:$A$2001,D$5))</f>
        <v/>
      </c>
      <c r="E90" s="18">
        <f>IF($A90="","",SUMIFS('Hours Log'!$G$2:$G$2001,'Hours Log'!$B$2:$B$2001,$A90,'Hours Log'!$A$2:$A$2001,E$5))</f>
        <v/>
      </c>
      <c r="F90" s="18">
        <f>IF($A90="","",SUMIFS('Hours Log'!$G$2:$G$2001,'Hours Log'!$B$2:$B$2001,$A90,'Hours Log'!$A$2:$A$2001,F$5))</f>
        <v/>
      </c>
      <c r="G90" s="18">
        <f>IF($A90="","",SUMIFS('Hours Log'!$G$2:$G$2001,'Hours Log'!$B$2:$B$2001,$A90,'Hours Log'!$A$2:$A$2001,G$5))</f>
        <v/>
      </c>
      <c r="H90" s="18">
        <f>IF($A90="","",SUMIFS('Hours Log'!$G$2:$G$2001,'Hours Log'!$B$2:$B$2001,$A90,'Hours Log'!$A$2:$A$2001,H$5))</f>
        <v/>
      </c>
      <c r="I90" s="14">
        <f>IF($A90="","",SUM(B90:H90))</f>
        <v/>
      </c>
      <c r="K90">
        <f>IF(Sites!A86="","",Sites!A86)</f>
        <v/>
      </c>
      <c r="L90">
        <f>IF(K90="","",COUNTIFS('Hours Log'!$C$2:$C$2001,K90,'Hours Log'!$I$2:$I$2001,$B$3))</f>
        <v/>
      </c>
      <c r="M90" s="18">
        <f>IF(K90="","",SUMIFS('Hours Log'!$G$2:$G$2001,'Hours Log'!$C$2:$C$2001,K90,'Hours Log'!$I$2:$I$2001,$B$3))</f>
        <v/>
      </c>
      <c r="N90" s="10" t="n"/>
      <c r="O90" s="10" t="n"/>
      <c r="P90" s="18">
        <f>IF(OR(K90="",O90=""),"",M90-O90)</f>
        <v/>
      </c>
      <c r="Q90">
        <f>IF(K90="","",IF(AND(N(N90)&gt;0,L90=0),"Jobber visit, no hours logged",IF(AND(L90&gt;0,N90=""),"Enter Jobber visits",IF(AND(L90&gt;0,N(N90)=0),"Hours logged, no Jobber visit",IF(AND(O90&lt;&gt;"",ABS(N(P90))&gt;0.5),"Hours differ from Jobber","")))))</f>
        <v/>
      </c>
    </row>
    <row r="91">
      <c r="A91">
        <f>IF(Staff!A87="","",Staff!A87)</f>
        <v/>
      </c>
      <c r="B91" s="18">
        <f>IF($A91="","",SUMIFS('Hours Log'!$G$2:$G$2001,'Hours Log'!$B$2:$B$2001,$A91,'Hours Log'!$A$2:$A$2001,B$5))</f>
        <v/>
      </c>
      <c r="C91" s="18">
        <f>IF($A91="","",SUMIFS('Hours Log'!$G$2:$G$2001,'Hours Log'!$B$2:$B$2001,$A91,'Hours Log'!$A$2:$A$2001,C$5))</f>
        <v/>
      </c>
      <c r="D91" s="18">
        <f>IF($A91="","",SUMIFS('Hours Log'!$G$2:$G$2001,'Hours Log'!$B$2:$B$2001,$A91,'Hours Log'!$A$2:$A$2001,D$5))</f>
        <v/>
      </c>
      <c r="E91" s="18">
        <f>IF($A91="","",SUMIFS('Hours Log'!$G$2:$G$2001,'Hours Log'!$B$2:$B$2001,$A91,'Hours Log'!$A$2:$A$2001,E$5))</f>
        <v/>
      </c>
      <c r="F91" s="18">
        <f>IF($A91="","",SUMIFS('Hours Log'!$G$2:$G$2001,'Hours Log'!$B$2:$B$2001,$A91,'Hours Log'!$A$2:$A$2001,F$5))</f>
        <v/>
      </c>
      <c r="G91" s="18">
        <f>IF($A91="","",SUMIFS('Hours Log'!$G$2:$G$2001,'Hours Log'!$B$2:$B$2001,$A91,'Hours Log'!$A$2:$A$2001,G$5))</f>
        <v/>
      </c>
      <c r="H91" s="18">
        <f>IF($A91="","",SUMIFS('Hours Log'!$G$2:$G$2001,'Hours Log'!$B$2:$B$2001,$A91,'Hours Log'!$A$2:$A$2001,H$5))</f>
        <v/>
      </c>
      <c r="I91" s="14">
        <f>IF($A91="","",SUM(B91:H91))</f>
        <v/>
      </c>
      <c r="K91">
        <f>IF(Sites!A87="","",Sites!A87)</f>
        <v/>
      </c>
      <c r="L91">
        <f>IF(K91="","",COUNTIFS('Hours Log'!$C$2:$C$2001,K91,'Hours Log'!$I$2:$I$2001,$B$3))</f>
        <v/>
      </c>
      <c r="M91" s="18">
        <f>IF(K91="","",SUMIFS('Hours Log'!$G$2:$G$2001,'Hours Log'!$C$2:$C$2001,K91,'Hours Log'!$I$2:$I$2001,$B$3))</f>
        <v/>
      </c>
      <c r="N91" s="10" t="n"/>
      <c r="O91" s="10" t="n"/>
      <c r="P91" s="18">
        <f>IF(OR(K91="",O91=""),"",M91-O91)</f>
        <v/>
      </c>
      <c r="Q91">
        <f>IF(K91="","",IF(AND(N(N91)&gt;0,L91=0),"Jobber visit, no hours logged",IF(AND(L91&gt;0,N91=""),"Enter Jobber visits",IF(AND(L91&gt;0,N(N91)=0),"Hours logged, no Jobber visit",IF(AND(O91&lt;&gt;"",ABS(N(P91))&gt;0.5),"Hours differ from Jobber","")))))</f>
        <v/>
      </c>
    </row>
    <row r="92">
      <c r="A92">
        <f>IF(Staff!A88="","",Staff!A88)</f>
        <v/>
      </c>
      <c r="B92" s="18">
        <f>IF($A92="","",SUMIFS('Hours Log'!$G$2:$G$2001,'Hours Log'!$B$2:$B$2001,$A92,'Hours Log'!$A$2:$A$2001,B$5))</f>
        <v/>
      </c>
      <c r="C92" s="18">
        <f>IF($A92="","",SUMIFS('Hours Log'!$G$2:$G$2001,'Hours Log'!$B$2:$B$2001,$A92,'Hours Log'!$A$2:$A$2001,C$5))</f>
        <v/>
      </c>
      <c r="D92" s="18">
        <f>IF($A92="","",SUMIFS('Hours Log'!$G$2:$G$2001,'Hours Log'!$B$2:$B$2001,$A92,'Hours Log'!$A$2:$A$2001,D$5))</f>
        <v/>
      </c>
      <c r="E92" s="18">
        <f>IF($A92="","",SUMIFS('Hours Log'!$G$2:$G$2001,'Hours Log'!$B$2:$B$2001,$A92,'Hours Log'!$A$2:$A$2001,E$5))</f>
        <v/>
      </c>
      <c r="F92" s="18">
        <f>IF($A92="","",SUMIFS('Hours Log'!$G$2:$G$2001,'Hours Log'!$B$2:$B$2001,$A92,'Hours Log'!$A$2:$A$2001,F$5))</f>
        <v/>
      </c>
      <c r="G92" s="18">
        <f>IF($A92="","",SUMIFS('Hours Log'!$G$2:$G$2001,'Hours Log'!$B$2:$B$2001,$A92,'Hours Log'!$A$2:$A$2001,G$5))</f>
        <v/>
      </c>
      <c r="H92" s="18">
        <f>IF($A92="","",SUMIFS('Hours Log'!$G$2:$G$2001,'Hours Log'!$B$2:$B$2001,$A92,'Hours Log'!$A$2:$A$2001,H$5))</f>
        <v/>
      </c>
      <c r="I92" s="14">
        <f>IF($A92="","",SUM(B92:H92))</f>
        <v/>
      </c>
      <c r="K92">
        <f>IF(Sites!A88="","",Sites!A88)</f>
        <v/>
      </c>
      <c r="L92">
        <f>IF(K92="","",COUNTIFS('Hours Log'!$C$2:$C$2001,K92,'Hours Log'!$I$2:$I$2001,$B$3))</f>
        <v/>
      </c>
      <c r="M92" s="18">
        <f>IF(K92="","",SUMIFS('Hours Log'!$G$2:$G$2001,'Hours Log'!$C$2:$C$2001,K92,'Hours Log'!$I$2:$I$2001,$B$3))</f>
        <v/>
      </c>
      <c r="N92" s="10" t="n"/>
      <c r="O92" s="10" t="n"/>
      <c r="P92" s="18">
        <f>IF(OR(K92="",O92=""),"",M92-O92)</f>
        <v/>
      </c>
      <c r="Q92">
        <f>IF(K92="","",IF(AND(N(N92)&gt;0,L92=0),"Jobber visit, no hours logged",IF(AND(L92&gt;0,N92=""),"Enter Jobber visits",IF(AND(L92&gt;0,N(N92)=0),"Hours logged, no Jobber visit",IF(AND(O92&lt;&gt;"",ABS(N(P92))&gt;0.5),"Hours differ from Jobber","")))))</f>
        <v/>
      </c>
    </row>
    <row r="93">
      <c r="A93">
        <f>IF(Staff!A89="","",Staff!A89)</f>
        <v/>
      </c>
      <c r="B93" s="18">
        <f>IF($A93="","",SUMIFS('Hours Log'!$G$2:$G$2001,'Hours Log'!$B$2:$B$2001,$A93,'Hours Log'!$A$2:$A$2001,B$5))</f>
        <v/>
      </c>
      <c r="C93" s="18">
        <f>IF($A93="","",SUMIFS('Hours Log'!$G$2:$G$2001,'Hours Log'!$B$2:$B$2001,$A93,'Hours Log'!$A$2:$A$2001,C$5))</f>
        <v/>
      </c>
      <c r="D93" s="18">
        <f>IF($A93="","",SUMIFS('Hours Log'!$G$2:$G$2001,'Hours Log'!$B$2:$B$2001,$A93,'Hours Log'!$A$2:$A$2001,D$5))</f>
        <v/>
      </c>
      <c r="E93" s="18">
        <f>IF($A93="","",SUMIFS('Hours Log'!$G$2:$G$2001,'Hours Log'!$B$2:$B$2001,$A93,'Hours Log'!$A$2:$A$2001,E$5))</f>
        <v/>
      </c>
      <c r="F93" s="18">
        <f>IF($A93="","",SUMIFS('Hours Log'!$G$2:$G$2001,'Hours Log'!$B$2:$B$2001,$A93,'Hours Log'!$A$2:$A$2001,F$5))</f>
        <v/>
      </c>
      <c r="G93" s="18">
        <f>IF($A93="","",SUMIFS('Hours Log'!$G$2:$G$2001,'Hours Log'!$B$2:$B$2001,$A93,'Hours Log'!$A$2:$A$2001,G$5))</f>
        <v/>
      </c>
      <c r="H93" s="18">
        <f>IF($A93="","",SUMIFS('Hours Log'!$G$2:$G$2001,'Hours Log'!$B$2:$B$2001,$A93,'Hours Log'!$A$2:$A$2001,H$5))</f>
        <v/>
      </c>
      <c r="I93" s="14">
        <f>IF($A93="","",SUM(B93:H93))</f>
        <v/>
      </c>
      <c r="K93">
        <f>IF(Sites!A89="","",Sites!A89)</f>
        <v/>
      </c>
      <c r="L93">
        <f>IF(K93="","",COUNTIFS('Hours Log'!$C$2:$C$2001,K93,'Hours Log'!$I$2:$I$2001,$B$3))</f>
        <v/>
      </c>
      <c r="M93" s="18">
        <f>IF(K93="","",SUMIFS('Hours Log'!$G$2:$G$2001,'Hours Log'!$C$2:$C$2001,K93,'Hours Log'!$I$2:$I$2001,$B$3))</f>
        <v/>
      </c>
      <c r="N93" s="10" t="n"/>
      <c r="O93" s="10" t="n"/>
      <c r="P93" s="18">
        <f>IF(OR(K93="",O93=""),"",M93-O93)</f>
        <v/>
      </c>
      <c r="Q93">
        <f>IF(K93="","",IF(AND(N(N93)&gt;0,L93=0),"Jobber visit, no hours logged",IF(AND(L93&gt;0,N93=""),"Enter Jobber visits",IF(AND(L93&gt;0,N(N93)=0),"Hours logged, no Jobber visit",IF(AND(O93&lt;&gt;"",ABS(N(P93))&gt;0.5),"Hours differ from Jobber","")))))</f>
        <v/>
      </c>
    </row>
    <row r="94">
      <c r="A94">
        <f>IF(Staff!A90="","",Staff!A90)</f>
        <v/>
      </c>
      <c r="B94" s="18">
        <f>IF($A94="","",SUMIFS('Hours Log'!$G$2:$G$2001,'Hours Log'!$B$2:$B$2001,$A94,'Hours Log'!$A$2:$A$2001,B$5))</f>
        <v/>
      </c>
      <c r="C94" s="18">
        <f>IF($A94="","",SUMIFS('Hours Log'!$G$2:$G$2001,'Hours Log'!$B$2:$B$2001,$A94,'Hours Log'!$A$2:$A$2001,C$5))</f>
        <v/>
      </c>
      <c r="D94" s="18">
        <f>IF($A94="","",SUMIFS('Hours Log'!$G$2:$G$2001,'Hours Log'!$B$2:$B$2001,$A94,'Hours Log'!$A$2:$A$2001,D$5))</f>
        <v/>
      </c>
      <c r="E94" s="18">
        <f>IF($A94="","",SUMIFS('Hours Log'!$G$2:$G$2001,'Hours Log'!$B$2:$B$2001,$A94,'Hours Log'!$A$2:$A$2001,E$5))</f>
        <v/>
      </c>
      <c r="F94" s="18">
        <f>IF($A94="","",SUMIFS('Hours Log'!$G$2:$G$2001,'Hours Log'!$B$2:$B$2001,$A94,'Hours Log'!$A$2:$A$2001,F$5))</f>
        <v/>
      </c>
      <c r="G94" s="18">
        <f>IF($A94="","",SUMIFS('Hours Log'!$G$2:$G$2001,'Hours Log'!$B$2:$B$2001,$A94,'Hours Log'!$A$2:$A$2001,G$5))</f>
        <v/>
      </c>
      <c r="H94" s="18">
        <f>IF($A94="","",SUMIFS('Hours Log'!$G$2:$G$2001,'Hours Log'!$B$2:$B$2001,$A94,'Hours Log'!$A$2:$A$2001,H$5))</f>
        <v/>
      </c>
      <c r="I94" s="14">
        <f>IF($A94="","",SUM(B94:H94))</f>
        <v/>
      </c>
      <c r="K94">
        <f>IF(Sites!A90="","",Sites!A90)</f>
        <v/>
      </c>
      <c r="L94">
        <f>IF(K94="","",COUNTIFS('Hours Log'!$C$2:$C$2001,K94,'Hours Log'!$I$2:$I$2001,$B$3))</f>
        <v/>
      </c>
      <c r="M94" s="18">
        <f>IF(K94="","",SUMIFS('Hours Log'!$G$2:$G$2001,'Hours Log'!$C$2:$C$2001,K94,'Hours Log'!$I$2:$I$2001,$B$3))</f>
        <v/>
      </c>
      <c r="N94" s="10" t="n"/>
      <c r="O94" s="10" t="n"/>
      <c r="P94" s="18">
        <f>IF(OR(K94="",O94=""),"",M94-O94)</f>
        <v/>
      </c>
      <c r="Q94">
        <f>IF(K94="","",IF(AND(N(N94)&gt;0,L94=0),"Jobber visit, no hours logged",IF(AND(L94&gt;0,N94=""),"Enter Jobber visits",IF(AND(L94&gt;0,N(N94)=0),"Hours logged, no Jobber visit",IF(AND(O94&lt;&gt;"",ABS(N(P94))&gt;0.5),"Hours differ from Jobber","")))))</f>
        <v/>
      </c>
    </row>
    <row r="95">
      <c r="A95">
        <f>IF(Staff!A91="","",Staff!A91)</f>
        <v/>
      </c>
      <c r="B95" s="18">
        <f>IF($A95="","",SUMIFS('Hours Log'!$G$2:$G$2001,'Hours Log'!$B$2:$B$2001,$A95,'Hours Log'!$A$2:$A$2001,B$5))</f>
        <v/>
      </c>
      <c r="C95" s="18">
        <f>IF($A95="","",SUMIFS('Hours Log'!$G$2:$G$2001,'Hours Log'!$B$2:$B$2001,$A95,'Hours Log'!$A$2:$A$2001,C$5))</f>
        <v/>
      </c>
      <c r="D95" s="18">
        <f>IF($A95="","",SUMIFS('Hours Log'!$G$2:$G$2001,'Hours Log'!$B$2:$B$2001,$A95,'Hours Log'!$A$2:$A$2001,D$5))</f>
        <v/>
      </c>
      <c r="E95" s="18">
        <f>IF($A95="","",SUMIFS('Hours Log'!$G$2:$G$2001,'Hours Log'!$B$2:$B$2001,$A95,'Hours Log'!$A$2:$A$2001,E$5))</f>
        <v/>
      </c>
      <c r="F95" s="18">
        <f>IF($A95="","",SUMIFS('Hours Log'!$G$2:$G$2001,'Hours Log'!$B$2:$B$2001,$A95,'Hours Log'!$A$2:$A$2001,F$5))</f>
        <v/>
      </c>
      <c r="G95" s="18">
        <f>IF($A95="","",SUMIFS('Hours Log'!$G$2:$G$2001,'Hours Log'!$B$2:$B$2001,$A95,'Hours Log'!$A$2:$A$2001,G$5))</f>
        <v/>
      </c>
      <c r="H95" s="18">
        <f>IF($A95="","",SUMIFS('Hours Log'!$G$2:$G$2001,'Hours Log'!$B$2:$B$2001,$A95,'Hours Log'!$A$2:$A$2001,H$5))</f>
        <v/>
      </c>
      <c r="I95" s="14">
        <f>IF($A95="","",SUM(B95:H95))</f>
        <v/>
      </c>
      <c r="K95">
        <f>IF(Sites!A91="","",Sites!A91)</f>
        <v/>
      </c>
      <c r="L95">
        <f>IF(K95="","",COUNTIFS('Hours Log'!$C$2:$C$2001,K95,'Hours Log'!$I$2:$I$2001,$B$3))</f>
        <v/>
      </c>
      <c r="M95" s="18">
        <f>IF(K95="","",SUMIFS('Hours Log'!$G$2:$G$2001,'Hours Log'!$C$2:$C$2001,K95,'Hours Log'!$I$2:$I$2001,$B$3))</f>
        <v/>
      </c>
      <c r="N95" s="10" t="n"/>
      <c r="O95" s="10" t="n"/>
      <c r="P95" s="18">
        <f>IF(OR(K95="",O95=""),"",M95-O95)</f>
        <v/>
      </c>
      <c r="Q95">
        <f>IF(K95="","",IF(AND(N(N95)&gt;0,L95=0),"Jobber visit, no hours logged",IF(AND(L95&gt;0,N95=""),"Enter Jobber visits",IF(AND(L95&gt;0,N(N95)=0),"Hours logged, no Jobber visit",IF(AND(O95&lt;&gt;"",ABS(N(P95))&gt;0.5),"Hours differ from Jobber","")))))</f>
        <v/>
      </c>
    </row>
    <row r="96">
      <c r="A96">
        <f>IF(Staff!A92="","",Staff!A92)</f>
        <v/>
      </c>
      <c r="B96" s="18">
        <f>IF($A96="","",SUMIFS('Hours Log'!$G$2:$G$2001,'Hours Log'!$B$2:$B$2001,$A96,'Hours Log'!$A$2:$A$2001,B$5))</f>
        <v/>
      </c>
      <c r="C96" s="18">
        <f>IF($A96="","",SUMIFS('Hours Log'!$G$2:$G$2001,'Hours Log'!$B$2:$B$2001,$A96,'Hours Log'!$A$2:$A$2001,C$5))</f>
        <v/>
      </c>
      <c r="D96" s="18">
        <f>IF($A96="","",SUMIFS('Hours Log'!$G$2:$G$2001,'Hours Log'!$B$2:$B$2001,$A96,'Hours Log'!$A$2:$A$2001,D$5))</f>
        <v/>
      </c>
      <c r="E96" s="18">
        <f>IF($A96="","",SUMIFS('Hours Log'!$G$2:$G$2001,'Hours Log'!$B$2:$B$2001,$A96,'Hours Log'!$A$2:$A$2001,E$5))</f>
        <v/>
      </c>
      <c r="F96" s="18">
        <f>IF($A96="","",SUMIFS('Hours Log'!$G$2:$G$2001,'Hours Log'!$B$2:$B$2001,$A96,'Hours Log'!$A$2:$A$2001,F$5))</f>
        <v/>
      </c>
      <c r="G96" s="18">
        <f>IF($A96="","",SUMIFS('Hours Log'!$G$2:$G$2001,'Hours Log'!$B$2:$B$2001,$A96,'Hours Log'!$A$2:$A$2001,G$5))</f>
        <v/>
      </c>
      <c r="H96" s="18">
        <f>IF($A96="","",SUMIFS('Hours Log'!$G$2:$G$2001,'Hours Log'!$B$2:$B$2001,$A96,'Hours Log'!$A$2:$A$2001,H$5))</f>
        <v/>
      </c>
      <c r="I96" s="14">
        <f>IF($A96="","",SUM(B96:H96))</f>
        <v/>
      </c>
      <c r="K96">
        <f>IF(Sites!A92="","",Sites!A92)</f>
        <v/>
      </c>
      <c r="L96">
        <f>IF(K96="","",COUNTIFS('Hours Log'!$C$2:$C$2001,K96,'Hours Log'!$I$2:$I$2001,$B$3))</f>
        <v/>
      </c>
      <c r="M96" s="18">
        <f>IF(K96="","",SUMIFS('Hours Log'!$G$2:$G$2001,'Hours Log'!$C$2:$C$2001,K96,'Hours Log'!$I$2:$I$2001,$B$3))</f>
        <v/>
      </c>
      <c r="N96" s="10" t="n"/>
      <c r="O96" s="10" t="n"/>
      <c r="P96" s="18">
        <f>IF(OR(K96="",O96=""),"",M96-O96)</f>
        <v/>
      </c>
      <c r="Q96">
        <f>IF(K96="","",IF(AND(N(N96)&gt;0,L96=0),"Jobber visit, no hours logged",IF(AND(L96&gt;0,N96=""),"Enter Jobber visits",IF(AND(L96&gt;0,N(N96)=0),"Hours logged, no Jobber visit",IF(AND(O96&lt;&gt;"",ABS(N(P96))&gt;0.5),"Hours differ from Jobber","")))))</f>
        <v/>
      </c>
    </row>
    <row r="97">
      <c r="A97">
        <f>IF(Staff!A93="","",Staff!A93)</f>
        <v/>
      </c>
      <c r="B97" s="18">
        <f>IF($A97="","",SUMIFS('Hours Log'!$G$2:$G$2001,'Hours Log'!$B$2:$B$2001,$A97,'Hours Log'!$A$2:$A$2001,B$5))</f>
        <v/>
      </c>
      <c r="C97" s="18">
        <f>IF($A97="","",SUMIFS('Hours Log'!$G$2:$G$2001,'Hours Log'!$B$2:$B$2001,$A97,'Hours Log'!$A$2:$A$2001,C$5))</f>
        <v/>
      </c>
      <c r="D97" s="18">
        <f>IF($A97="","",SUMIFS('Hours Log'!$G$2:$G$2001,'Hours Log'!$B$2:$B$2001,$A97,'Hours Log'!$A$2:$A$2001,D$5))</f>
        <v/>
      </c>
      <c r="E97" s="18">
        <f>IF($A97="","",SUMIFS('Hours Log'!$G$2:$G$2001,'Hours Log'!$B$2:$B$2001,$A97,'Hours Log'!$A$2:$A$2001,E$5))</f>
        <v/>
      </c>
      <c r="F97" s="18">
        <f>IF($A97="","",SUMIFS('Hours Log'!$G$2:$G$2001,'Hours Log'!$B$2:$B$2001,$A97,'Hours Log'!$A$2:$A$2001,F$5))</f>
        <v/>
      </c>
      <c r="G97" s="18">
        <f>IF($A97="","",SUMIFS('Hours Log'!$G$2:$G$2001,'Hours Log'!$B$2:$B$2001,$A97,'Hours Log'!$A$2:$A$2001,G$5))</f>
        <v/>
      </c>
      <c r="H97" s="18">
        <f>IF($A97="","",SUMIFS('Hours Log'!$G$2:$G$2001,'Hours Log'!$B$2:$B$2001,$A97,'Hours Log'!$A$2:$A$2001,H$5))</f>
        <v/>
      </c>
      <c r="I97" s="14">
        <f>IF($A97="","",SUM(B97:H97))</f>
        <v/>
      </c>
      <c r="K97">
        <f>IF(Sites!A93="","",Sites!A93)</f>
        <v/>
      </c>
      <c r="L97">
        <f>IF(K97="","",COUNTIFS('Hours Log'!$C$2:$C$2001,K97,'Hours Log'!$I$2:$I$2001,$B$3))</f>
        <v/>
      </c>
      <c r="M97" s="18">
        <f>IF(K97="","",SUMIFS('Hours Log'!$G$2:$G$2001,'Hours Log'!$C$2:$C$2001,K97,'Hours Log'!$I$2:$I$2001,$B$3))</f>
        <v/>
      </c>
      <c r="N97" s="10" t="n"/>
      <c r="O97" s="10" t="n"/>
      <c r="P97" s="18">
        <f>IF(OR(K97="",O97=""),"",M97-O97)</f>
        <v/>
      </c>
      <c r="Q97">
        <f>IF(K97="","",IF(AND(N(N97)&gt;0,L97=0),"Jobber visit, no hours logged",IF(AND(L97&gt;0,N97=""),"Enter Jobber visits",IF(AND(L97&gt;0,N(N97)=0),"Hours logged, no Jobber visit",IF(AND(O97&lt;&gt;"",ABS(N(P97))&gt;0.5),"Hours differ from Jobber","")))))</f>
        <v/>
      </c>
    </row>
    <row r="98">
      <c r="A98">
        <f>IF(Staff!A94="","",Staff!A94)</f>
        <v/>
      </c>
      <c r="B98" s="18">
        <f>IF($A98="","",SUMIFS('Hours Log'!$G$2:$G$2001,'Hours Log'!$B$2:$B$2001,$A98,'Hours Log'!$A$2:$A$2001,B$5))</f>
        <v/>
      </c>
      <c r="C98" s="18">
        <f>IF($A98="","",SUMIFS('Hours Log'!$G$2:$G$2001,'Hours Log'!$B$2:$B$2001,$A98,'Hours Log'!$A$2:$A$2001,C$5))</f>
        <v/>
      </c>
      <c r="D98" s="18">
        <f>IF($A98="","",SUMIFS('Hours Log'!$G$2:$G$2001,'Hours Log'!$B$2:$B$2001,$A98,'Hours Log'!$A$2:$A$2001,D$5))</f>
        <v/>
      </c>
      <c r="E98" s="18">
        <f>IF($A98="","",SUMIFS('Hours Log'!$G$2:$G$2001,'Hours Log'!$B$2:$B$2001,$A98,'Hours Log'!$A$2:$A$2001,E$5))</f>
        <v/>
      </c>
      <c r="F98" s="18">
        <f>IF($A98="","",SUMIFS('Hours Log'!$G$2:$G$2001,'Hours Log'!$B$2:$B$2001,$A98,'Hours Log'!$A$2:$A$2001,F$5))</f>
        <v/>
      </c>
      <c r="G98" s="18">
        <f>IF($A98="","",SUMIFS('Hours Log'!$G$2:$G$2001,'Hours Log'!$B$2:$B$2001,$A98,'Hours Log'!$A$2:$A$2001,G$5))</f>
        <v/>
      </c>
      <c r="H98" s="18">
        <f>IF($A98="","",SUMIFS('Hours Log'!$G$2:$G$2001,'Hours Log'!$B$2:$B$2001,$A98,'Hours Log'!$A$2:$A$2001,H$5))</f>
        <v/>
      </c>
      <c r="I98" s="14">
        <f>IF($A98="","",SUM(B98:H98))</f>
        <v/>
      </c>
      <c r="K98">
        <f>IF(Sites!A94="","",Sites!A94)</f>
        <v/>
      </c>
      <c r="L98">
        <f>IF(K98="","",COUNTIFS('Hours Log'!$C$2:$C$2001,K98,'Hours Log'!$I$2:$I$2001,$B$3))</f>
        <v/>
      </c>
      <c r="M98" s="18">
        <f>IF(K98="","",SUMIFS('Hours Log'!$G$2:$G$2001,'Hours Log'!$C$2:$C$2001,K98,'Hours Log'!$I$2:$I$2001,$B$3))</f>
        <v/>
      </c>
      <c r="N98" s="10" t="n"/>
      <c r="O98" s="10" t="n"/>
      <c r="P98" s="18">
        <f>IF(OR(K98="",O98=""),"",M98-O98)</f>
        <v/>
      </c>
      <c r="Q98">
        <f>IF(K98="","",IF(AND(N(N98)&gt;0,L98=0),"Jobber visit, no hours logged",IF(AND(L98&gt;0,N98=""),"Enter Jobber visits",IF(AND(L98&gt;0,N(N98)=0),"Hours logged, no Jobber visit",IF(AND(O98&lt;&gt;"",ABS(N(P98))&gt;0.5),"Hours differ from Jobber","")))))</f>
        <v/>
      </c>
    </row>
    <row r="99">
      <c r="A99">
        <f>IF(Staff!A95="","",Staff!A95)</f>
        <v/>
      </c>
      <c r="B99" s="18">
        <f>IF($A99="","",SUMIFS('Hours Log'!$G$2:$G$2001,'Hours Log'!$B$2:$B$2001,$A99,'Hours Log'!$A$2:$A$2001,B$5))</f>
        <v/>
      </c>
      <c r="C99" s="18">
        <f>IF($A99="","",SUMIFS('Hours Log'!$G$2:$G$2001,'Hours Log'!$B$2:$B$2001,$A99,'Hours Log'!$A$2:$A$2001,C$5))</f>
        <v/>
      </c>
      <c r="D99" s="18">
        <f>IF($A99="","",SUMIFS('Hours Log'!$G$2:$G$2001,'Hours Log'!$B$2:$B$2001,$A99,'Hours Log'!$A$2:$A$2001,D$5))</f>
        <v/>
      </c>
      <c r="E99" s="18">
        <f>IF($A99="","",SUMIFS('Hours Log'!$G$2:$G$2001,'Hours Log'!$B$2:$B$2001,$A99,'Hours Log'!$A$2:$A$2001,E$5))</f>
        <v/>
      </c>
      <c r="F99" s="18">
        <f>IF($A99="","",SUMIFS('Hours Log'!$G$2:$G$2001,'Hours Log'!$B$2:$B$2001,$A99,'Hours Log'!$A$2:$A$2001,F$5))</f>
        <v/>
      </c>
      <c r="G99" s="18">
        <f>IF($A99="","",SUMIFS('Hours Log'!$G$2:$G$2001,'Hours Log'!$B$2:$B$2001,$A99,'Hours Log'!$A$2:$A$2001,G$5))</f>
        <v/>
      </c>
      <c r="H99" s="18">
        <f>IF($A99="","",SUMIFS('Hours Log'!$G$2:$G$2001,'Hours Log'!$B$2:$B$2001,$A99,'Hours Log'!$A$2:$A$2001,H$5))</f>
        <v/>
      </c>
      <c r="I99" s="14">
        <f>IF($A99="","",SUM(B99:H99))</f>
        <v/>
      </c>
      <c r="K99">
        <f>IF(Sites!A95="","",Sites!A95)</f>
        <v/>
      </c>
      <c r="L99">
        <f>IF(K99="","",COUNTIFS('Hours Log'!$C$2:$C$2001,K99,'Hours Log'!$I$2:$I$2001,$B$3))</f>
        <v/>
      </c>
      <c r="M99" s="18">
        <f>IF(K99="","",SUMIFS('Hours Log'!$G$2:$G$2001,'Hours Log'!$C$2:$C$2001,K99,'Hours Log'!$I$2:$I$2001,$B$3))</f>
        <v/>
      </c>
      <c r="N99" s="10" t="n"/>
      <c r="O99" s="10" t="n"/>
      <c r="P99" s="18">
        <f>IF(OR(K99="",O99=""),"",M99-O99)</f>
        <v/>
      </c>
      <c r="Q99">
        <f>IF(K99="","",IF(AND(N(N99)&gt;0,L99=0),"Jobber visit, no hours logged",IF(AND(L99&gt;0,N99=""),"Enter Jobber visits",IF(AND(L99&gt;0,N(N99)=0),"Hours logged, no Jobber visit",IF(AND(O99&lt;&gt;"",ABS(N(P99))&gt;0.5),"Hours differ from Jobber","")))))</f>
        <v/>
      </c>
    </row>
    <row r="100">
      <c r="A100">
        <f>IF(Staff!A96="","",Staff!A96)</f>
        <v/>
      </c>
      <c r="B100" s="18">
        <f>IF($A100="","",SUMIFS('Hours Log'!$G$2:$G$2001,'Hours Log'!$B$2:$B$2001,$A100,'Hours Log'!$A$2:$A$2001,B$5))</f>
        <v/>
      </c>
      <c r="C100" s="18">
        <f>IF($A100="","",SUMIFS('Hours Log'!$G$2:$G$2001,'Hours Log'!$B$2:$B$2001,$A100,'Hours Log'!$A$2:$A$2001,C$5))</f>
        <v/>
      </c>
      <c r="D100" s="18">
        <f>IF($A100="","",SUMIFS('Hours Log'!$G$2:$G$2001,'Hours Log'!$B$2:$B$2001,$A100,'Hours Log'!$A$2:$A$2001,D$5))</f>
        <v/>
      </c>
      <c r="E100" s="18">
        <f>IF($A100="","",SUMIFS('Hours Log'!$G$2:$G$2001,'Hours Log'!$B$2:$B$2001,$A100,'Hours Log'!$A$2:$A$2001,E$5))</f>
        <v/>
      </c>
      <c r="F100" s="18">
        <f>IF($A100="","",SUMIFS('Hours Log'!$G$2:$G$2001,'Hours Log'!$B$2:$B$2001,$A100,'Hours Log'!$A$2:$A$2001,F$5))</f>
        <v/>
      </c>
      <c r="G100" s="18">
        <f>IF($A100="","",SUMIFS('Hours Log'!$G$2:$G$2001,'Hours Log'!$B$2:$B$2001,$A100,'Hours Log'!$A$2:$A$2001,G$5))</f>
        <v/>
      </c>
      <c r="H100" s="18">
        <f>IF($A100="","",SUMIFS('Hours Log'!$G$2:$G$2001,'Hours Log'!$B$2:$B$2001,$A100,'Hours Log'!$A$2:$A$2001,H$5))</f>
        <v/>
      </c>
      <c r="I100" s="14">
        <f>IF($A100="","",SUM(B100:H100))</f>
        <v/>
      </c>
      <c r="K100">
        <f>IF(Sites!A96="","",Sites!A96)</f>
        <v/>
      </c>
      <c r="L100">
        <f>IF(K100="","",COUNTIFS('Hours Log'!$C$2:$C$2001,K100,'Hours Log'!$I$2:$I$2001,$B$3))</f>
        <v/>
      </c>
      <c r="M100" s="18">
        <f>IF(K100="","",SUMIFS('Hours Log'!$G$2:$G$2001,'Hours Log'!$C$2:$C$2001,K100,'Hours Log'!$I$2:$I$2001,$B$3))</f>
        <v/>
      </c>
      <c r="N100" s="10" t="n"/>
      <c r="O100" s="10" t="n"/>
      <c r="P100" s="18">
        <f>IF(OR(K100="",O100=""),"",M100-O100)</f>
        <v/>
      </c>
      <c r="Q100">
        <f>IF(K100="","",IF(AND(N(N100)&gt;0,L100=0),"Jobber visit, no hours logged",IF(AND(L100&gt;0,N100=""),"Enter Jobber visits",IF(AND(L100&gt;0,N(N100)=0),"Hours logged, no Jobber visit",IF(AND(O100&lt;&gt;"",ABS(N(P100))&gt;0.5),"Hours differ from Jobber","")))))</f>
        <v/>
      </c>
    </row>
    <row r="101">
      <c r="A101">
        <f>IF(Staff!A97="","",Staff!A97)</f>
        <v/>
      </c>
      <c r="B101" s="18">
        <f>IF($A101="","",SUMIFS('Hours Log'!$G$2:$G$2001,'Hours Log'!$B$2:$B$2001,$A101,'Hours Log'!$A$2:$A$2001,B$5))</f>
        <v/>
      </c>
      <c r="C101" s="18">
        <f>IF($A101="","",SUMIFS('Hours Log'!$G$2:$G$2001,'Hours Log'!$B$2:$B$2001,$A101,'Hours Log'!$A$2:$A$2001,C$5))</f>
        <v/>
      </c>
      <c r="D101" s="18">
        <f>IF($A101="","",SUMIFS('Hours Log'!$G$2:$G$2001,'Hours Log'!$B$2:$B$2001,$A101,'Hours Log'!$A$2:$A$2001,D$5))</f>
        <v/>
      </c>
      <c r="E101" s="18">
        <f>IF($A101="","",SUMIFS('Hours Log'!$G$2:$G$2001,'Hours Log'!$B$2:$B$2001,$A101,'Hours Log'!$A$2:$A$2001,E$5))</f>
        <v/>
      </c>
      <c r="F101" s="18">
        <f>IF($A101="","",SUMIFS('Hours Log'!$G$2:$G$2001,'Hours Log'!$B$2:$B$2001,$A101,'Hours Log'!$A$2:$A$2001,F$5))</f>
        <v/>
      </c>
      <c r="G101" s="18">
        <f>IF($A101="","",SUMIFS('Hours Log'!$G$2:$G$2001,'Hours Log'!$B$2:$B$2001,$A101,'Hours Log'!$A$2:$A$2001,G$5))</f>
        <v/>
      </c>
      <c r="H101" s="18">
        <f>IF($A101="","",SUMIFS('Hours Log'!$G$2:$G$2001,'Hours Log'!$B$2:$B$2001,$A101,'Hours Log'!$A$2:$A$2001,H$5))</f>
        <v/>
      </c>
      <c r="I101" s="14">
        <f>IF($A101="","",SUM(B101:H101))</f>
        <v/>
      </c>
      <c r="K101">
        <f>IF(Sites!A97="","",Sites!A97)</f>
        <v/>
      </c>
      <c r="L101">
        <f>IF(K101="","",COUNTIFS('Hours Log'!$C$2:$C$2001,K101,'Hours Log'!$I$2:$I$2001,$B$3))</f>
        <v/>
      </c>
      <c r="M101" s="18">
        <f>IF(K101="","",SUMIFS('Hours Log'!$G$2:$G$2001,'Hours Log'!$C$2:$C$2001,K101,'Hours Log'!$I$2:$I$2001,$B$3))</f>
        <v/>
      </c>
      <c r="N101" s="10" t="n"/>
      <c r="O101" s="10" t="n"/>
      <c r="P101" s="18">
        <f>IF(OR(K101="",O101=""),"",M101-O101)</f>
        <v/>
      </c>
      <c r="Q101">
        <f>IF(K101="","",IF(AND(N(N101)&gt;0,L101=0),"Jobber visit, no hours logged",IF(AND(L101&gt;0,N101=""),"Enter Jobber visits",IF(AND(L101&gt;0,N(N101)=0),"Hours logged, no Jobber visit",IF(AND(O101&lt;&gt;"",ABS(N(P101))&gt;0.5),"Hours differ from Jobber","")))))</f>
        <v/>
      </c>
    </row>
    <row r="102">
      <c r="A102">
        <f>IF(Staff!A98="","",Staff!A98)</f>
        <v/>
      </c>
      <c r="B102" s="18">
        <f>IF($A102="","",SUMIFS('Hours Log'!$G$2:$G$2001,'Hours Log'!$B$2:$B$2001,$A102,'Hours Log'!$A$2:$A$2001,B$5))</f>
        <v/>
      </c>
      <c r="C102" s="18">
        <f>IF($A102="","",SUMIFS('Hours Log'!$G$2:$G$2001,'Hours Log'!$B$2:$B$2001,$A102,'Hours Log'!$A$2:$A$2001,C$5))</f>
        <v/>
      </c>
      <c r="D102" s="18">
        <f>IF($A102="","",SUMIFS('Hours Log'!$G$2:$G$2001,'Hours Log'!$B$2:$B$2001,$A102,'Hours Log'!$A$2:$A$2001,D$5))</f>
        <v/>
      </c>
      <c r="E102" s="18">
        <f>IF($A102="","",SUMIFS('Hours Log'!$G$2:$G$2001,'Hours Log'!$B$2:$B$2001,$A102,'Hours Log'!$A$2:$A$2001,E$5))</f>
        <v/>
      </c>
      <c r="F102" s="18">
        <f>IF($A102="","",SUMIFS('Hours Log'!$G$2:$G$2001,'Hours Log'!$B$2:$B$2001,$A102,'Hours Log'!$A$2:$A$2001,F$5))</f>
        <v/>
      </c>
      <c r="G102" s="18">
        <f>IF($A102="","",SUMIFS('Hours Log'!$G$2:$G$2001,'Hours Log'!$B$2:$B$2001,$A102,'Hours Log'!$A$2:$A$2001,G$5))</f>
        <v/>
      </c>
      <c r="H102" s="18">
        <f>IF($A102="","",SUMIFS('Hours Log'!$G$2:$G$2001,'Hours Log'!$B$2:$B$2001,$A102,'Hours Log'!$A$2:$A$2001,H$5))</f>
        <v/>
      </c>
      <c r="I102" s="14">
        <f>IF($A102="","",SUM(B102:H102))</f>
        <v/>
      </c>
      <c r="K102">
        <f>IF(Sites!A98="","",Sites!A98)</f>
        <v/>
      </c>
      <c r="L102">
        <f>IF(K102="","",COUNTIFS('Hours Log'!$C$2:$C$2001,K102,'Hours Log'!$I$2:$I$2001,$B$3))</f>
        <v/>
      </c>
      <c r="M102" s="18">
        <f>IF(K102="","",SUMIFS('Hours Log'!$G$2:$G$2001,'Hours Log'!$C$2:$C$2001,K102,'Hours Log'!$I$2:$I$2001,$B$3))</f>
        <v/>
      </c>
      <c r="N102" s="10" t="n"/>
      <c r="O102" s="10" t="n"/>
      <c r="P102" s="18">
        <f>IF(OR(K102="",O102=""),"",M102-O102)</f>
        <v/>
      </c>
      <c r="Q102">
        <f>IF(K102="","",IF(AND(N(N102)&gt;0,L102=0),"Jobber visit, no hours logged",IF(AND(L102&gt;0,N102=""),"Enter Jobber visits",IF(AND(L102&gt;0,N(N102)=0),"Hours logged, no Jobber visit",IF(AND(O102&lt;&gt;"",ABS(N(P102))&gt;0.5),"Hours differ from Jobber","")))))</f>
        <v/>
      </c>
    </row>
    <row r="103">
      <c r="A103">
        <f>IF(Staff!A99="","",Staff!A99)</f>
        <v/>
      </c>
      <c r="B103" s="18">
        <f>IF($A103="","",SUMIFS('Hours Log'!$G$2:$G$2001,'Hours Log'!$B$2:$B$2001,$A103,'Hours Log'!$A$2:$A$2001,B$5))</f>
        <v/>
      </c>
      <c r="C103" s="18">
        <f>IF($A103="","",SUMIFS('Hours Log'!$G$2:$G$2001,'Hours Log'!$B$2:$B$2001,$A103,'Hours Log'!$A$2:$A$2001,C$5))</f>
        <v/>
      </c>
      <c r="D103" s="18">
        <f>IF($A103="","",SUMIFS('Hours Log'!$G$2:$G$2001,'Hours Log'!$B$2:$B$2001,$A103,'Hours Log'!$A$2:$A$2001,D$5))</f>
        <v/>
      </c>
      <c r="E103" s="18">
        <f>IF($A103="","",SUMIFS('Hours Log'!$G$2:$G$2001,'Hours Log'!$B$2:$B$2001,$A103,'Hours Log'!$A$2:$A$2001,E$5))</f>
        <v/>
      </c>
      <c r="F103" s="18">
        <f>IF($A103="","",SUMIFS('Hours Log'!$G$2:$G$2001,'Hours Log'!$B$2:$B$2001,$A103,'Hours Log'!$A$2:$A$2001,F$5))</f>
        <v/>
      </c>
      <c r="G103" s="18">
        <f>IF($A103="","",SUMIFS('Hours Log'!$G$2:$G$2001,'Hours Log'!$B$2:$B$2001,$A103,'Hours Log'!$A$2:$A$2001,G$5))</f>
        <v/>
      </c>
      <c r="H103" s="18">
        <f>IF($A103="","",SUMIFS('Hours Log'!$G$2:$G$2001,'Hours Log'!$B$2:$B$2001,$A103,'Hours Log'!$A$2:$A$2001,H$5))</f>
        <v/>
      </c>
      <c r="I103" s="14">
        <f>IF($A103="","",SUM(B103:H103))</f>
        <v/>
      </c>
      <c r="K103">
        <f>IF(Sites!A99="","",Sites!A99)</f>
        <v/>
      </c>
      <c r="L103">
        <f>IF(K103="","",COUNTIFS('Hours Log'!$C$2:$C$2001,K103,'Hours Log'!$I$2:$I$2001,$B$3))</f>
        <v/>
      </c>
      <c r="M103" s="18">
        <f>IF(K103="","",SUMIFS('Hours Log'!$G$2:$G$2001,'Hours Log'!$C$2:$C$2001,K103,'Hours Log'!$I$2:$I$2001,$B$3))</f>
        <v/>
      </c>
      <c r="N103" s="10" t="n"/>
      <c r="O103" s="10" t="n"/>
      <c r="P103" s="18">
        <f>IF(OR(K103="",O103=""),"",M103-O103)</f>
        <v/>
      </c>
      <c r="Q103">
        <f>IF(K103="","",IF(AND(N(N103)&gt;0,L103=0),"Jobber visit, no hours logged",IF(AND(L103&gt;0,N103=""),"Enter Jobber visits",IF(AND(L103&gt;0,N(N103)=0),"Hours logged, no Jobber visit",IF(AND(O103&lt;&gt;"",ABS(N(P103))&gt;0.5),"Hours differ from Jobber","")))))</f>
        <v/>
      </c>
    </row>
    <row r="104">
      <c r="A104">
        <f>IF(Staff!A100="","",Staff!A100)</f>
        <v/>
      </c>
      <c r="B104" s="18">
        <f>IF($A104="","",SUMIFS('Hours Log'!$G$2:$G$2001,'Hours Log'!$B$2:$B$2001,$A104,'Hours Log'!$A$2:$A$2001,B$5))</f>
        <v/>
      </c>
      <c r="C104" s="18">
        <f>IF($A104="","",SUMIFS('Hours Log'!$G$2:$G$2001,'Hours Log'!$B$2:$B$2001,$A104,'Hours Log'!$A$2:$A$2001,C$5))</f>
        <v/>
      </c>
      <c r="D104" s="18">
        <f>IF($A104="","",SUMIFS('Hours Log'!$G$2:$G$2001,'Hours Log'!$B$2:$B$2001,$A104,'Hours Log'!$A$2:$A$2001,D$5))</f>
        <v/>
      </c>
      <c r="E104" s="18">
        <f>IF($A104="","",SUMIFS('Hours Log'!$G$2:$G$2001,'Hours Log'!$B$2:$B$2001,$A104,'Hours Log'!$A$2:$A$2001,E$5))</f>
        <v/>
      </c>
      <c r="F104" s="18">
        <f>IF($A104="","",SUMIFS('Hours Log'!$G$2:$G$2001,'Hours Log'!$B$2:$B$2001,$A104,'Hours Log'!$A$2:$A$2001,F$5))</f>
        <v/>
      </c>
      <c r="G104" s="18">
        <f>IF($A104="","",SUMIFS('Hours Log'!$G$2:$G$2001,'Hours Log'!$B$2:$B$2001,$A104,'Hours Log'!$A$2:$A$2001,G$5))</f>
        <v/>
      </c>
      <c r="H104" s="18">
        <f>IF($A104="","",SUMIFS('Hours Log'!$G$2:$G$2001,'Hours Log'!$B$2:$B$2001,$A104,'Hours Log'!$A$2:$A$2001,H$5))</f>
        <v/>
      </c>
      <c r="I104" s="14">
        <f>IF($A104="","",SUM(B104:H104))</f>
        <v/>
      </c>
      <c r="K104">
        <f>IF(Sites!A100="","",Sites!A100)</f>
        <v/>
      </c>
      <c r="L104">
        <f>IF(K104="","",COUNTIFS('Hours Log'!$C$2:$C$2001,K104,'Hours Log'!$I$2:$I$2001,$B$3))</f>
        <v/>
      </c>
      <c r="M104" s="18">
        <f>IF(K104="","",SUMIFS('Hours Log'!$G$2:$G$2001,'Hours Log'!$C$2:$C$2001,K104,'Hours Log'!$I$2:$I$2001,$B$3))</f>
        <v/>
      </c>
      <c r="N104" s="10" t="n"/>
      <c r="O104" s="10" t="n"/>
      <c r="P104" s="18">
        <f>IF(OR(K104="",O104=""),"",M104-O104)</f>
        <v/>
      </c>
      <c r="Q104">
        <f>IF(K104="","",IF(AND(N(N104)&gt;0,L104=0),"Jobber visit, no hours logged",IF(AND(L104&gt;0,N104=""),"Enter Jobber visits",IF(AND(L104&gt;0,N(N104)=0),"Hours logged, no Jobber visit",IF(AND(O104&lt;&gt;"",ABS(N(P104))&gt;0.5),"Hours differ from Jobber","")))))</f>
        <v/>
      </c>
    </row>
    <row r="105">
      <c r="A105">
        <f>IF(Staff!A101="","",Staff!A101)</f>
        <v/>
      </c>
      <c r="B105" s="18">
        <f>IF($A105="","",SUMIFS('Hours Log'!$G$2:$G$2001,'Hours Log'!$B$2:$B$2001,$A105,'Hours Log'!$A$2:$A$2001,B$5))</f>
        <v/>
      </c>
      <c r="C105" s="18">
        <f>IF($A105="","",SUMIFS('Hours Log'!$G$2:$G$2001,'Hours Log'!$B$2:$B$2001,$A105,'Hours Log'!$A$2:$A$2001,C$5))</f>
        <v/>
      </c>
      <c r="D105" s="18">
        <f>IF($A105="","",SUMIFS('Hours Log'!$G$2:$G$2001,'Hours Log'!$B$2:$B$2001,$A105,'Hours Log'!$A$2:$A$2001,D$5))</f>
        <v/>
      </c>
      <c r="E105" s="18">
        <f>IF($A105="","",SUMIFS('Hours Log'!$G$2:$G$2001,'Hours Log'!$B$2:$B$2001,$A105,'Hours Log'!$A$2:$A$2001,E$5))</f>
        <v/>
      </c>
      <c r="F105" s="18">
        <f>IF($A105="","",SUMIFS('Hours Log'!$G$2:$G$2001,'Hours Log'!$B$2:$B$2001,$A105,'Hours Log'!$A$2:$A$2001,F$5))</f>
        <v/>
      </c>
      <c r="G105" s="18">
        <f>IF($A105="","",SUMIFS('Hours Log'!$G$2:$G$2001,'Hours Log'!$B$2:$B$2001,$A105,'Hours Log'!$A$2:$A$2001,G$5))</f>
        <v/>
      </c>
      <c r="H105" s="18">
        <f>IF($A105="","",SUMIFS('Hours Log'!$G$2:$G$2001,'Hours Log'!$B$2:$B$2001,$A105,'Hours Log'!$A$2:$A$2001,H$5))</f>
        <v/>
      </c>
      <c r="I105" s="14">
        <f>IF($A105="","",SUM(B105:H105))</f>
        <v/>
      </c>
      <c r="K105">
        <f>IF(Sites!A101="","",Sites!A101)</f>
        <v/>
      </c>
      <c r="L105">
        <f>IF(K105="","",COUNTIFS('Hours Log'!$C$2:$C$2001,K105,'Hours Log'!$I$2:$I$2001,$B$3))</f>
        <v/>
      </c>
      <c r="M105" s="18">
        <f>IF(K105="","",SUMIFS('Hours Log'!$G$2:$G$2001,'Hours Log'!$C$2:$C$2001,K105,'Hours Log'!$I$2:$I$2001,$B$3))</f>
        <v/>
      </c>
      <c r="N105" s="10" t="n"/>
      <c r="O105" s="10" t="n"/>
      <c r="P105" s="18">
        <f>IF(OR(K105="",O105=""),"",M105-O105)</f>
        <v/>
      </c>
      <c r="Q105">
        <f>IF(K105="","",IF(AND(N(N105)&gt;0,L105=0),"Jobber visit, no hours logged",IF(AND(L105&gt;0,N105=""),"Enter Jobber visits",IF(AND(L105&gt;0,N(N105)=0),"Hours logged, no Jobber visit",IF(AND(O105&lt;&gt;"",ABS(N(P105))&gt;0.5),"Hours differ from Jobber","")))))</f>
        <v/>
      </c>
    </row>
    <row r="106">
      <c r="K106">
        <f>IF(Sites!A102="","",Sites!A102)</f>
        <v/>
      </c>
      <c r="L106">
        <f>IF(K106="","",COUNTIFS('Hours Log'!$C$2:$C$2001,K106,'Hours Log'!$I$2:$I$2001,$B$3))</f>
        <v/>
      </c>
      <c r="M106" s="18">
        <f>IF(K106="","",SUMIFS('Hours Log'!$G$2:$G$2001,'Hours Log'!$C$2:$C$2001,K106,'Hours Log'!$I$2:$I$2001,$B$3))</f>
        <v/>
      </c>
      <c r="N106" s="10" t="n"/>
      <c r="O106" s="10" t="n"/>
      <c r="P106" s="18">
        <f>IF(OR(K106="",O106=""),"",M106-O106)</f>
        <v/>
      </c>
      <c r="Q106">
        <f>IF(K106="","",IF(AND(N(N106)&gt;0,L106=0),"Jobber visit, no hours logged",IF(AND(L106&gt;0,N106=""),"Enter Jobber visits",IF(AND(L106&gt;0,N(N106)=0),"Hours logged, no Jobber visit",IF(AND(O106&lt;&gt;"",ABS(N(P106))&gt;0.5),"Hours differ from Jobber","")))))</f>
        <v/>
      </c>
    </row>
    <row r="107">
      <c r="K107">
        <f>IF(Sites!A103="","",Sites!A103)</f>
        <v/>
      </c>
      <c r="L107">
        <f>IF(K107="","",COUNTIFS('Hours Log'!$C$2:$C$2001,K107,'Hours Log'!$I$2:$I$2001,$B$3))</f>
        <v/>
      </c>
      <c r="M107" s="18">
        <f>IF(K107="","",SUMIFS('Hours Log'!$G$2:$G$2001,'Hours Log'!$C$2:$C$2001,K107,'Hours Log'!$I$2:$I$2001,$B$3))</f>
        <v/>
      </c>
      <c r="N107" s="10" t="n"/>
      <c r="O107" s="10" t="n"/>
      <c r="P107" s="18">
        <f>IF(OR(K107="",O107=""),"",M107-O107)</f>
        <v/>
      </c>
      <c r="Q107">
        <f>IF(K107="","",IF(AND(N(N107)&gt;0,L107=0),"Jobber visit, no hours logged",IF(AND(L107&gt;0,N107=""),"Enter Jobber visits",IF(AND(L107&gt;0,N(N107)=0),"Hours logged, no Jobber visit",IF(AND(O107&lt;&gt;"",ABS(N(P107))&gt;0.5),"Hours differ from Jobber","")))))</f>
        <v/>
      </c>
    </row>
    <row r="108">
      <c r="K108">
        <f>IF(Sites!A104="","",Sites!A104)</f>
        <v/>
      </c>
      <c r="L108">
        <f>IF(K108="","",COUNTIFS('Hours Log'!$C$2:$C$2001,K108,'Hours Log'!$I$2:$I$2001,$B$3))</f>
        <v/>
      </c>
      <c r="M108" s="18">
        <f>IF(K108="","",SUMIFS('Hours Log'!$G$2:$G$2001,'Hours Log'!$C$2:$C$2001,K108,'Hours Log'!$I$2:$I$2001,$B$3))</f>
        <v/>
      </c>
      <c r="N108" s="10" t="n"/>
      <c r="O108" s="10" t="n"/>
      <c r="P108" s="18">
        <f>IF(OR(K108="",O108=""),"",M108-O108)</f>
        <v/>
      </c>
      <c r="Q108">
        <f>IF(K108="","",IF(AND(N(N108)&gt;0,L108=0),"Jobber visit, no hours logged",IF(AND(L108&gt;0,N108=""),"Enter Jobber visits",IF(AND(L108&gt;0,N(N108)=0),"Hours logged, no Jobber visit",IF(AND(O108&lt;&gt;"",ABS(N(P108))&gt;0.5),"Hours differ from Jobber","")))))</f>
        <v/>
      </c>
    </row>
    <row r="109">
      <c r="K109">
        <f>IF(Sites!A105="","",Sites!A105)</f>
        <v/>
      </c>
      <c r="L109">
        <f>IF(K109="","",COUNTIFS('Hours Log'!$C$2:$C$2001,K109,'Hours Log'!$I$2:$I$2001,$B$3))</f>
        <v/>
      </c>
      <c r="M109" s="18">
        <f>IF(K109="","",SUMIFS('Hours Log'!$G$2:$G$2001,'Hours Log'!$C$2:$C$2001,K109,'Hours Log'!$I$2:$I$2001,$B$3))</f>
        <v/>
      </c>
      <c r="N109" s="10" t="n"/>
      <c r="O109" s="10" t="n"/>
      <c r="P109" s="18">
        <f>IF(OR(K109="",O109=""),"",M109-O109)</f>
        <v/>
      </c>
      <c r="Q109">
        <f>IF(K109="","",IF(AND(N(N109)&gt;0,L109=0),"Jobber visit, no hours logged",IF(AND(L109&gt;0,N109=""),"Enter Jobber visits",IF(AND(L109&gt;0,N(N109)=0),"Hours logged, no Jobber visit",IF(AND(O109&lt;&gt;"",ABS(N(P109))&gt;0.5),"Hours differ from Jobber","")))))</f>
        <v/>
      </c>
    </row>
    <row r="110">
      <c r="K110">
        <f>IF(Sites!A106="","",Sites!A106)</f>
        <v/>
      </c>
      <c r="L110">
        <f>IF(K110="","",COUNTIFS('Hours Log'!$C$2:$C$2001,K110,'Hours Log'!$I$2:$I$2001,$B$3))</f>
        <v/>
      </c>
      <c r="M110" s="18">
        <f>IF(K110="","",SUMIFS('Hours Log'!$G$2:$G$2001,'Hours Log'!$C$2:$C$2001,K110,'Hours Log'!$I$2:$I$2001,$B$3))</f>
        <v/>
      </c>
      <c r="N110" s="10" t="n"/>
      <c r="O110" s="10" t="n"/>
      <c r="P110" s="18">
        <f>IF(OR(K110="",O110=""),"",M110-O110)</f>
        <v/>
      </c>
      <c r="Q110">
        <f>IF(K110="","",IF(AND(N(N110)&gt;0,L110=0),"Jobber visit, no hours logged",IF(AND(L110&gt;0,N110=""),"Enter Jobber visits",IF(AND(L110&gt;0,N(N110)=0),"Hours logged, no Jobber visit",IF(AND(O110&lt;&gt;"",ABS(N(P110))&gt;0.5),"Hours differ from Jobber","")))))</f>
        <v/>
      </c>
    </row>
    <row r="111">
      <c r="K111">
        <f>IF(Sites!A107="","",Sites!A107)</f>
        <v/>
      </c>
      <c r="L111">
        <f>IF(K111="","",COUNTIFS('Hours Log'!$C$2:$C$2001,K111,'Hours Log'!$I$2:$I$2001,$B$3))</f>
        <v/>
      </c>
      <c r="M111" s="18">
        <f>IF(K111="","",SUMIFS('Hours Log'!$G$2:$G$2001,'Hours Log'!$C$2:$C$2001,K111,'Hours Log'!$I$2:$I$2001,$B$3))</f>
        <v/>
      </c>
      <c r="N111" s="10" t="n"/>
      <c r="O111" s="10" t="n"/>
      <c r="P111" s="18">
        <f>IF(OR(K111="",O111=""),"",M111-O111)</f>
        <v/>
      </c>
      <c r="Q111">
        <f>IF(K111="","",IF(AND(N(N111)&gt;0,L111=0),"Jobber visit, no hours logged",IF(AND(L111&gt;0,N111=""),"Enter Jobber visits",IF(AND(L111&gt;0,N(N111)=0),"Hours logged, no Jobber visit",IF(AND(O111&lt;&gt;"",ABS(N(P111))&gt;0.5),"Hours differ from Jobber","")))))</f>
        <v/>
      </c>
    </row>
    <row r="112">
      <c r="K112">
        <f>IF(Sites!A108="","",Sites!A108)</f>
        <v/>
      </c>
      <c r="L112">
        <f>IF(K112="","",COUNTIFS('Hours Log'!$C$2:$C$2001,K112,'Hours Log'!$I$2:$I$2001,$B$3))</f>
        <v/>
      </c>
      <c r="M112" s="18">
        <f>IF(K112="","",SUMIFS('Hours Log'!$G$2:$G$2001,'Hours Log'!$C$2:$C$2001,K112,'Hours Log'!$I$2:$I$2001,$B$3))</f>
        <v/>
      </c>
      <c r="N112" s="10" t="n"/>
      <c r="O112" s="10" t="n"/>
      <c r="P112" s="18">
        <f>IF(OR(K112="",O112=""),"",M112-O112)</f>
        <v/>
      </c>
      <c r="Q112">
        <f>IF(K112="","",IF(AND(N(N112)&gt;0,L112=0),"Jobber visit, no hours logged",IF(AND(L112&gt;0,N112=""),"Enter Jobber visits",IF(AND(L112&gt;0,N(N112)=0),"Hours logged, no Jobber visit",IF(AND(O112&lt;&gt;"",ABS(N(P112))&gt;0.5),"Hours differ from Jobber","")))))</f>
        <v/>
      </c>
    </row>
    <row r="113">
      <c r="K113">
        <f>IF(Sites!A109="","",Sites!A109)</f>
        <v/>
      </c>
      <c r="L113">
        <f>IF(K113="","",COUNTIFS('Hours Log'!$C$2:$C$2001,K113,'Hours Log'!$I$2:$I$2001,$B$3))</f>
        <v/>
      </c>
      <c r="M113" s="18">
        <f>IF(K113="","",SUMIFS('Hours Log'!$G$2:$G$2001,'Hours Log'!$C$2:$C$2001,K113,'Hours Log'!$I$2:$I$2001,$B$3))</f>
        <v/>
      </c>
      <c r="N113" s="10" t="n"/>
      <c r="O113" s="10" t="n"/>
      <c r="P113" s="18">
        <f>IF(OR(K113="",O113=""),"",M113-O113)</f>
        <v/>
      </c>
      <c r="Q113">
        <f>IF(K113="","",IF(AND(N(N113)&gt;0,L113=0),"Jobber visit, no hours logged",IF(AND(L113&gt;0,N113=""),"Enter Jobber visits",IF(AND(L113&gt;0,N(N113)=0),"Hours logged, no Jobber visit",IF(AND(O113&lt;&gt;"",ABS(N(P113))&gt;0.5),"Hours differ from Jobber","")))))</f>
        <v/>
      </c>
    </row>
    <row r="114">
      <c r="K114">
        <f>IF(Sites!A110="","",Sites!A110)</f>
        <v/>
      </c>
      <c r="L114">
        <f>IF(K114="","",COUNTIFS('Hours Log'!$C$2:$C$2001,K114,'Hours Log'!$I$2:$I$2001,$B$3))</f>
        <v/>
      </c>
      <c r="M114" s="18">
        <f>IF(K114="","",SUMIFS('Hours Log'!$G$2:$G$2001,'Hours Log'!$C$2:$C$2001,K114,'Hours Log'!$I$2:$I$2001,$B$3))</f>
        <v/>
      </c>
      <c r="N114" s="10" t="n"/>
      <c r="O114" s="10" t="n"/>
      <c r="P114" s="18">
        <f>IF(OR(K114="",O114=""),"",M114-O114)</f>
        <v/>
      </c>
      <c r="Q114">
        <f>IF(K114="","",IF(AND(N(N114)&gt;0,L114=0),"Jobber visit, no hours logged",IF(AND(L114&gt;0,N114=""),"Enter Jobber visits",IF(AND(L114&gt;0,N(N114)=0),"Hours logged, no Jobber visit",IF(AND(O114&lt;&gt;"",ABS(N(P114))&gt;0.5),"Hours differ from Jobber","")))))</f>
        <v/>
      </c>
    </row>
    <row r="115">
      <c r="K115">
        <f>IF(Sites!A111="","",Sites!A111)</f>
        <v/>
      </c>
      <c r="L115">
        <f>IF(K115="","",COUNTIFS('Hours Log'!$C$2:$C$2001,K115,'Hours Log'!$I$2:$I$2001,$B$3))</f>
        <v/>
      </c>
      <c r="M115" s="18">
        <f>IF(K115="","",SUMIFS('Hours Log'!$G$2:$G$2001,'Hours Log'!$C$2:$C$2001,K115,'Hours Log'!$I$2:$I$2001,$B$3))</f>
        <v/>
      </c>
      <c r="N115" s="10" t="n"/>
      <c r="O115" s="10" t="n"/>
      <c r="P115" s="18">
        <f>IF(OR(K115="",O115=""),"",M115-O115)</f>
        <v/>
      </c>
      <c r="Q115">
        <f>IF(K115="","",IF(AND(N(N115)&gt;0,L115=0),"Jobber visit, no hours logged",IF(AND(L115&gt;0,N115=""),"Enter Jobber visits",IF(AND(L115&gt;0,N(N115)=0),"Hours logged, no Jobber visit",IF(AND(O115&lt;&gt;"",ABS(N(P115))&gt;0.5),"Hours differ from Jobber","")))))</f>
        <v/>
      </c>
    </row>
    <row r="116">
      <c r="K116">
        <f>IF(Sites!A112="","",Sites!A112)</f>
        <v/>
      </c>
      <c r="L116">
        <f>IF(K116="","",COUNTIFS('Hours Log'!$C$2:$C$2001,K116,'Hours Log'!$I$2:$I$2001,$B$3))</f>
        <v/>
      </c>
      <c r="M116" s="18">
        <f>IF(K116="","",SUMIFS('Hours Log'!$G$2:$G$2001,'Hours Log'!$C$2:$C$2001,K116,'Hours Log'!$I$2:$I$2001,$B$3))</f>
        <v/>
      </c>
      <c r="N116" s="10" t="n"/>
      <c r="O116" s="10" t="n"/>
      <c r="P116" s="18">
        <f>IF(OR(K116="",O116=""),"",M116-O116)</f>
        <v/>
      </c>
      <c r="Q116">
        <f>IF(K116="","",IF(AND(N(N116)&gt;0,L116=0),"Jobber visit, no hours logged",IF(AND(L116&gt;0,N116=""),"Enter Jobber visits",IF(AND(L116&gt;0,N(N116)=0),"Hours logged, no Jobber visit",IF(AND(O116&lt;&gt;"",ABS(N(P116))&gt;0.5),"Hours differ from Jobber","")))))</f>
        <v/>
      </c>
    </row>
    <row r="117">
      <c r="K117">
        <f>IF(Sites!A113="","",Sites!A113)</f>
        <v/>
      </c>
      <c r="L117">
        <f>IF(K117="","",COUNTIFS('Hours Log'!$C$2:$C$2001,K117,'Hours Log'!$I$2:$I$2001,$B$3))</f>
        <v/>
      </c>
      <c r="M117" s="18">
        <f>IF(K117="","",SUMIFS('Hours Log'!$G$2:$G$2001,'Hours Log'!$C$2:$C$2001,K117,'Hours Log'!$I$2:$I$2001,$B$3))</f>
        <v/>
      </c>
      <c r="N117" s="10" t="n"/>
      <c r="O117" s="10" t="n"/>
      <c r="P117" s="18">
        <f>IF(OR(K117="",O117=""),"",M117-O117)</f>
        <v/>
      </c>
      <c r="Q117">
        <f>IF(K117="","",IF(AND(N(N117)&gt;0,L117=0),"Jobber visit, no hours logged",IF(AND(L117&gt;0,N117=""),"Enter Jobber visits",IF(AND(L117&gt;0,N(N117)=0),"Hours logged, no Jobber visit",IF(AND(O117&lt;&gt;"",ABS(N(P117))&gt;0.5),"Hours differ from Jobber","")))))</f>
        <v/>
      </c>
    </row>
    <row r="118">
      <c r="K118">
        <f>IF(Sites!A114="","",Sites!A114)</f>
        <v/>
      </c>
      <c r="L118">
        <f>IF(K118="","",COUNTIFS('Hours Log'!$C$2:$C$2001,K118,'Hours Log'!$I$2:$I$2001,$B$3))</f>
        <v/>
      </c>
      <c r="M118" s="18">
        <f>IF(K118="","",SUMIFS('Hours Log'!$G$2:$G$2001,'Hours Log'!$C$2:$C$2001,K118,'Hours Log'!$I$2:$I$2001,$B$3))</f>
        <v/>
      </c>
      <c r="N118" s="10" t="n"/>
      <c r="O118" s="10" t="n"/>
      <c r="P118" s="18">
        <f>IF(OR(K118="",O118=""),"",M118-O118)</f>
        <v/>
      </c>
      <c r="Q118">
        <f>IF(K118="","",IF(AND(N(N118)&gt;0,L118=0),"Jobber visit, no hours logged",IF(AND(L118&gt;0,N118=""),"Enter Jobber visits",IF(AND(L118&gt;0,N(N118)=0),"Hours logged, no Jobber visit",IF(AND(O118&lt;&gt;"",ABS(N(P118))&gt;0.5),"Hours differ from Jobber","")))))</f>
        <v/>
      </c>
    </row>
    <row r="119">
      <c r="K119">
        <f>IF(Sites!A115="","",Sites!A115)</f>
        <v/>
      </c>
      <c r="L119">
        <f>IF(K119="","",COUNTIFS('Hours Log'!$C$2:$C$2001,K119,'Hours Log'!$I$2:$I$2001,$B$3))</f>
        <v/>
      </c>
      <c r="M119" s="18">
        <f>IF(K119="","",SUMIFS('Hours Log'!$G$2:$G$2001,'Hours Log'!$C$2:$C$2001,K119,'Hours Log'!$I$2:$I$2001,$B$3))</f>
        <v/>
      </c>
      <c r="N119" s="10" t="n"/>
      <c r="O119" s="10" t="n"/>
      <c r="P119" s="18">
        <f>IF(OR(K119="",O119=""),"",M119-O119)</f>
        <v/>
      </c>
      <c r="Q119">
        <f>IF(K119="","",IF(AND(N(N119)&gt;0,L119=0),"Jobber visit, no hours logged",IF(AND(L119&gt;0,N119=""),"Enter Jobber visits",IF(AND(L119&gt;0,N(N119)=0),"Hours logged, no Jobber visit",IF(AND(O119&lt;&gt;"",ABS(N(P119))&gt;0.5),"Hours differ from Jobber","")))))</f>
        <v/>
      </c>
    </row>
    <row r="120">
      <c r="K120">
        <f>IF(Sites!A116="","",Sites!A116)</f>
        <v/>
      </c>
      <c r="L120">
        <f>IF(K120="","",COUNTIFS('Hours Log'!$C$2:$C$2001,K120,'Hours Log'!$I$2:$I$2001,$B$3))</f>
        <v/>
      </c>
      <c r="M120" s="18">
        <f>IF(K120="","",SUMIFS('Hours Log'!$G$2:$G$2001,'Hours Log'!$C$2:$C$2001,K120,'Hours Log'!$I$2:$I$2001,$B$3))</f>
        <v/>
      </c>
      <c r="N120" s="10" t="n"/>
      <c r="O120" s="10" t="n"/>
      <c r="P120" s="18">
        <f>IF(OR(K120="",O120=""),"",M120-O120)</f>
        <v/>
      </c>
      <c r="Q120">
        <f>IF(K120="","",IF(AND(N(N120)&gt;0,L120=0),"Jobber visit, no hours logged",IF(AND(L120&gt;0,N120=""),"Enter Jobber visits",IF(AND(L120&gt;0,N(N120)=0),"Hours logged, no Jobber visit",IF(AND(O120&lt;&gt;"",ABS(N(P120))&gt;0.5),"Hours differ from Jobber","")))))</f>
        <v/>
      </c>
    </row>
    <row r="121">
      <c r="K121">
        <f>IF(Sites!A117="","",Sites!A117)</f>
        <v/>
      </c>
      <c r="L121">
        <f>IF(K121="","",COUNTIFS('Hours Log'!$C$2:$C$2001,K121,'Hours Log'!$I$2:$I$2001,$B$3))</f>
        <v/>
      </c>
      <c r="M121" s="18">
        <f>IF(K121="","",SUMIFS('Hours Log'!$G$2:$G$2001,'Hours Log'!$C$2:$C$2001,K121,'Hours Log'!$I$2:$I$2001,$B$3))</f>
        <v/>
      </c>
      <c r="N121" s="10" t="n"/>
      <c r="O121" s="10" t="n"/>
      <c r="P121" s="18">
        <f>IF(OR(K121="",O121=""),"",M121-O121)</f>
        <v/>
      </c>
      <c r="Q121">
        <f>IF(K121="","",IF(AND(N(N121)&gt;0,L121=0),"Jobber visit, no hours logged",IF(AND(L121&gt;0,N121=""),"Enter Jobber visits",IF(AND(L121&gt;0,N(N121)=0),"Hours logged, no Jobber visit",IF(AND(O121&lt;&gt;"",ABS(N(P121))&gt;0.5),"Hours differ from Jobber","")))))</f>
        <v/>
      </c>
    </row>
    <row r="122">
      <c r="K122">
        <f>IF(Sites!A118="","",Sites!A118)</f>
        <v/>
      </c>
      <c r="L122">
        <f>IF(K122="","",COUNTIFS('Hours Log'!$C$2:$C$2001,K122,'Hours Log'!$I$2:$I$2001,$B$3))</f>
        <v/>
      </c>
      <c r="M122" s="18">
        <f>IF(K122="","",SUMIFS('Hours Log'!$G$2:$G$2001,'Hours Log'!$C$2:$C$2001,K122,'Hours Log'!$I$2:$I$2001,$B$3))</f>
        <v/>
      </c>
      <c r="N122" s="10" t="n"/>
      <c r="O122" s="10" t="n"/>
      <c r="P122" s="18">
        <f>IF(OR(K122="",O122=""),"",M122-O122)</f>
        <v/>
      </c>
      <c r="Q122">
        <f>IF(K122="","",IF(AND(N(N122)&gt;0,L122=0),"Jobber visit, no hours logged",IF(AND(L122&gt;0,N122=""),"Enter Jobber visits",IF(AND(L122&gt;0,N(N122)=0),"Hours logged, no Jobber visit",IF(AND(O122&lt;&gt;"",ABS(N(P122))&gt;0.5),"Hours differ from Jobber","")))))</f>
        <v/>
      </c>
    </row>
    <row r="123">
      <c r="K123">
        <f>IF(Sites!A119="","",Sites!A119)</f>
        <v/>
      </c>
      <c r="L123">
        <f>IF(K123="","",COUNTIFS('Hours Log'!$C$2:$C$2001,K123,'Hours Log'!$I$2:$I$2001,$B$3))</f>
        <v/>
      </c>
      <c r="M123" s="18">
        <f>IF(K123="","",SUMIFS('Hours Log'!$G$2:$G$2001,'Hours Log'!$C$2:$C$2001,K123,'Hours Log'!$I$2:$I$2001,$B$3))</f>
        <v/>
      </c>
      <c r="N123" s="10" t="n"/>
      <c r="O123" s="10" t="n"/>
      <c r="P123" s="18">
        <f>IF(OR(K123="",O123=""),"",M123-O123)</f>
        <v/>
      </c>
      <c r="Q123">
        <f>IF(K123="","",IF(AND(N(N123)&gt;0,L123=0),"Jobber visit, no hours logged",IF(AND(L123&gt;0,N123=""),"Enter Jobber visits",IF(AND(L123&gt;0,N(N123)=0),"Hours logged, no Jobber visit",IF(AND(O123&lt;&gt;"",ABS(N(P123))&gt;0.5),"Hours differ from Jobber","")))))</f>
        <v/>
      </c>
    </row>
    <row r="124">
      <c r="K124">
        <f>IF(Sites!A120="","",Sites!A120)</f>
        <v/>
      </c>
      <c r="L124">
        <f>IF(K124="","",COUNTIFS('Hours Log'!$C$2:$C$2001,K124,'Hours Log'!$I$2:$I$2001,$B$3))</f>
        <v/>
      </c>
      <c r="M124" s="18">
        <f>IF(K124="","",SUMIFS('Hours Log'!$G$2:$G$2001,'Hours Log'!$C$2:$C$2001,K124,'Hours Log'!$I$2:$I$2001,$B$3))</f>
        <v/>
      </c>
      <c r="N124" s="10" t="n"/>
      <c r="O124" s="10" t="n"/>
      <c r="P124" s="18">
        <f>IF(OR(K124="",O124=""),"",M124-O124)</f>
        <v/>
      </c>
      <c r="Q124">
        <f>IF(K124="","",IF(AND(N(N124)&gt;0,L124=0),"Jobber visit, no hours logged",IF(AND(L124&gt;0,N124=""),"Enter Jobber visits",IF(AND(L124&gt;0,N(N124)=0),"Hours logged, no Jobber visit",IF(AND(O124&lt;&gt;"",ABS(N(P124))&gt;0.5),"Hours differ from Jobber","")))))</f>
        <v/>
      </c>
    </row>
    <row r="125">
      <c r="K125">
        <f>IF(Sites!A121="","",Sites!A121)</f>
        <v/>
      </c>
      <c r="L125">
        <f>IF(K125="","",COUNTIFS('Hours Log'!$C$2:$C$2001,K125,'Hours Log'!$I$2:$I$2001,$B$3))</f>
        <v/>
      </c>
      <c r="M125" s="18">
        <f>IF(K125="","",SUMIFS('Hours Log'!$G$2:$G$2001,'Hours Log'!$C$2:$C$2001,K125,'Hours Log'!$I$2:$I$2001,$B$3))</f>
        <v/>
      </c>
      <c r="N125" s="10" t="n"/>
      <c r="O125" s="10" t="n"/>
      <c r="P125" s="18">
        <f>IF(OR(K125="",O125=""),"",M125-O125)</f>
        <v/>
      </c>
      <c r="Q125">
        <f>IF(K125="","",IF(AND(N(N125)&gt;0,L125=0),"Jobber visit, no hours logged",IF(AND(L125&gt;0,N125=""),"Enter Jobber visits",IF(AND(L125&gt;0,N(N125)=0),"Hours logged, no Jobber visit",IF(AND(O125&lt;&gt;"",ABS(N(P125))&gt;0.5),"Hours differ from Jobber","")))))</f>
        <v/>
      </c>
    </row>
    <row r="126">
      <c r="K126">
        <f>IF(Sites!A122="","",Sites!A122)</f>
        <v/>
      </c>
      <c r="L126">
        <f>IF(K126="","",COUNTIFS('Hours Log'!$C$2:$C$2001,K126,'Hours Log'!$I$2:$I$2001,$B$3))</f>
        <v/>
      </c>
      <c r="M126" s="18">
        <f>IF(K126="","",SUMIFS('Hours Log'!$G$2:$G$2001,'Hours Log'!$C$2:$C$2001,K126,'Hours Log'!$I$2:$I$2001,$B$3))</f>
        <v/>
      </c>
      <c r="N126" s="10" t="n"/>
      <c r="O126" s="10" t="n"/>
      <c r="P126" s="18">
        <f>IF(OR(K126="",O126=""),"",M126-O126)</f>
        <v/>
      </c>
      <c r="Q126">
        <f>IF(K126="","",IF(AND(N(N126)&gt;0,L126=0),"Jobber visit, no hours logged",IF(AND(L126&gt;0,N126=""),"Enter Jobber visits",IF(AND(L126&gt;0,N(N126)=0),"Hours logged, no Jobber visit",IF(AND(O126&lt;&gt;"",ABS(N(P126))&gt;0.5),"Hours differ from Jobber","")))))</f>
        <v/>
      </c>
    </row>
    <row r="127">
      <c r="K127">
        <f>IF(Sites!A123="","",Sites!A123)</f>
        <v/>
      </c>
      <c r="L127">
        <f>IF(K127="","",COUNTIFS('Hours Log'!$C$2:$C$2001,K127,'Hours Log'!$I$2:$I$2001,$B$3))</f>
        <v/>
      </c>
      <c r="M127" s="18">
        <f>IF(K127="","",SUMIFS('Hours Log'!$G$2:$G$2001,'Hours Log'!$C$2:$C$2001,K127,'Hours Log'!$I$2:$I$2001,$B$3))</f>
        <v/>
      </c>
      <c r="N127" s="10" t="n"/>
      <c r="O127" s="10" t="n"/>
      <c r="P127" s="18">
        <f>IF(OR(K127="",O127=""),"",M127-O127)</f>
        <v/>
      </c>
      <c r="Q127">
        <f>IF(K127="","",IF(AND(N(N127)&gt;0,L127=0),"Jobber visit, no hours logged",IF(AND(L127&gt;0,N127=""),"Enter Jobber visits",IF(AND(L127&gt;0,N(N127)=0),"Hours logged, no Jobber visit",IF(AND(O127&lt;&gt;"",ABS(N(P127))&gt;0.5),"Hours differ from Jobber","")))))</f>
        <v/>
      </c>
    </row>
    <row r="128">
      <c r="K128">
        <f>IF(Sites!A124="","",Sites!A124)</f>
        <v/>
      </c>
      <c r="L128">
        <f>IF(K128="","",COUNTIFS('Hours Log'!$C$2:$C$2001,K128,'Hours Log'!$I$2:$I$2001,$B$3))</f>
        <v/>
      </c>
      <c r="M128" s="18">
        <f>IF(K128="","",SUMIFS('Hours Log'!$G$2:$G$2001,'Hours Log'!$C$2:$C$2001,K128,'Hours Log'!$I$2:$I$2001,$B$3))</f>
        <v/>
      </c>
      <c r="N128" s="10" t="n"/>
      <c r="O128" s="10" t="n"/>
      <c r="P128" s="18">
        <f>IF(OR(K128="",O128=""),"",M128-O128)</f>
        <v/>
      </c>
      <c r="Q128">
        <f>IF(K128="","",IF(AND(N(N128)&gt;0,L128=0),"Jobber visit, no hours logged",IF(AND(L128&gt;0,N128=""),"Enter Jobber visits",IF(AND(L128&gt;0,N(N128)=0),"Hours logged, no Jobber visit",IF(AND(O128&lt;&gt;"",ABS(N(P128))&gt;0.5),"Hours differ from Jobber","")))))</f>
        <v/>
      </c>
    </row>
    <row r="129">
      <c r="K129">
        <f>IF(Sites!A125="","",Sites!A125)</f>
        <v/>
      </c>
      <c r="L129">
        <f>IF(K129="","",COUNTIFS('Hours Log'!$C$2:$C$2001,K129,'Hours Log'!$I$2:$I$2001,$B$3))</f>
        <v/>
      </c>
      <c r="M129" s="18">
        <f>IF(K129="","",SUMIFS('Hours Log'!$G$2:$G$2001,'Hours Log'!$C$2:$C$2001,K129,'Hours Log'!$I$2:$I$2001,$B$3))</f>
        <v/>
      </c>
      <c r="N129" s="10" t="n"/>
      <c r="O129" s="10" t="n"/>
      <c r="P129" s="18">
        <f>IF(OR(K129="",O129=""),"",M129-O129)</f>
        <v/>
      </c>
      <c r="Q129">
        <f>IF(K129="","",IF(AND(N(N129)&gt;0,L129=0),"Jobber visit, no hours logged",IF(AND(L129&gt;0,N129=""),"Enter Jobber visits",IF(AND(L129&gt;0,N(N129)=0),"Hours logged, no Jobber visit",IF(AND(O129&lt;&gt;"",ABS(N(P129))&gt;0.5),"Hours differ from Jobber","")))))</f>
        <v/>
      </c>
    </row>
    <row r="130">
      <c r="K130">
        <f>IF(Sites!A126="","",Sites!A126)</f>
        <v/>
      </c>
      <c r="L130">
        <f>IF(K130="","",COUNTIFS('Hours Log'!$C$2:$C$2001,K130,'Hours Log'!$I$2:$I$2001,$B$3))</f>
        <v/>
      </c>
      <c r="M130" s="18">
        <f>IF(K130="","",SUMIFS('Hours Log'!$G$2:$G$2001,'Hours Log'!$C$2:$C$2001,K130,'Hours Log'!$I$2:$I$2001,$B$3))</f>
        <v/>
      </c>
      <c r="N130" s="10" t="n"/>
      <c r="O130" s="10" t="n"/>
      <c r="P130" s="18">
        <f>IF(OR(K130="",O130=""),"",M130-O130)</f>
        <v/>
      </c>
      <c r="Q130">
        <f>IF(K130="","",IF(AND(N(N130)&gt;0,L130=0),"Jobber visit, no hours logged",IF(AND(L130&gt;0,N130=""),"Enter Jobber visits",IF(AND(L130&gt;0,N(N130)=0),"Hours logged, no Jobber visit",IF(AND(O130&lt;&gt;"",ABS(N(P130))&gt;0.5),"Hours differ from Jobber","")))))</f>
        <v/>
      </c>
    </row>
    <row r="131">
      <c r="K131">
        <f>IF(Sites!A127="","",Sites!A127)</f>
        <v/>
      </c>
      <c r="L131">
        <f>IF(K131="","",COUNTIFS('Hours Log'!$C$2:$C$2001,K131,'Hours Log'!$I$2:$I$2001,$B$3))</f>
        <v/>
      </c>
      <c r="M131" s="18">
        <f>IF(K131="","",SUMIFS('Hours Log'!$G$2:$G$2001,'Hours Log'!$C$2:$C$2001,K131,'Hours Log'!$I$2:$I$2001,$B$3))</f>
        <v/>
      </c>
      <c r="N131" s="10" t="n"/>
      <c r="O131" s="10" t="n"/>
      <c r="P131" s="18">
        <f>IF(OR(K131="",O131=""),"",M131-O131)</f>
        <v/>
      </c>
      <c r="Q131">
        <f>IF(K131="","",IF(AND(N(N131)&gt;0,L131=0),"Jobber visit, no hours logged",IF(AND(L131&gt;0,N131=""),"Enter Jobber visits",IF(AND(L131&gt;0,N(N131)=0),"Hours logged, no Jobber visit",IF(AND(O131&lt;&gt;"",ABS(N(P131))&gt;0.5),"Hours differ from Jobber","")))))</f>
        <v/>
      </c>
    </row>
    <row r="132">
      <c r="K132">
        <f>IF(Sites!A128="","",Sites!A128)</f>
        <v/>
      </c>
      <c r="L132">
        <f>IF(K132="","",COUNTIFS('Hours Log'!$C$2:$C$2001,K132,'Hours Log'!$I$2:$I$2001,$B$3))</f>
        <v/>
      </c>
      <c r="M132" s="18">
        <f>IF(K132="","",SUMIFS('Hours Log'!$G$2:$G$2001,'Hours Log'!$C$2:$C$2001,K132,'Hours Log'!$I$2:$I$2001,$B$3))</f>
        <v/>
      </c>
      <c r="N132" s="10" t="n"/>
      <c r="O132" s="10" t="n"/>
      <c r="P132" s="18">
        <f>IF(OR(K132="",O132=""),"",M132-O132)</f>
        <v/>
      </c>
      <c r="Q132">
        <f>IF(K132="","",IF(AND(N(N132)&gt;0,L132=0),"Jobber visit, no hours logged",IF(AND(L132&gt;0,N132=""),"Enter Jobber visits",IF(AND(L132&gt;0,N(N132)=0),"Hours logged, no Jobber visit",IF(AND(O132&lt;&gt;"",ABS(N(P132))&gt;0.5),"Hours differ from Jobber","")))))</f>
        <v/>
      </c>
    </row>
    <row r="133">
      <c r="K133">
        <f>IF(Sites!A129="","",Sites!A129)</f>
        <v/>
      </c>
      <c r="L133">
        <f>IF(K133="","",COUNTIFS('Hours Log'!$C$2:$C$2001,K133,'Hours Log'!$I$2:$I$2001,$B$3))</f>
        <v/>
      </c>
      <c r="M133" s="18">
        <f>IF(K133="","",SUMIFS('Hours Log'!$G$2:$G$2001,'Hours Log'!$C$2:$C$2001,K133,'Hours Log'!$I$2:$I$2001,$B$3))</f>
        <v/>
      </c>
      <c r="N133" s="10" t="n"/>
      <c r="O133" s="10" t="n"/>
      <c r="P133" s="18">
        <f>IF(OR(K133="",O133=""),"",M133-O133)</f>
        <v/>
      </c>
      <c r="Q133">
        <f>IF(K133="","",IF(AND(N(N133)&gt;0,L133=0),"Jobber visit, no hours logged",IF(AND(L133&gt;0,N133=""),"Enter Jobber visits",IF(AND(L133&gt;0,N(N133)=0),"Hours logged, no Jobber visit",IF(AND(O133&lt;&gt;"",ABS(N(P133))&gt;0.5),"Hours differ from Jobber","")))))</f>
        <v/>
      </c>
    </row>
    <row r="134">
      <c r="K134">
        <f>IF(Sites!A130="","",Sites!A130)</f>
        <v/>
      </c>
      <c r="L134">
        <f>IF(K134="","",COUNTIFS('Hours Log'!$C$2:$C$2001,K134,'Hours Log'!$I$2:$I$2001,$B$3))</f>
        <v/>
      </c>
      <c r="M134" s="18">
        <f>IF(K134="","",SUMIFS('Hours Log'!$G$2:$G$2001,'Hours Log'!$C$2:$C$2001,K134,'Hours Log'!$I$2:$I$2001,$B$3))</f>
        <v/>
      </c>
      <c r="N134" s="10" t="n"/>
      <c r="O134" s="10" t="n"/>
      <c r="P134" s="18">
        <f>IF(OR(K134="",O134=""),"",M134-O134)</f>
        <v/>
      </c>
      <c r="Q134">
        <f>IF(K134="","",IF(AND(N(N134)&gt;0,L134=0),"Jobber visit, no hours logged",IF(AND(L134&gt;0,N134=""),"Enter Jobber visits",IF(AND(L134&gt;0,N(N134)=0),"Hours logged, no Jobber visit",IF(AND(O134&lt;&gt;"",ABS(N(P134))&gt;0.5),"Hours differ from Jobber","")))))</f>
        <v/>
      </c>
    </row>
    <row r="135">
      <c r="K135">
        <f>IF(Sites!A131="","",Sites!A131)</f>
        <v/>
      </c>
      <c r="L135">
        <f>IF(K135="","",COUNTIFS('Hours Log'!$C$2:$C$2001,K135,'Hours Log'!$I$2:$I$2001,$B$3))</f>
        <v/>
      </c>
      <c r="M135" s="18">
        <f>IF(K135="","",SUMIFS('Hours Log'!$G$2:$G$2001,'Hours Log'!$C$2:$C$2001,K135,'Hours Log'!$I$2:$I$2001,$B$3))</f>
        <v/>
      </c>
      <c r="N135" s="10" t="n"/>
      <c r="O135" s="10" t="n"/>
      <c r="P135" s="18">
        <f>IF(OR(K135="",O135=""),"",M135-O135)</f>
        <v/>
      </c>
      <c r="Q135">
        <f>IF(K135="","",IF(AND(N(N135)&gt;0,L135=0),"Jobber visit, no hours logged",IF(AND(L135&gt;0,N135=""),"Enter Jobber visits",IF(AND(L135&gt;0,N(N135)=0),"Hours logged, no Jobber visit",IF(AND(O135&lt;&gt;"",ABS(N(P135))&gt;0.5),"Hours differ from Jobber","")))))</f>
        <v/>
      </c>
    </row>
    <row r="136">
      <c r="K136">
        <f>IF(Sites!A132="","",Sites!A132)</f>
        <v/>
      </c>
      <c r="L136">
        <f>IF(K136="","",COUNTIFS('Hours Log'!$C$2:$C$2001,K136,'Hours Log'!$I$2:$I$2001,$B$3))</f>
        <v/>
      </c>
      <c r="M136" s="18">
        <f>IF(K136="","",SUMIFS('Hours Log'!$G$2:$G$2001,'Hours Log'!$C$2:$C$2001,K136,'Hours Log'!$I$2:$I$2001,$B$3))</f>
        <v/>
      </c>
      <c r="N136" s="10" t="n"/>
      <c r="O136" s="10" t="n"/>
      <c r="P136" s="18">
        <f>IF(OR(K136="",O136=""),"",M136-O136)</f>
        <v/>
      </c>
      <c r="Q136">
        <f>IF(K136="","",IF(AND(N(N136)&gt;0,L136=0),"Jobber visit, no hours logged",IF(AND(L136&gt;0,N136=""),"Enter Jobber visits",IF(AND(L136&gt;0,N(N136)=0),"Hours logged, no Jobber visit",IF(AND(O136&lt;&gt;"",ABS(N(P136))&gt;0.5),"Hours differ from Jobber","")))))</f>
        <v/>
      </c>
    </row>
    <row r="137">
      <c r="K137">
        <f>IF(Sites!A133="","",Sites!A133)</f>
        <v/>
      </c>
      <c r="L137">
        <f>IF(K137="","",COUNTIFS('Hours Log'!$C$2:$C$2001,K137,'Hours Log'!$I$2:$I$2001,$B$3))</f>
        <v/>
      </c>
      <c r="M137" s="18">
        <f>IF(K137="","",SUMIFS('Hours Log'!$G$2:$G$2001,'Hours Log'!$C$2:$C$2001,K137,'Hours Log'!$I$2:$I$2001,$B$3))</f>
        <v/>
      </c>
      <c r="N137" s="10" t="n"/>
      <c r="O137" s="10" t="n"/>
      <c r="P137" s="18">
        <f>IF(OR(K137="",O137=""),"",M137-O137)</f>
        <v/>
      </c>
      <c r="Q137">
        <f>IF(K137="","",IF(AND(N(N137)&gt;0,L137=0),"Jobber visit, no hours logged",IF(AND(L137&gt;0,N137=""),"Enter Jobber visits",IF(AND(L137&gt;0,N(N137)=0),"Hours logged, no Jobber visit",IF(AND(O137&lt;&gt;"",ABS(N(P137))&gt;0.5),"Hours differ from Jobber","")))))</f>
        <v/>
      </c>
    </row>
    <row r="138">
      <c r="K138">
        <f>IF(Sites!A134="","",Sites!A134)</f>
        <v/>
      </c>
      <c r="L138">
        <f>IF(K138="","",COUNTIFS('Hours Log'!$C$2:$C$2001,K138,'Hours Log'!$I$2:$I$2001,$B$3))</f>
        <v/>
      </c>
      <c r="M138" s="18">
        <f>IF(K138="","",SUMIFS('Hours Log'!$G$2:$G$2001,'Hours Log'!$C$2:$C$2001,K138,'Hours Log'!$I$2:$I$2001,$B$3))</f>
        <v/>
      </c>
      <c r="N138" s="10" t="n"/>
      <c r="O138" s="10" t="n"/>
      <c r="P138" s="18">
        <f>IF(OR(K138="",O138=""),"",M138-O138)</f>
        <v/>
      </c>
      <c r="Q138">
        <f>IF(K138="","",IF(AND(N(N138)&gt;0,L138=0),"Jobber visit, no hours logged",IF(AND(L138&gt;0,N138=""),"Enter Jobber visits",IF(AND(L138&gt;0,N(N138)=0),"Hours logged, no Jobber visit",IF(AND(O138&lt;&gt;"",ABS(N(P138))&gt;0.5),"Hours differ from Jobber","")))))</f>
        <v/>
      </c>
    </row>
    <row r="139">
      <c r="K139">
        <f>IF(Sites!A135="","",Sites!A135)</f>
        <v/>
      </c>
      <c r="L139">
        <f>IF(K139="","",COUNTIFS('Hours Log'!$C$2:$C$2001,K139,'Hours Log'!$I$2:$I$2001,$B$3))</f>
        <v/>
      </c>
      <c r="M139" s="18">
        <f>IF(K139="","",SUMIFS('Hours Log'!$G$2:$G$2001,'Hours Log'!$C$2:$C$2001,K139,'Hours Log'!$I$2:$I$2001,$B$3))</f>
        <v/>
      </c>
      <c r="N139" s="10" t="n"/>
      <c r="O139" s="10" t="n"/>
      <c r="P139" s="18">
        <f>IF(OR(K139="",O139=""),"",M139-O139)</f>
        <v/>
      </c>
      <c r="Q139">
        <f>IF(K139="","",IF(AND(N(N139)&gt;0,L139=0),"Jobber visit, no hours logged",IF(AND(L139&gt;0,N139=""),"Enter Jobber visits",IF(AND(L139&gt;0,N(N139)=0),"Hours logged, no Jobber visit",IF(AND(O139&lt;&gt;"",ABS(N(P139))&gt;0.5),"Hours differ from Jobber","")))))</f>
        <v/>
      </c>
    </row>
    <row r="140">
      <c r="K140">
        <f>IF(Sites!A136="","",Sites!A136)</f>
        <v/>
      </c>
      <c r="L140">
        <f>IF(K140="","",COUNTIFS('Hours Log'!$C$2:$C$2001,K140,'Hours Log'!$I$2:$I$2001,$B$3))</f>
        <v/>
      </c>
      <c r="M140" s="18">
        <f>IF(K140="","",SUMIFS('Hours Log'!$G$2:$G$2001,'Hours Log'!$C$2:$C$2001,K140,'Hours Log'!$I$2:$I$2001,$B$3))</f>
        <v/>
      </c>
      <c r="N140" s="10" t="n"/>
      <c r="O140" s="10" t="n"/>
      <c r="P140" s="18">
        <f>IF(OR(K140="",O140=""),"",M140-O140)</f>
        <v/>
      </c>
      <c r="Q140">
        <f>IF(K140="","",IF(AND(N(N140)&gt;0,L140=0),"Jobber visit, no hours logged",IF(AND(L140&gt;0,N140=""),"Enter Jobber visits",IF(AND(L140&gt;0,N(N140)=0),"Hours logged, no Jobber visit",IF(AND(O140&lt;&gt;"",ABS(N(P140))&gt;0.5),"Hours differ from Jobber","")))))</f>
        <v/>
      </c>
    </row>
    <row r="141">
      <c r="K141">
        <f>IF(Sites!A137="","",Sites!A137)</f>
        <v/>
      </c>
      <c r="L141">
        <f>IF(K141="","",COUNTIFS('Hours Log'!$C$2:$C$2001,K141,'Hours Log'!$I$2:$I$2001,$B$3))</f>
        <v/>
      </c>
      <c r="M141" s="18">
        <f>IF(K141="","",SUMIFS('Hours Log'!$G$2:$G$2001,'Hours Log'!$C$2:$C$2001,K141,'Hours Log'!$I$2:$I$2001,$B$3))</f>
        <v/>
      </c>
      <c r="N141" s="10" t="n"/>
      <c r="O141" s="10" t="n"/>
      <c r="P141" s="18">
        <f>IF(OR(K141="",O141=""),"",M141-O141)</f>
        <v/>
      </c>
      <c r="Q141">
        <f>IF(K141="","",IF(AND(N(N141)&gt;0,L141=0),"Jobber visit, no hours logged",IF(AND(L141&gt;0,N141=""),"Enter Jobber visits",IF(AND(L141&gt;0,N(N141)=0),"Hours logged, no Jobber visit",IF(AND(O141&lt;&gt;"",ABS(N(P141))&gt;0.5),"Hours differ from Jobber","")))))</f>
        <v/>
      </c>
    </row>
    <row r="142">
      <c r="K142">
        <f>IF(Sites!A138="","",Sites!A138)</f>
        <v/>
      </c>
      <c r="L142">
        <f>IF(K142="","",COUNTIFS('Hours Log'!$C$2:$C$2001,K142,'Hours Log'!$I$2:$I$2001,$B$3))</f>
        <v/>
      </c>
      <c r="M142" s="18">
        <f>IF(K142="","",SUMIFS('Hours Log'!$G$2:$G$2001,'Hours Log'!$C$2:$C$2001,K142,'Hours Log'!$I$2:$I$2001,$B$3))</f>
        <v/>
      </c>
      <c r="N142" s="10" t="n"/>
      <c r="O142" s="10" t="n"/>
      <c r="P142" s="18">
        <f>IF(OR(K142="",O142=""),"",M142-O142)</f>
        <v/>
      </c>
      <c r="Q142">
        <f>IF(K142="","",IF(AND(N(N142)&gt;0,L142=0),"Jobber visit, no hours logged",IF(AND(L142&gt;0,N142=""),"Enter Jobber visits",IF(AND(L142&gt;0,N(N142)=0),"Hours logged, no Jobber visit",IF(AND(O142&lt;&gt;"",ABS(N(P142))&gt;0.5),"Hours differ from Jobber","")))))</f>
        <v/>
      </c>
    </row>
    <row r="143">
      <c r="K143">
        <f>IF(Sites!A139="","",Sites!A139)</f>
        <v/>
      </c>
      <c r="L143">
        <f>IF(K143="","",COUNTIFS('Hours Log'!$C$2:$C$2001,K143,'Hours Log'!$I$2:$I$2001,$B$3))</f>
        <v/>
      </c>
      <c r="M143" s="18">
        <f>IF(K143="","",SUMIFS('Hours Log'!$G$2:$G$2001,'Hours Log'!$C$2:$C$2001,K143,'Hours Log'!$I$2:$I$2001,$B$3))</f>
        <v/>
      </c>
      <c r="N143" s="10" t="n"/>
      <c r="O143" s="10" t="n"/>
      <c r="P143" s="18">
        <f>IF(OR(K143="",O143=""),"",M143-O143)</f>
        <v/>
      </c>
      <c r="Q143">
        <f>IF(K143="","",IF(AND(N(N143)&gt;0,L143=0),"Jobber visit, no hours logged",IF(AND(L143&gt;0,N143=""),"Enter Jobber visits",IF(AND(L143&gt;0,N(N143)=0),"Hours logged, no Jobber visit",IF(AND(O143&lt;&gt;"",ABS(N(P143))&gt;0.5),"Hours differ from Jobber","")))))</f>
        <v/>
      </c>
    </row>
    <row r="144">
      <c r="K144">
        <f>IF(Sites!A140="","",Sites!A140)</f>
        <v/>
      </c>
      <c r="L144">
        <f>IF(K144="","",COUNTIFS('Hours Log'!$C$2:$C$2001,K144,'Hours Log'!$I$2:$I$2001,$B$3))</f>
        <v/>
      </c>
      <c r="M144" s="18">
        <f>IF(K144="","",SUMIFS('Hours Log'!$G$2:$G$2001,'Hours Log'!$C$2:$C$2001,K144,'Hours Log'!$I$2:$I$2001,$B$3))</f>
        <v/>
      </c>
      <c r="N144" s="10" t="n"/>
      <c r="O144" s="10" t="n"/>
      <c r="P144" s="18">
        <f>IF(OR(K144="",O144=""),"",M144-O144)</f>
        <v/>
      </c>
      <c r="Q144">
        <f>IF(K144="","",IF(AND(N(N144)&gt;0,L144=0),"Jobber visit, no hours logged",IF(AND(L144&gt;0,N144=""),"Enter Jobber visits",IF(AND(L144&gt;0,N(N144)=0),"Hours logged, no Jobber visit",IF(AND(O144&lt;&gt;"",ABS(N(P144))&gt;0.5),"Hours differ from Jobber","")))))</f>
        <v/>
      </c>
    </row>
    <row r="145">
      <c r="K145">
        <f>IF(Sites!A141="","",Sites!A141)</f>
        <v/>
      </c>
      <c r="L145">
        <f>IF(K145="","",COUNTIFS('Hours Log'!$C$2:$C$2001,K145,'Hours Log'!$I$2:$I$2001,$B$3))</f>
        <v/>
      </c>
      <c r="M145" s="18">
        <f>IF(K145="","",SUMIFS('Hours Log'!$G$2:$G$2001,'Hours Log'!$C$2:$C$2001,K145,'Hours Log'!$I$2:$I$2001,$B$3))</f>
        <v/>
      </c>
      <c r="N145" s="10" t="n"/>
      <c r="O145" s="10" t="n"/>
      <c r="P145" s="18">
        <f>IF(OR(K145="",O145=""),"",M145-O145)</f>
        <v/>
      </c>
      <c r="Q145">
        <f>IF(K145="","",IF(AND(N(N145)&gt;0,L145=0),"Jobber visit, no hours logged",IF(AND(L145&gt;0,N145=""),"Enter Jobber visits",IF(AND(L145&gt;0,N(N145)=0),"Hours logged, no Jobber visit",IF(AND(O145&lt;&gt;"",ABS(N(P145))&gt;0.5),"Hours differ from Jobber","")))))</f>
        <v/>
      </c>
    </row>
    <row r="146">
      <c r="K146">
        <f>IF(Sites!A142="","",Sites!A142)</f>
        <v/>
      </c>
      <c r="L146">
        <f>IF(K146="","",COUNTIFS('Hours Log'!$C$2:$C$2001,K146,'Hours Log'!$I$2:$I$2001,$B$3))</f>
        <v/>
      </c>
      <c r="M146" s="18">
        <f>IF(K146="","",SUMIFS('Hours Log'!$G$2:$G$2001,'Hours Log'!$C$2:$C$2001,K146,'Hours Log'!$I$2:$I$2001,$B$3))</f>
        <v/>
      </c>
      <c r="N146" s="10" t="n"/>
      <c r="O146" s="10" t="n"/>
      <c r="P146" s="18">
        <f>IF(OR(K146="",O146=""),"",M146-O146)</f>
        <v/>
      </c>
      <c r="Q146">
        <f>IF(K146="","",IF(AND(N(N146)&gt;0,L146=0),"Jobber visit, no hours logged",IF(AND(L146&gt;0,N146=""),"Enter Jobber visits",IF(AND(L146&gt;0,N(N146)=0),"Hours logged, no Jobber visit",IF(AND(O146&lt;&gt;"",ABS(N(P146))&gt;0.5),"Hours differ from Jobber","")))))</f>
        <v/>
      </c>
    </row>
    <row r="147">
      <c r="K147">
        <f>IF(Sites!A143="","",Sites!A143)</f>
        <v/>
      </c>
      <c r="L147">
        <f>IF(K147="","",COUNTIFS('Hours Log'!$C$2:$C$2001,K147,'Hours Log'!$I$2:$I$2001,$B$3))</f>
        <v/>
      </c>
      <c r="M147" s="18">
        <f>IF(K147="","",SUMIFS('Hours Log'!$G$2:$G$2001,'Hours Log'!$C$2:$C$2001,K147,'Hours Log'!$I$2:$I$2001,$B$3))</f>
        <v/>
      </c>
      <c r="N147" s="10" t="n"/>
      <c r="O147" s="10" t="n"/>
      <c r="P147" s="18">
        <f>IF(OR(K147="",O147=""),"",M147-O147)</f>
        <v/>
      </c>
      <c r="Q147">
        <f>IF(K147="","",IF(AND(N(N147)&gt;0,L147=0),"Jobber visit, no hours logged",IF(AND(L147&gt;0,N147=""),"Enter Jobber visits",IF(AND(L147&gt;0,N(N147)=0),"Hours logged, no Jobber visit",IF(AND(O147&lt;&gt;"",ABS(N(P147))&gt;0.5),"Hours differ from Jobber","")))))</f>
        <v/>
      </c>
    </row>
    <row r="148">
      <c r="K148">
        <f>IF(Sites!A144="","",Sites!A144)</f>
        <v/>
      </c>
      <c r="L148">
        <f>IF(K148="","",COUNTIFS('Hours Log'!$C$2:$C$2001,K148,'Hours Log'!$I$2:$I$2001,$B$3))</f>
        <v/>
      </c>
      <c r="M148" s="18">
        <f>IF(K148="","",SUMIFS('Hours Log'!$G$2:$G$2001,'Hours Log'!$C$2:$C$2001,K148,'Hours Log'!$I$2:$I$2001,$B$3))</f>
        <v/>
      </c>
      <c r="N148" s="10" t="n"/>
      <c r="O148" s="10" t="n"/>
      <c r="P148" s="18">
        <f>IF(OR(K148="",O148=""),"",M148-O148)</f>
        <v/>
      </c>
      <c r="Q148">
        <f>IF(K148="","",IF(AND(N(N148)&gt;0,L148=0),"Jobber visit, no hours logged",IF(AND(L148&gt;0,N148=""),"Enter Jobber visits",IF(AND(L148&gt;0,N(N148)=0),"Hours logged, no Jobber visit",IF(AND(O148&lt;&gt;"",ABS(N(P148))&gt;0.5),"Hours differ from Jobber","")))))</f>
        <v/>
      </c>
    </row>
    <row r="149">
      <c r="K149">
        <f>IF(Sites!A145="","",Sites!A145)</f>
        <v/>
      </c>
      <c r="L149">
        <f>IF(K149="","",COUNTIFS('Hours Log'!$C$2:$C$2001,K149,'Hours Log'!$I$2:$I$2001,$B$3))</f>
        <v/>
      </c>
      <c r="M149" s="18">
        <f>IF(K149="","",SUMIFS('Hours Log'!$G$2:$G$2001,'Hours Log'!$C$2:$C$2001,K149,'Hours Log'!$I$2:$I$2001,$B$3))</f>
        <v/>
      </c>
      <c r="N149" s="10" t="n"/>
      <c r="O149" s="10" t="n"/>
      <c r="P149" s="18">
        <f>IF(OR(K149="",O149=""),"",M149-O149)</f>
        <v/>
      </c>
      <c r="Q149">
        <f>IF(K149="","",IF(AND(N(N149)&gt;0,L149=0),"Jobber visit, no hours logged",IF(AND(L149&gt;0,N149=""),"Enter Jobber visits",IF(AND(L149&gt;0,N(N149)=0),"Hours logged, no Jobber visit",IF(AND(O149&lt;&gt;"",ABS(N(P149))&gt;0.5),"Hours differ from Jobber","")))))</f>
        <v/>
      </c>
    </row>
    <row r="150">
      <c r="K150">
        <f>IF(Sites!A146="","",Sites!A146)</f>
        <v/>
      </c>
      <c r="L150">
        <f>IF(K150="","",COUNTIFS('Hours Log'!$C$2:$C$2001,K150,'Hours Log'!$I$2:$I$2001,$B$3))</f>
        <v/>
      </c>
      <c r="M150" s="18">
        <f>IF(K150="","",SUMIFS('Hours Log'!$G$2:$G$2001,'Hours Log'!$C$2:$C$2001,K150,'Hours Log'!$I$2:$I$2001,$B$3))</f>
        <v/>
      </c>
      <c r="N150" s="10" t="n"/>
      <c r="O150" s="10" t="n"/>
      <c r="P150" s="18">
        <f>IF(OR(K150="",O150=""),"",M150-O150)</f>
        <v/>
      </c>
      <c r="Q150">
        <f>IF(K150="","",IF(AND(N(N150)&gt;0,L150=0),"Jobber visit, no hours logged",IF(AND(L150&gt;0,N150=""),"Enter Jobber visits",IF(AND(L150&gt;0,N(N150)=0),"Hours logged, no Jobber visit",IF(AND(O150&lt;&gt;"",ABS(N(P150))&gt;0.5),"Hours differ from Jobber","")))))</f>
        <v/>
      </c>
    </row>
    <row r="151">
      <c r="K151">
        <f>IF(Sites!A147="","",Sites!A147)</f>
        <v/>
      </c>
      <c r="L151">
        <f>IF(K151="","",COUNTIFS('Hours Log'!$C$2:$C$2001,K151,'Hours Log'!$I$2:$I$2001,$B$3))</f>
        <v/>
      </c>
      <c r="M151" s="18">
        <f>IF(K151="","",SUMIFS('Hours Log'!$G$2:$G$2001,'Hours Log'!$C$2:$C$2001,K151,'Hours Log'!$I$2:$I$2001,$B$3))</f>
        <v/>
      </c>
      <c r="N151" s="10" t="n"/>
      <c r="O151" s="10" t="n"/>
      <c r="P151" s="18">
        <f>IF(OR(K151="",O151=""),"",M151-O151)</f>
        <v/>
      </c>
      <c r="Q151">
        <f>IF(K151="","",IF(AND(N(N151)&gt;0,L151=0),"Jobber visit, no hours logged",IF(AND(L151&gt;0,N151=""),"Enter Jobber visits",IF(AND(L151&gt;0,N(N151)=0),"Hours logged, no Jobber visit",IF(AND(O151&lt;&gt;"",ABS(N(P151))&gt;0.5),"Hours differ from Jobber","")))))</f>
        <v/>
      </c>
    </row>
    <row r="152">
      <c r="K152">
        <f>IF(Sites!A148="","",Sites!A148)</f>
        <v/>
      </c>
      <c r="L152">
        <f>IF(K152="","",COUNTIFS('Hours Log'!$C$2:$C$2001,K152,'Hours Log'!$I$2:$I$2001,$B$3))</f>
        <v/>
      </c>
      <c r="M152" s="18">
        <f>IF(K152="","",SUMIFS('Hours Log'!$G$2:$G$2001,'Hours Log'!$C$2:$C$2001,K152,'Hours Log'!$I$2:$I$2001,$B$3))</f>
        <v/>
      </c>
      <c r="N152" s="10" t="n"/>
      <c r="O152" s="10" t="n"/>
      <c r="P152" s="18">
        <f>IF(OR(K152="",O152=""),"",M152-O152)</f>
        <v/>
      </c>
      <c r="Q152">
        <f>IF(K152="","",IF(AND(N(N152)&gt;0,L152=0),"Jobber visit, no hours logged",IF(AND(L152&gt;0,N152=""),"Enter Jobber visits",IF(AND(L152&gt;0,N(N152)=0),"Hours logged, no Jobber visit",IF(AND(O152&lt;&gt;"",ABS(N(P152))&gt;0.5),"Hours differ from Jobber","")))))</f>
        <v/>
      </c>
    </row>
    <row r="153">
      <c r="K153">
        <f>IF(Sites!A149="","",Sites!A149)</f>
        <v/>
      </c>
      <c r="L153">
        <f>IF(K153="","",COUNTIFS('Hours Log'!$C$2:$C$2001,K153,'Hours Log'!$I$2:$I$2001,$B$3))</f>
        <v/>
      </c>
      <c r="M153" s="18">
        <f>IF(K153="","",SUMIFS('Hours Log'!$G$2:$G$2001,'Hours Log'!$C$2:$C$2001,K153,'Hours Log'!$I$2:$I$2001,$B$3))</f>
        <v/>
      </c>
      <c r="N153" s="10" t="n"/>
      <c r="O153" s="10" t="n"/>
      <c r="P153" s="18">
        <f>IF(OR(K153="",O153=""),"",M153-O153)</f>
        <v/>
      </c>
      <c r="Q153">
        <f>IF(K153="","",IF(AND(N(N153)&gt;0,L153=0),"Jobber visit, no hours logged",IF(AND(L153&gt;0,N153=""),"Enter Jobber visits",IF(AND(L153&gt;0,N(N153)=0),"Hours logged, no Jobber visit",IF(AND(O153&lt;&gt;"",ABS(N(P153))&gt;0.5),"Hours differ from Jobber","")))))</f>
        <v/>
      </c>
    </row>
    <row r="154">
      <c r="K154">
        <f>IF(Sites!A150="","",Sites!A150)</f>
        <v/>
      </c>
      <c r="L154">
        <f>IF(K154="","",COUNTIFS('Hours Log'!$C$2:$C$2001,K154,'Hours Log'!$I$2:$I$2001,$B$3))</f>
        <v/>
      </c>
      <c r="M154" s="18">
        <f>IF(K154="","",SUMIFS('Hours Log'!$G$2:$G$2001,'Hours Log'!$C$2:$C$2001,K154,'Hours Log'!$I$2:$I$2001,$B$3))</f>
        <v/>
      </c>
      <c r="N154" s="10" t="n"/>
      <c r="O154" s="10" t="n"/>
      <c r="P154" s="18">
        <f>IF(OR(K154="",O154=""),"",M154-O154)</f>
        <v/>
      </c>
      <c r="Q154">
        <f>IF(K154="","",IF(AND(N(N154)&gt;0,L154=0),"Jobber visit, no hours logged",IF(AND(L154&gt;0,N154=""),"Enter Jobber visits",IF(AND(L154&gt;0,N(N154)=0),"Hours logged, no Jobber visit",IF(AND(O154&lt;&gt;"",ABS(N(P154))&gt;0.5),"Hours differ from Jobber","")))))</f>
        <v/>
      </c>
    </row>
    <row r="155">
      <c r="K155">
        <f>IF(Sites!A151="","",Sites!A151)</f>
        <v/>
      </c>
      <c r="L155">
        <f>IF(K155="","",COUNTIFS('Hours Log'!$C$2:$C$2001,K155,'Hours Log'!$I$2:$I$2001,$B$3))</f>
        <v/>
      </c>
      <c r="M155" s="18">
        <f>IF(K155="","",SUMIFS('Hours Log'!$G$2:$G$2001,'Hours Log'!$C$2:$C$2001,K155,'Hours Log'!$I$2:$I$2001,$B$3))</f>
        <v/>
      </c>
      <c r="N155" s="10" t="n"/>
      <c r="O155" s="10" t="n"/>
      <c r="P155" s="18">
        <f>IF(OR(K155="",O155=""),"",M155-O155)</f>
        <v/>
      </c>
      <c r="Q155">
        <f>IF(K155="","",IF(AND(N(N155)&gt;0,L155=0),"Jobber visit, no hours logged",IF(AND(L155&gt;0,N155=""),"Enter Jobber visits",IF(AND(L155&gt;0,N(N155)=0),"Hours logged, no Jobber visit",IF(AND(O155&lt;&gt;"",ABS(N(P155))&gt;0.5),"Hours differ from Jobber","")))))</f>
        <v/>
      </c>
    </row>
    <row r="156">
      <c r="K156">
        <f>IF(Sites!A152="","",Sites!A152)</f>
        <v/>
      </c>
      <c r="L156">
        <f>IF(K156="","",COUNTIFS('Hours Log'!$C$2:$C$2001,K156,'Hours Log'!$I$2:$I$2001,$B$3))</f>
        <v/>
      </c>
      <c r="M156" s="18">
        <f>IF(K156="","",SUMIFS('Hours Log'!$G$2:$G$2001,'Hours Log'!$C$2:$C$2001,K156,'Hours Log'!$I$2:$I$2001,$B$3))</f>
        <v/>
      </c>
      <c r="N156" s="10" t="n"/>
      <c r="O156" s="10" t="n"/>
      <c r="P156" s="18">
        <f>IF(OR(K156="",O156=""),"",M156-O156)</f>
        <v/>
      </c>
      <c r="Q156">
        <f>IF(K156="","",IF(AND(N(N156)&gt;0,L156=0),"Jobber visit, no hours logged",IF(AND(L156&gt;0,N156=""),"Enter Jobber visits",IF(AND(L156&gt;0,N(N156)=0),"Hours logged, no Jobber visit",IF(AND(O156&lt;&gt;"",ABS(N(P156))&gt;0.5),"Hours differ from Jobber","")))))</f>
        <v/>
      </c>
    </row>
    <row r="157">
      <c r="K157">
        <f>IF(Sites!A153="","",Sites!A153)</f>
        <v/>
      </c>
      <c r="L157">
        <f>IF(K157="","",COUNTIFS('Hours Log'!$C$2:$C$2001,K157,'Hours Log'!$I$2:$I$2001,$B$3))</f>
        <v/>
      </c>
      <c r="M157" s="18">
        <f>IF(K157="","",SUMIFS('Hours Log'!$G$2:$G$2001,'Hours Log'!$C$2:$C$2001,K157,'Hours Log'!$I$2:$I$2001,$B$3))</f>
        <v/>
      </c>
      <c r="N157" s="10" t="n"/>
      <c r="O157" s="10" t="n"/>
      <c r="P157" s="18">
        <f>IF(OR(K157="",O157=""),"",M157-O157)</f>
        <v/>
      </c>
      <c r="Q157">
        <f>IF(K157="","",IF(AND(N(N157)&gt;0,L157=0),"Jobber visit, no hours logged",IF(AND(L157&gt;0,N157=""),"Enter Jobber visits",IF(AND(L157&gt;0,N(N157)=0),"Hours logged, no Jobber visit",IF(AND(O157&lt;&gt;"",ABS(N(P157))&gt;0.5),"Hours differ from Jobber","")))))</f>
        <v/>
      </c>
    </row>
    <row r="158">
      <c r="K158">
        <f>IF(Sites!A154="","",Sites!A154)</f>
        <v/>
      </c>
      <c r="L158">
        <f>IF(K158="","",COUNTIFS('Hours Log'!$C$2:$C$2001,K158,'Hours Log'!$I$2:$I$2001,$B$3))</f>
        <v/>
      </c>
      <c r="M158" s="18">
        <f>IF(K158="","",SUMIFS('Hours Log'!$G$2:$G$2001,'Hours Log'!$C$2:$C$2001,K158,'Hours Log'!$I$2:$I$2001,$B$3))</f>
        <v/>
      </c>
      <c r="N158" s="10" t="n"/>
      <c r="O158" s="10" t="n"/>
      <c r="P158" s="18">
        <f>IF(OR(K158="",O158=""),"",M158-O158)</f>
        <v/>
      </c>
      <c r="Q158">
        <f>IF(K158="","",IF(AND(N(N158)&gt;0,L158=0),"Jobber visit, no hours logged",IF(AND(L158&gt;0,N158=""),"Enter Jobber visits",IF(AND(L158&gt;0,N(N158)=0),"Hours logged, no Jobber visit",IF(AND(O158&lt;&gt;"",ABS(N(P158))&gt;0.5),"Hours differ from Jobber","")))))</f>
        <v/>
      </c>
    </row>
    <row r="159">
      <c r="K159">
        <f>IF(Sites!A155="","",Sites!A155)</f>
        <v/>
      </c>
      <c r="L159">
        <f>IF(K159="","",COUNTIFS('Hours Log'!$C$2:$C$2001,K159,'Hours Log'!$I$2:$I$2001,$B$3))</f>
        <v/>
      </c>
      <c r="M159" s="18">
        <f>IF(K159="","",SUMIFS('Hours Log'!$G$2:$G$2001,'Hours Log'!$C$2:$C$2001,K159,'Hours Log'!$I$2:$I$2001,$B$3))</f>
        <v/>
      </c>
      <c r="N159" s="10" t="n"/>
      <c r="O159" s="10" t="n"/>
      <c r="P159" s="18">
        <f>IF(OR(K159="",O159=""),"",M159-O159)</f>
        <v/>
      </c>
      <c r="Q159">
        <f>IF(K159="","",IF(AND(N(N159)&gt;0,L159=0),"Jobber visit, no hours logged",IF(AND(L159&gt;0,N159=""),"Enter Jobber visits",IF(AND(L159&gt;0,N(N159)=0),"Hours logged, no Jobber visit",IF(AND(O159&lt;&gt;"",ABS(N(P159))&gt;0.5),"Hours differ from Jobber","")))))</f>
        <v/>
      </c>
    </row>
    <row r="160">
      <c r="K160">
        <f>IF(Sites!A156="","",Sites!A156)</f>
        <v/>
      </c>
      <c r="L160">
        <f>IF(K160="","",COUNTIFS('Hours Log'!$C$2:$C$2001,K160,'Hours Log'!$I$2:$I$2001,$B$3))</f>
        <v/>
      </c>
      <c r="M160" s="18">
        <f>IF(K160="","",SUMIFS('Hours Log'!$G$2:$G$2001,'Hours Log'!$C$2:$C$2001,K160,'Hours Log'!$I$2:$I$2001,$B$3))</f>
        <v/>
      </c>
      <c r="N160" s="10" t="n"/>
      <c r="O160" s="10" t="n"/>
      <c r="P160" s="18">
        <f>IF(OR(K160="",O160=""),"",M160-O160)</f>
        <v/>
      </c>
      <c r="Q160">
        <f>IF(K160="","",IF(AND(N(N160)&gt;0,L160=0),"Jobber visit, no hours logged",IF(AND(L160&gt;0,N160=""),"Enter Jobber visits",IF(AND(L160&gt;0,N(N160)=0),"Hours logged, no Jobber visit",IF(AND(O160&lt;&gt;"",ABS(N(P160))&gt;0.5),"Hours differ from Jobber","")))))</f>
        <v/>
      </c>
    </row>
    <row r="161">
      <c r="K161">
        <f>IF(Sites!A157="","",Sites!A157)</f>
        <v/>
      </c>
      <c r="L161">
        <f>IF(K161="","",COUNTIFS('Hours Log'!$C$2:$C$2001,K161,'Hours Log'!$I$2:$I$2001,$B$3))</f>
        <v/>
      </c>
      <c r="M161" s="18">
        <f>IF(K161="","",SUMIFS('Hours Log'!$G$2:$G$2001,'Hours Log'!$C$2:$C$2001,K161,'Hours Log'!$I$2:$I$2001,$B$3))</f>
        <v/>
      </c>
      <c r="N161" s="10" t="n"/>
      <c r="O161" s="10" t="n"/>
      <c r="P161" s="18">
        <f>IF(OR(K161="",O161=""),"",M161-O161)</f>
        <v/>
      </c>
      <c r="Q161">
        <f>IF(K161="","",IF(AND(N(N161)&gt;0,L161=0),"Jobber visit, no hours logged",IF(AND(L161&gt;0,N161=""),"Enter Jobber visits",IF(AND(L161&gt;0,N(N161)=0),"Hours logged, no Jobber visit",IF(AND(O161&lt;&gt;"",ABS(N(P161))&gt;0.5),"Hours differ from Jobber","")))))</f>
        <v/>
      </c>
    </row>
    <row r="162">
      <c r="K162">
        <f>IF(Sites!A158="","",Sites!A158)</f>
        <v/>
      </c>
      <c r="L162">
        <f>IF(K162="","",COUNTIFS('Hours Log'!$C$2:$C$2001,K162,'Hours Log'!$I$2:$I$2001,$B$3))</f>
        <v/>
      </c>
      <c r="M162" s="18">
        <f>IF(K162="","",SUMIFS('Hours Log'!$G$2:$G$2001,'Hours Log'!$C$2:$C$2001,K162,'Hours Log'!$I$2:$I$2001,$B$3))</f>
        <v/>
      </c>
      <c r="N162" s="10" t="n"/>
      <c r="O162" s="10" t="n"/>
      <c r="P162" s="18">
        <f>IF(OR(K162="",O162=""),"",M162-O162)</f>
        <v/>
      </c>
      <c r="Q162">
        <f>IF(K162="","",IF(AND(N(N162)&gt;0,L162=0),"Jobber visit, no hours logged",IF(AND(L162&gt;0,N162=""),"Enter Jobber visits",IF(AND(L162&gt;0,N(N162)=0),"Hours logged, no Jobber visit",IF(AND(O162&lt;&gt;"",ABS(N(P162))&gt;0.5),"Hours differ from Jobber","")))))</f>
        <v/>
      </c>
    </row>
    <row r="163">
      <c r="K163">
        <f>IF(Sites!A159="","",Sites!A159)</f>
        <v/>
      </c>
      <c r="L163">
        <f>IF(K163="","",COUNTIFS('Hours Log'!$C$2:$C$2001,K163,'Hours Log'!$I$2:$I$2001,$B$3))</f>
        <v/>
      </c>
      <c r="M163" s="18">
        <f>IF(K163="","",SUMIFS('Hours Log'!$G$2:$G$2001,'Hours Log'!$C$2:$C$2001,K163,'Hours Log'!$I$2:$I$2001,$B$3))</f>
        <v/>
      </c>
      <c r="N163" s="10" t="n"/>
      <c r="O163" s="10" t="n"/>
      <c r="P163" s="18">
        <f>IF(OR(K163="",O163=""),"",M163-O163)</f>
        <v/>
      </c>
      <c r="Q163">
        <f>IF(K163="","",IF(AND(N(N163)&gt;0,L163=0),"Jobber visit, no hours logged",IF(AND(L163&gt;0,N163=""),"Enter Jobber visits",IF(AND(L163&gt;0,N(N163)=0),"Hours logged, no Jobber visit",IF(AND(O163&lt;&gt;"",ABS(N(P163))&gt;0.5),"Hours differ from Jobber","")))))</f>
        <v/>
      </c>
    </row>
    <row r="164">
      <c r="K164">
        <f>IF(Sites!A160="","",Sites!A160)</f>
        <v/>
      </c>
      <c r="L164">
        <f>IF(K164="","",COUNTIFS('Hours Log'!$C$2:$C$2001,K164,'Hours Log'!$I$2:$I$2001,$B$3))</f>
        <v/>
      </c>
      <c r="M164" s="18">
        <f>IF(K164="","",SUMIFS('Hours Log'!$G$2:$G$2001,'Hours Log'!$C$2:$C$2001,K164,'Hours Log'!$I$2:$I$2001,$B$3))</f>
        <v/>
      </c>
      <c r="N164" s="10" t="n"/>
      <c r="O164" s="10" t="n"/>
      <c r="P164" s="18">
        <f>IF(OR(K164="",O164=""),"",M164-O164)</f>
        <v/>
      </c>
      <c r="Q164">
        <f>IF(K164="","",IF(AND(N(N164)&gt;0,L164=0),"Jobber visit, no hours logged",IF(AND(L164&gt;0,N164=""),"Enter Jobber visits",IF(AND(L164&gt;0,N(N164)=0),"Hours logged, no Jobber visit",IF(AND(O164&lt;&gt;"",ABS(N(P164))&gt;0.5),"Hours differ from Jobber","")))))</f>
        <v/>
      </c>
    </row>
    <row r="165">
      <c r="K165">
        <f>IF(Sites!A161="","",Sites!A161)</f>
        <v/>
      </c>
      <c r="L165">
        <f>IF(K165="","",COUNTIFS('Hours Log'!$C$2:$C$2001,K165,'Hours Log'!$I$2:$I$2001,$B$3))</f>
        <v/>
      </c>
      <c r="M165" s="18">
        <f>IF(K165="","",SUMIFS('Hours Log'!$G$2:$G$2001,'Hours Log'!$C$2:$C$2001,K165,'Hours Log'!$I$2:$I$2001,$B$3))</f>
        <v/>
      </c>
      <c r="N165" s="10" t="n"/>
      <c r="O165" s="10" t="n"/>
      <c r="P165" s="18">
        <f>IF(OR(K165="",O165=""),"",M165-O165)</f>
        <v/>
      </c>
      <c r="Q165">
        <f>IF(K165="","",IF(AND(N(N165)&gt;0,L165=0),"Jobber visit, no hours logged",IF(AND(L165&gt;0,N165=""),"Enter Jobber visits",IF(AND(L165&gt;0,N(N165)=0),"Hours logged, no Jobber visit",IF(AND(O165&lt;&gt;"",ABS(N(P165))&gt;0.5),"Hours differ from Jobber","")))))</f>
        <v/>
      </c>
    </row>
    <row r="166">
      <c r="K166">
        <f>IF(Sites!A162="","",Sites!A162)</f>
        <v/>
      </c>
      <c r="L166">
        <f>IF(K166="","",COUNTIFS('Hours Log'!$C$2:$C$2001,K166,'Hours Log'!$I$2:$I$2001,$B$3))</f>
        <v/>
      </c>
      <c r="M166" s="18">
        <f>IF(K166="","",SUMIFS('Hours Log'!$G$2:$G$2001,'Hours Log'!$C$2:$C$2001,K166,'Hours Log'!$I$2:$I$2001,$B$3))</f>
        <v/>
      </c>
      <c r="N166" s="10" t="n"/>
      <c r="O166" s="10" t="n"/>
      <c r="P166" s="18">
        <f>IF(OR(K166="",O166=""),"",M166-O166)</f>
        <v/>
      </c>
      <c r="Q166">
        <f>IF(K166="","",IF(AND(N(N166)&gt;0,L166=0),"Jobber visit, no hours logged",IF(AND(L166&gt;0,N166=""),"Enter Jobber visits",IF(AND(L166&gt;0,N(N166)=0),"Hours logged, no Jobber visit",IF(AND(O166&lt;&gt;"",ABS(N(P166))&gt;0.5),"Hours differ from Jobber","")))))</f>
        <v/>
      </c>
    </row>
    <row r="167">
      <c r="K167">
        <f>IF(Sites!A163="","",Sites!A163)</f>
        <v/>
      </c>
      <c r="L167">
        <f>IF(K167="","",COUNTIFS('Hours Log'!$C$2:$C$2001,K167,'Hours Log'!$I$2:$I$2001,$B$3))</f>
        <v/>
      </c>
      <c r="M167" s="18">
        <f>IF(K167="","",SUMIFS('Hours Log'!$G$2:$G$2001,'Hours Log'!$C$2:$C$2001,K167,'Hours Log'!$I$2:$I$2001,$B$3))</f>
        <v/>
      </c>
      <c r="N167" s="10" t="n"/>
      <c r="O167" s="10" t="n"/>
      <c r="P167" s="18">
        <f>IF(OR(K167="",O167=""),"",M167-O167)</f>
        <v/>
      </c>
      <c r="Q167">
        <f>IF(K167="","",IF(AND(N(N167)&gt;0,L167=0),"Jobber visit, no hours logged",IF(AND(L167&gt;0,N167=""),"Enter Jobber visits",IF(AND(L167&gt;0,N(N167)=0),"Hours logged, no Jobber visit",IF(AND(O167&lt;&gt;"",ABS(N(P167))&gt;0.5),"Hours differ from Jobber","")))))</f>
        <v/>
      </c>
    </row>
    <row r="168">
      <c r="K168">
        <f>IF(Sites!A164="","",Sites!A164)</f>
        <v/>
      </c>
      <c r="L168">
        <f>IF(K168="","",COUNTIFS('Hours Log'!$C$2:$C$2001,K168,'Hours Log'!$I$2:$I$2001,$B$3))</f>
        <v/>
      </c>
      <c r="M168" s="18">
        <f>IF(K168="","",SUMIFS('Hours Log'!$G$2:$G$2001,'Hours Log'!$C$2:$C$2001,K168,'Hours Log'!$I$2:$I$2001,$B$3))</f>
        <v/>
      </c>
      <c r="N168" s="10" t="n"/>
      <c r="O168" s="10" t="n"/>
      <c r="P168" s="18">
        <f>IF(OR(K168="",O168=""),"",M168-O168)</f>
        <v/>
      </c>
      <c r="Q168">
        <f>IF(K168="","",IF(AND(N(N168)&gt;0,L168=0),"Jobber visit, no hours logged",IF(AND(L168&gt;0,N168=""),"Enter Jobber visits",IF(AND(L168&gt;0,N(N168)=0),"Hours logged, no Jobber visit",IF(AND(O168&lt;&gt;"",ABS(N(P168))&gt;0.5),"Hours differ from Jobber","")))))</f>
        <v/>
      </c>
    </row>
    <row r="169">
      <c r="K169">
        <f>IF(Sites!A165="","",Sites!A165)</f>
        <v/>
      </c>
      <c r="L169">
        <f>IF(K169="","",COUNTIFS('Hours Log'!$C$2:$C$2001,K169,'Hours Log'!$I$2:$I$2001,$B$3))</f>
        <v/>
      </c>
      <c r="M169" s="18">
        <f>IF(K169="","",SUMIFS('Hours Log'!$G$2:$G$2001,'Hours Log'!$C$2:$C$2001,K169,'Hours Log'!$I$2:$I$2001,$B$3))</f>
        <v/>
      </c>
      <c r="N169" s="10" t="n"/>
      <c r="O169" s="10" t="n"/>
      <c r="P169" s="18">
        <f>IF(OR(K169="",O169=""),"",M169-O169)</f>
        <v/>
      </c>
      <c r="Q169">
        <f>IF(K169="","",IF(AND(N(N169)&gt;0,L169=0),"Jobber visit, no hours logged",IF(AND(L169&gt;0,N169=""),"Enter Jobber visits",IF(AND(L169&gt;0,N(N169)=0),"Hours logged, no Jobber visit",IF(AND(O169&lt;&gt;"",ABS(N(P169))&gt;0.5),"Hours differ from Jobber","")))))</f>
        <v/>
      </c>
    </row>
    <row r="170">
      <c r="K170">
        <f>IF(Sites!A166="","",Sites!A166)</f>
        <v/>
      </c>
      <c r="L170">
        <f>IF(K170="","",COUNTIFS('Hours Log'!$C$2:$C$2001,K170,'Hours Log'!$I$2:$I$2001,$B$3))</f>
        <v/>
      </c>
      <c r="M170" s="18">
        <f>IF(K170="","",SUMIFS('Hours Log'!$G$2:$G$2001,'Hours Log'!$C$2:$C$2001,K170,'Hours Log'!$I$2:$I$2001,$B$3))</f>
        <v/>
      </c>
      <c r="N170" s="10" t="n"/>
      <c r="O170" s="10" t="n"/>
      <c r="P170" s="18">
        <f>IF(OR(K170="",O170=""),"",M170-O170)</f>
        <v/>
      </c>
      <c r="Q170">
        <f>IF(K170="","",IF(AND(N(N170)&gt;0,L170=0),"Jobber visit, no hours logged",IF(AND(L170&gt;0,N170=""),"Enter Jobber visits",IF(AND(L170&gt;0,N(N170)=0),"Hours logged, no Jobber visit",IF(AND(O170&lt;&gt;"",ABS(N(P170))&gt;0.5),"Hours differ from Jobber","")))))</f>
        <v/>
      </c>
    </row>
    <row r="171">
      <c r="K171">
        <f>IF(Sites!A167="","",Sites!A167)</f>
        <v/>
      </c>
      <c r="L171">
        <f>IF(K171="","",COUNTIFS('Hours Log'!$C$2:$C$2001,K171,'Hours Log'!$I$2:$I$2001,$B$3))</f>
        <v/>
      </c>
      <c r="M171" s="18">
        <f>IF(K171="","",SUMIFS('Hours Log'!$G$2:$G$2001,'Hours Log'!$C$2:$C$2001,K171,'Hours Log'!$I$2:$I$2001,$B$3))</f>
        <v/>
      </c>
      <c r="N171" s="10" t="n"/>
      <c r="O171" s="10" t="n"/>
      <c r="P171" s="18">
        <f>IF(OR(K171="",O171=""),"",M171-O171)</f>
        <v/>
      </c>
      <c r="Q171">
        <f>IF(K171="","",IF(AND(N(N171)&gt;0,L171=0),"Jobber visit, no hours logged",IF(AND(L171&gt;0,N171=""),"Enter Jobber visits",IF(AND(L171&gt;0,N(N171)=0),"Hours logged, no Jobber visit",IF(AND(O171&lt;&gt;"",ABS(N(P171))&gt;0.5),"Hours differ from Jobber","")))))</f>
        <v/>
      </c>
    </row>
    <row r="172">
      <c r="K172">
        <f>IF(Sites!A168="","",Sites!A168)</f>
        <v/>
      </c>
      <c r="L172">
        <f>IF(K172="","",COUNTIFS('Hours Log'!$C$2:$C$2001,K172,'Hours Log'!$I$2:$I$2001,$B$3))</f>
        <v/>
      </c>
      <c r="M172" s="18">
        <f>IF(K172="","",SUMIFS('Hours Log'!$G$2:$G$2001,'Hours Log'!$C$2:$C$2001,K172,'Hours Log'!$I$2:$I$2001,$B$3))</f>
        <v/>
      </c>
      <c r="N172" s="10" t="n"/>
      <c r="O172" s="10" t="n"/>
      <c r="P172" s="18">
        <f>IF(OR(K172="",O172=""),"",M172-O172)</f>
        <v/>
      </c>
      <c r="Q172">
        <f>IF(K172="","",IF(AND(N(N172)&gt;0,L172=0),"Jobber visit, no hours logged",IF(AND(L172&gt;0,N172=""),"Enter Jobber visits",IF(AND(L172&gt;0,N(N172)=0),"Hours logged, no Jobber visit",IF(AND(O172&lt;&gt;"",ABS(N(P172))&gt;0.5),"Hours differ from Jobber","")))))</f>
        <v/>
      </c>
    </row>
    <row r="173">
      <c r="K173">
        <f>IF(Sites!A169="","",Sites!A169)</f>
        <v/>
      </c>
      <c r="L173">
        <f>IF(K173="","",COUNTIFS('Hours Log'!$C$2:$C$2001,K173,'Hours Log'!$I$2:$I$2001,$B$3))</f>
        <v/>
      </c>
      <c r="M173" s="18">
        <f>IF(K173="","",SUMIFS('Hours Log'!$G$2:$G$2001,'Hours Log'!$C$2:$C$2001,K173,'Hours Log'!$I$2:$I$2001,$B$3))</f>
        <v/>
      </c>
      <c r="N173" s="10" t="n"/>
      <c r="O173" s="10" t="n"/>
      <c r="P173" s="18">
        <f>IF(OR(K173="",O173=""),"",M173-O173)</f>
        <v/>
      </c>
      <c r="Q173">
        <f>IF(K173="","",IF(AND(N(N173)&gt;0,L173=0),"Jobber visit, no hours logged",IF(AND(L173&gt;0,N173=""),"Enter Jobber visits",IF(AND(L173&gt;0,N(N173)=0),"Hours logged, no Jobber visit",IF(AND(O173&lt;&gt;"",ABS(N(P173))&gt;0.5),"Hours differ from Jobber","")))))</f>
        <v/>
      </c>
    </row>
    <row r="174">
      <c r="K174">
        <f>IF(Sites!A170="","",Sites!A170)</f>
        <v/>
      </c>
      <c r="L174">
        <f>IF(K174="","",COUNTIFS('Hours Log'!$C$2:$C$2001,K174,'Hours Log'!$I$2:$I$2001,$B$3))</f>
        <v/>
      </c>
      <c r="M174" s="18">
        <f>IF(K174="","",SUMIFS('Hours Log'!$G$2:$G$2001,'Hours Log'!$C$2:$C$2001,K174,'Hours Log'!$I$2:$I$2001,$B$3))</f>
        <v/>
      </c>
      <c r="N174" s="10" t="n"/>
      <c r="O174" s="10" t="n"/>
      <c r="P174" s="18">
        <f>IF(OR(K174="",O174=""),"",M174-O174)</f>
        <v/>
      </c>
      <c r="Q174">
        <f>IF(K174="","",IF(AND(N(N174)&gt;0,L174=0),"Jobber visit, no hours logged",IF(AND(L174&gt;0,N174=""),"Enter Jobber visits",IF(AND(L174&gt;0,N(N174)=0),"Hours logged, no Jobber visit",IF(AND(O174&lt;&gt;"",ABS(N(P174))&gt;0.5),"Hours differ from Jobber","")))))</f>
        <v/>
      </c>
    </row>
    <row r="175">
      <c r="K175">
        <f>IF(Sites!A171="","",Sites!A171)</f>
        <v/>
      </c>
      <c r="L175">
        <f>IF(K175="","",COUNTIFS('Hours Log'!$C$2:$C$2001,K175,'Hours Log'!$I$2:$I$2001,$B$3))</f>
        <v/>
      </c>
      <c r="M175" s="18">
        <f>IF(K175="","",SUMIFS('Hours Log'!$G$2:$G$2001,'Hours Log'!$C$2:$C$2001,K175,'Hours Log'!$I$2:$I$2001,$B$3))</f>
        <v/>
      </c>
      <c r="N175" s="10" t="n"/>
      <c r="O175" s="10" t="n"/>
      <c r="P175" s="18">
        <f>IF(OR(K175="",O175=""),"",M175-O175)</f>
        <v/>
      </c>
      <c r="Q175">
        <f>IF(K175="","",IF(AND(N(N175)&gt;0,L175=0),"Jobber visit, no hours logged",IF(AND(L175&gt;0,N175=""),"Enter Jobber visits",IF(AND(L175&gt;0,N(N175)=0),"Hours logged, no Jobber visit",IF(AND(O175&lt;&gt;"",ABS(N(P175))&gt;0.5),"Hours differ from Jobber","")))))</f>
        <v/>
      </c>
    </row>
    <row r="176">
      <c r="K176">
        <f>IF(Sites!A172="","",Sites!A172)</f>
        <v/>
      </c>
      <c r="L176">
        <f>IF(K176="","",COUNTIFS('Hours Log'!$C$2:$C$2001,K176,'Hours Log'!$I$2:$I$2001,$B$3))</f>
        <v/>
      </c>
      <c r="M176" s="18">
        <f>IF(K176="","",SUMIFS('Hours Log'!$G$2:$G$2001,'Hours Log'!$C$2:$C$2001,K176,'Hours Log'!$I$2:$I$2001,$B$3))</f>
        <v/>
      </c>
      <c r="N176" s="10" t="n"/>
      <c r="O176" s="10" t="n"/>
      <c r="P176" s="18">
        <f>IF(OR(K176="",O176=""),"",M176-O176)</f>
        <v/>
      </c>
      <c r="Q176">
        <f>IF(K176="","",IF(AND(N(N176)&gt;0,L176=0),"Jobber visit, no hours logged",IF(AND(L176&gt;0,N176=""),"Enter Jobber visits",IF(AND(L176&gt;0,N(N176)=0),"Hours logged, no Jobber visit",IF(AND(O176&lt;&gt;"",ABS(N(P176))&gt;0.5),"Hours differ from Jobber","")))))</f>
        <v/>
      </c>
    </row>
    <row r="177">
      <c r="K177">
        <f>IF(Sites!A173="","",Sites!A173)</f>
        <v/>
      </c>
      <c r="L177">
        <f>IF(K177="","",COUNTIFS('Hours Log'!$C$2:$C$2001,K177,'Hours Log'!$I$2:$I$2001,$B$3))</f>
        <v/>
      </c>
      <c r="M177" s="18">
        <f>IF(K177="","",SUMIFS('Hours Log'!$G$2:$G$2001,'Hours Log'!$C$2:$C$2001,K177,'Hours Log'!$I$2:$I$2001,$B$3))</f>
        <v/>
      </c>
      <c r="N177" s="10" t="n"/>
      <c r="O177" s="10" t="n"/>
      <c r="P177" s="18">
        <f>IF(OR(K177="",O177=""),"",M177-O177)</f>
        <v/>
      </c>
      <c r="Q177">
        <f>IF(K177="","",IF(AND(N(N177)&gt;0,L177=0),"Jobber visit, no hours logged",IF(AND(L177&gt;0,N177=""),"Enter Jobber visits",IF(AND(L177&gt;0,N(N177)=0),"Hours logged, no Jobber visit",IF(AND(O177&lt;&gt;"",ABS(N(P177))&gt;0.5),"Hours differ from Jobber","")))))</f>
        <v/>
      </c>
    </row>
    <row r="178">
      <c r="K178">
        <f>IF(Sites!A174="","",Sites!A174)</f>
        <v/>
      </c>
      <c r="L178">
        <f>IF(K178="","",COUNTIFS('Hours Log'!$C$2:$C$2001,K178,'Hours Log'!$I$2:$I$2001,$B$3))</f>
        <v/>
      </c>
      <c r="M178" s="18">
        <f>IF(K178="","",SUMIFS('Hours Log'!$G$2:$G$2001,'Hours Log'!$C$2:$C$2001,K178,'Hours Log'!$I$2:$I$2001,$B$3))</f>
        <v/>
      </c>
      <c r="N178" s="10" t="n"/>
      <c r="O178" s="10" t="n"/>
      <c r="P178" s="18">
        <f>IF(OR(K178="",O178=""),"",M178-O178)</f>
        <v/>
      </c>
      <c r="Q178">
        <f>IF(K178="","",IF(AND(N(N178)&gt;0,L178=0),"Jobber visit, no hours logged",IF(AND(L178&gt;0,N178=""),"Enter Jobber visits",IF(AND(L178&gt;0,N(N178)=0),"Hours logged, no Jobber visit",IF(AND(O178&lt;&gt;"",ABS(N(P178))&gt;0.5),"Hours differ from Jobber","")))))</f>
        <v/>
      </c>
    </row>
    <row r="179">
      <c r="K179">
        <f>IF(Sites!A175="","",Sites!A175)</f>
        <v/>
      </c>
      <c r="L179">
        <f>IF(K179="","",COUNTIFS('Hours Log'!$C$2:$C$2001,K179,'Hours Log'!$I$2:$I$2001,$B$3))</f>
        <v/>
      </c>
      <c r="M179" s="18">
        <f>IF(K179="","",SUMIFS('Hours Log'!$G$2:$G$2001,'Hours Log'!$C$2:$C$2001,K179,'Hours Log'!$I$2:$I$2001,$B$3))</f>
        <v/>
      </c>
      <c r="N179" s="10" t="n"/>
      <c r="O179" s="10" t="n"/>
      <c r="P179" s="18">
        <f>IF(OR(K179="",O179=""),"",M179-O179)</f>
        <v/>
      </c>
      <c r="Q179">
        <f>IF(K179="","",IF(AND(N(N179)&gt;0,L179=0),"Jobber visit, no hours logged",IF(AND(L179&gt;0,N179=""),"Enter Jobber visits",IF(AND(L179&gt;0,N(N179)=0),"Hours logged, no Jobber visit",IF(AND(O179&lt;&gt;"",ABS(N(P179))&gt;0.5),"Hours differ from Jobber","")))))</f>
        <v/>
      </c>
    </row>
    <row r="180">
      <c r="K180">
        <f>IF(Sites!A176="","",Sites!A176)</f>
        <v/>
      </c>
      <c r="L180">
        <f>IF(K180="","",COUNTIFS('Hours Log'!$C$2:$C$2001,K180,'Hours Log'!$I$2:$I$2001,$B$3))</f>
        <v/>
      </c>
      <c r="M180" s="18">
        <f>IF(K180="","",SUMIFS('Hours Log'!$G$2:$G$2001,'Hours Log'!$C$2:$C$2001,K180,'Hours Log'!$I$2:$I$2001,$B$3))</f>
        <v/>
      </c>
      <c r="N180" s="10" t="n"/>
      <c r="O180" s="10" t="n"/>
      <c r="P180" s="18">
        <f>IF(OR(K180="",O180=""),"",M180-O180)</f>
        <v/>
      </c>
      <c r="Q180">
        <f>IF(K180="","",IF(AND(N(N180)&gt;0,L180=0),"Jobber visit, no hours logged",IF(AND(L180&gt;0,N180=""),"Enter Jobber visits",IF(AND(L180&gt;0,N(N180)=0),"Hours logged, no Jobber visit",IF(AND(O180&lt;&gt;"",ABS(N(P180))&gt;0.5),"Hours differ from Jobber","")))))</f>
        <v/>
      </c>
    </row>
    <row r="181">
      <c r="K181">
        <f>IF(Sites!A177="","",Sites!A177)</f>
        <v/>
      </c>
      <c r="L181">
        <f>IF(K181="","",COUNTIFS('Hours Log'!$C$2:$C$2001,K181,'Hours Log'!$I$2:$I$2001,$B$3))</f>
        <v/>
      </c>
      <c r="M181" s="18">
        <f>IF(K181="","",SUMIFS('Hours Log'!$G$2:$G$2001,'Hours Log'!$C$2:$C$2001,K181,'Hours Log'!$I$2:$I$2001,$B$3))</f>
        <v/>
      </c>
      <c r="N181" s="10" t="n"/>
      <c r="O181" s="10" t="n"/>
      <c r="P181" s="18">
        <f>IF(OR(K181="",O181=""),"",M181-O181)</f>
        <v/>
      </c>
      <c r="Q181">
        <f>IF(K181="","",IF(AND(N(N181)&gt;0,L181=0),"Jobber visit, no hours logged",IF(AND(L181&gt;0,N181=""),"Enter Jobber visits",IF(AND(L181&gt;0,N(N181)=0),"Hours logged, no Jobber visit",IF(AND(O181&lt;&gt;"",ABS(N(P181))&gt;0.5),"Hours differ from Jobber","")))))</f>
        <v/>
      </c>
    </row>
    <row r="182">
      <c r="K182">
        <f>IF(Sites!A178="","",Sites!A178)</f>
        <v/>
      </c>
      <c r="L182">
        <f>IF(K182="","",COUNTIFS('Hours Log'!$C$2:$C$2001,K182,'Hours Log'!$I$2:$I$2001,$B$3))</f>
        <v/>
      </c>
      <c r="M182" s="18">
        <f>IF(K182="","",SUMIFS('Hours Log'!$G$2:$G$2001,'Hours Log'!$C$2:$C$2001,K182,'Hours Log'!$I$2:$I$2001,$B$3))</f>
        <v/>
      </c>
      <c r="N182" s="10" t="n"/>
      <c r="O182" s="10" t="n"/>
      <c r="P182" s="18">
        <f>IF(OR(K182="",O182=""),"",M182-O182)</f>
        <v/>
      </c>
      <c r="Q182">
        <f>IF(K182="","",IF(AND(N(N182)&gt;0,L182=0),"Jobber visit, no hours logged",IF(AND(L182&gt;0,N182=""),"Enter Jobber visits",IF(AND(L182&gt;0,N(N182)=0),"Hours logged, no Jobber visit",IF(AND(O182&lt;&gt;"",ABS(N(P182))&gt;0.5),"Hours differ from Jobber","")))))</f>
        <v/>
      </c>
    </row>
    <row r="183">
      <c r="K183">
        <f>IF(Sites!A179="","",Sites!A179)</f>
        <v/>
      </c>
      <c r="L183">
        <f>IF(K183="","",COUNTIFS('Hours Log'!$C$2:$C$2001,K183,'Hours Log'!$I$2:$I$2001,$B$3))</f>
        <v/>
      </c>
      <c r="M183" s="18">
        <f>IF(K183="","",SUMIFS('Hours Log'!$G$2:$G$2001,'Hours Log'!$C$2:$C$2001,K183,'Hours Log'!$I$2:$I$2001,$B$3))</f>
        <v/>
      </c>
      <c r="N183" s="10" t="n"/>
      <c r="O183" s="10" t="n"/>
      <c r="P183" s="18">
        <f>IF(OR(K183="",O183=""),"",M183-O183)</f>
        <v/>
      </c>
      <c r="Q183">
        <f>IF(K183="","",IF(AND(N(N183)&gt;0,L183=0),"Jobber visit, no hours logged",IF(AND(L183&gt;0,N183=""),"Enter Jobber visits",IF(AND(L183&gt;0,N(N183)=0),"Hours logged, no Jobber visit",IF(AND(O183&lt;&gt;"",ABS(N(P183))&gt;0.5),"Hours differ from Jobber","")))))</f>
        <v/>
      </c>
    </row>
    <row r="184">
      <c r="K184">
        <f>IF(Sites!A180="","",Sites!A180)</f>
        <v/>
      </c>
      <c r="L184">
        <f>IF(K184="","",COUNTIFS('Hours Log'!$C$2:$C$2001,K184,'Hours Log'!$I$2:$I$2001,$B$3))</f>
        <v/>
      </c>
      <c r="M184" s="18">
        <f>IF(K184="","",SUMIFS('Hours Log'!$G$2:$G$2001,'Hours Log'!$C$2:$C$2001,K184,'Hours Log'!$I$2:$I$2001,$B$3))</f>
        <v/>
      </c>
      <c r="N184" s="10" t="n"/>
      <c r="O184" s="10" t="n"/>
      <c r="P184" s="18">
        <f>IF(OR(K184="",O184=""),"",M184-O184)</f>
        <v/>
      </c>
      <c r="Q184">
        <f>IF(K184="","",IF(AND(N(N184)&gt;0,L184=0),"Jobber visit, no hours logged",IF(AND(L184&gt;0,N184=""),"Enter Jobber visits",IF(AND(L184&gt;0,N(N184)=0),"Hours logged, no Jobber visit",IF(AND(O184&lt;&gt;"",ABS(N(P184))&gt;0.5),"Hours differ from Jobber","")))))</f>
        <v/>
      </c>
    </row>
    <row r="185">
      <c r="K185">
        <f>IF(Sites!A181="","",Sites!A181)</f>
        <v/>
      </c>
      <c r="L185">
        <f>IF(K185="","",COUNTIFS('Hours Log'!$C$2:$C$2001,K185,'Hours Log'!$I$2:$I$2001,$B$3))</f>
        <v/>
      </c>
      <c r="M185" s="18">
        <f>IF(K185="","",SUMIFS('Hours Log'!$G$2:$G$2001,'Hours Log'!$C$2:$C$2001,K185,'Hours Log'!$I$2:$I$2001,$B$3))</f>
        <v/>
      </c>
      <c r="N185" s="10" t="n"/>
      <c r="O185" s="10" t="n"/>
      <c r="P185" s="18">
        <f>IF(OR(K185="",O185=""),"",M185-O185)</f>
        <v/>
      </c>
      <c r="Q185">
        <f>IF(K185="","",IF(AND(N(N185)&gt;0,L185=0),"Jobber visit, no hours logged",IF(AND(L185&gt;0,N185=""),"Enter Jobber visits",IF(AND(L185&gt;0,N(N185)=0),"Hours logged, no Jobber visit",IF(AND(O185&lt;&gt;"",ABS(N(P185))&gt;0.5),"Hours differ from Jobber","")))))</f>
        <v/>
      </c>
    </row>
    <row r="186">
      <c r="K186">
        <f>IF(Sites!A182="","",Sites!A182)</f>
        <v/>
      </c>
      <c r="L186">
        <f>IF(K186="","",COUNTIFS('Hours Log'!$C$2:$C$2001,K186,'Hours Log'!$I$2:$I$2001,$B$3))</f>
        <v/>
      </c>
      <c r="M186" s="18">
        <f>IF(K186="","",SUMIFS('Hours Log'!$G$2:$G$2001,'Hours Log'!$C$2:$C$2001,K186,'Hours Log'!$I$2:$I$2001,$B$3))</f>
        <v/>
      </c>
      <c r="N186" s="10" t="n"/>
      <c r="O186" s="10" t="n"/>
      <c r="P186" s="18">
        <f>IF(OR(K186="",O186=""),"",M186-O186)</f>
        <v/>
      </c>
      <c r="Q186">
        <f>IF(K186="","",IF(AND(N(N186)&gt;0,L186=0),"Jobber visit, no hours logged",IF(AND(L186&gt;0,N186=""),"Enter Jobber visits",IF(AND(L186&gt;0,N(N186)=0),"Hours logged, no Jobber visit",IF(AND(O186&lt;&gt;"",ABS(N(P186))&gt;0.5),"Hours differ from Jobber","")))))</f>
        <v/>
      </c>
    </row>
    <row r="187">
      <c r="K187">
        <f>IF(Sites!A183="","",Sites!A183)</f>
        <v/>
      </c>
      <c r="L187">
        <f>IF(K187="","",COUNTIFS('Hours Log'!$C$2:$C$2001,K187,'Hours Log'!$I$2:$I$2001,$B$3))</f>
        <v/>
      </c>
      <c r="M187" s="18">
        <f>IF(K187="","",SUMIFS('Hours Log'!$G$2:$G$2001,'Hours Log'!$C$2:$C$2001,K187,'Hours Log'!$I$2:$I$2001,$B$3))</f>
        <v/>
      </c>
      <c r="N187" s="10" t="n"/>
      <c r="O187" s="10" t="n"/>
      <c r="P187" s="18">
        <f>IF(OR(K187="",O187=""),"",M187-O187)</f>
        <v/>
      </c>
      <c r="Q187">
        <f>IF(K187="","",IF(AND(N(N187)&gt;0,L187=0),"Jobber visit, no hours logged",IF(AND(L187&gt;0,N187=""),"Enter Jobber visits",IF(AND(L187&gt;0,N(N187)=0),"Hours logged, no Jobber visit",IF(AND(O187&lt;&gt;"",ABS(N(P187))&gt;0.5),"Hours differ from Jobber","")))))</f>
        <v/>
      </c>
    </row>
    <row r="188">
      <c r="K188">
        <f>IF(Sites!A184="","",Sites!A184)</f>
        <v/>
      </c>
      <c r="L188">
        <f>IF(K188="","",COUNTIFS('Hours Log'!$C$2:$C$2001,K188,'Hours Log'!$I$2:$I$2001,$B$3))</f>
        <v/>
      </c>
      <c r="M188" s="18">
        <f>IF(K188="","",SUMIFS('Hours Log'!$G$2:$G$2001,'Hours Log'!$C$2:$C$2001,K188,'Hours Log'!$I$2:$I$2001,$B$3))</f>
        <v/>
      </c>
      <c r="N188" s="10" t="n"/>
      <c r="O188" s="10" t="n"/>
      <c r="P188" s="18">
        <f>IF(OR(K188="",O188=""),"",M188-O188)</f>
        <v/>
      </c>
      <c r="Q188">
        <f>IF(K188="","",IF(AND(N(N188)&gt;0,L188=0),"Jobber visit, no hours logged",IF(AND(L188&gt;0,N188=""),"Enter Jobber visits",IF(AND(L188&gt;0,N(N188)=0),"Hours logged, no Jobber visit",IF(AND(O188&lt;&gt;"",ABS(N(P188))&gt;0.5),"Hours differ from Jobber","")))))</f>
        <v/>
      </c>
    </row>
    <row r="189">
      <c r="K189">
        <f>IF(Sites!A185="","",Sites!A185)</f>
        <v/>
      </c>
      <c r="L189">
        <f>IF(K189="","",COUNTIFS('Hours Log'!$C$2:$C$2001,K189,'Hours Log'!$I$2:$I$2001,$B$3))</f>
        <v/>
      </c>
      <c r="M189" s="18">
        <f>IF(K189="","",SUMIFS('Hours Log'!$G$2:$G$2001,'Hours Log'!$C$2:$C$2001,K189,'Hours Log'!$I$2:$I$2001,$B$3))</f>
        <v/>
      </c>
      <c r="N189" s="10" t="n"/>
      <c r="O189" s="10" t="n"/>
      <c r="P189" s="18">
        <f>IF(OR(K189="",O189=""),"",M189-O189)</f>
        <v/>
      </c>
      <c r="Q189">
        <f>IF(K189="","",IF(AND(N(N189)&gt;0,L189=0),"Jobber visit, no hours logged",IF(AND(L189&gt;0,N189=""),"Enter Jobber visits",IF(AND(L189&gt;0,N(N189)=0),"Hours logged, no Jobber visit",IF(AND(O189&lt;&gt;"",ABS(N(P189))&gt;0.5),"Hours differ from Jobber","")))))</f>
        <v/>
      </c>
    </row>
    <row r="190">
      <c r="K190">
        <f>IF(Sites!A186="","",Sites!A186)</f>
        <v/>
      </c>
      <c r="L190">
        <f>IF(K190="","",COUNTIFS('Hours Log'!$C$2:$C$2001,K190,'Hours Log'!$I$2:$I$2001,$B$3))</f>
        <v/>
      </c>
      <c r="M190" s="18">
        <f>IF(K190="","",SUMIFS('Hours Log'!$G$2:$G$2001,'Hours Log'!$C$2:$C$2001,K190,'Hours Log'!$I$2:$I$2001,$B$3))</f>
        <v/>
      </c>
      <c r="N190" s="10" t="n"/>
      <c r="O190" s="10" t="n"/>
      <c r="P190" s="18">
        <f>IF(OR(K190="",O190=""),"",M190-O190)</f>
        <v/>
      </c>
      <c r="Q190">
        <f>IF(K190="","",IF(AND(N(N190)&gt;0,L190=0),"Jobber visit, no hours logged",IF(AND(L190&gt;0,N190=""),"Enter Jobber visits",IF(AND(L190&gt;0,N(N190)=0),"Hours logged, no Jobber visit",IF(AND(O190&lt;&gt;"",ABS(N(P190))&gt;0.5),"Hours differ from Jobber","")))))</f>
        <v/>
      </c>
    </row>
    <row r="191">
      <c r="K191">
        <f>IF(Sites!A187="","",Sites!A187)</f>
        <v/>
      </c>
      <c r="L191">
        <f>IF(K191="","",COUNTIFS('Hours Log'!$C$2:$C$2001,K191,'Hours Log'!$I$2:$I$2001,$B$3))</f>
        <v/>
      </c>
      <c r="M191" s="18">
        <f>IF(K191="","",SUMIFS('Hours Log'!$G$2:$G$2001,'Hours Log'!$C$2:$C$2001,K191,'Hours Log'!$I$2:$I$2001,$B$3))</f>
        <v/>
      </c>
      <c r="N191" s="10" t="n"/>
      <c r="O191" s="10" t="n"/>
      <c r="P191" s="18">
        <f>IF(OR(K191="",O191=""),"",M191-O191)</f>
        <v/>
      </c>
      <c r="Q191">
        <f>IF(K191="","",IF(AND(N(N191)&gt;0,L191=0),"Jobber visit, no hours logged",IF(AND(L191&gt;0,N191=""),"Enter Jobber visits",IF(AND(L191&gt;0,N(N191)=0),"Hours logged, no Jobber visit",IF(AND(O191&lt;&gt;"",ABS(N(P191))&gt;0.5),"Hours differ from Jobber","")))))</f>
        <v/>
      </c>
    </row>
    <row r="192">
      <c r="K192">
        <f>IF(Sites!A188="","",Sites!A188)</f>
        <v/>
      </c>
      <c r="L192">
        <f>IF(K192="","",COUNTIFS('Hours Log'!$C$2:$C$2001,K192,'Hours Log'!$I$2:$I$2001,$B$3))</f>
        <v/>
      </c>
      <c r="M192" s="18">
        <f>IF(K192="","",SUMIFS('Hours Log'!$G$2:$G$2001,'Hours Log'!$C$2:$C$2001,K192,'Hours Log'!$I$2:$I$2001,$B$3))</f>
        <v/>
      </c>
      <c r="N192" s="10" t="n"/>
      <c r="O192" s="10" t="n"/>
      <c r="P192" s="18">
        <f>IF(OR(K192="",O192=""),"",M192-O192)</f>
        <v/>
      </c>
      <c r="Q192">
        <f>IF(K192="","",IF(AND(N(N192)&gt;0,L192=0),"Jobber visit, no hours logged",IF(AND(L192&gt;0,N192=""),"Enter Jobber visits",IF(AND(L192&gt;0,N(N192)=0),"Hours logged, no Jobber visit",IF(AND(O192&lt;&gt;"",ABS(N(P192))&gt;0.5),"Hours differ from Jobber","")))))</f>
        <v/>
      </c>
    </row>
    <row r="193">
      <c r="K193">
        <f>IF(Sites!A189="","",Sites!A189)</f>
        <v/>
      </c>
      <c r="L193">
        <f>IF(K193="","",COUNTIFS('Hours Log'!$C$2:$C$2001,K193,'Hours Log'!$I$2:$I$2001,$B$3))</f>
        <v/>
      </c>
      <c r="M193" s="18">
        <f>IF(K193="","",SUMIFS('Hours Log'!$G$2:$G$2001,'Hours Log'!$C$2:$C$2001,K193,'Hours Log'!$I$2:$I$2001,$B$3))</f>
        <v/>
      </c>
      <c r="N193" s="10" t="n"/>
      <c r="O193" s="10" t="n"/>
      <c r="P193" s="18">
        <f>IF(OR(K193="",O193=""),"",M193-O193)</f>
        <v/>
      </c>
      <c r="Q193">
        <f>IF(K193="","",IF(AND(N(N193)&gt;0,L193=0),"Jobber visit, no hours logged",IF(AND(L193&gt;0,N193=""),"Enter Jobber visits",IF(AND(L193&gt;0,N(N193)=0),"Hours logged, no Jobber visit",IF(AND(O193&lt;&gt;"",ABS(N(P193))&gt;0.5),"Hours differ from Jobber","")))))</f>
        <v/>
      </c>
    </row>
    <row r="194">
      <c r="K194">
        <f>IF(Sites!A190="","",Sites!A190)</f>
        <v/>
      </c>
      <c r="L194">
        <f>IF(K194="","",COUNTIFS('Hours Log'!$C$2:$C$2001,K194,'Hours Log'!$I$2:$I$2001,$B$3))</f>
        <v/>
      </c>
      <c r="M194" s="18">
        <f>IF(K194="","",SUMIFS('Hours Log'!$G$2:$G$2001,'Hours Log'!$C$2:$C$2001,K194,'Hours Log'!$I$2:$I$2001,$B$3))</f>
        <v/>
      </c>
      <c r="N194" s="10" t="n"/>
      <c r="O194" s="10" t="n"/>
      <c r="P194" s="18">
        <f>IF(OR(K194="",O194=""),"",M194-O194)</f>
        <v/>
      </c>
      <c r="Q194">
        <f>IF(K194="","",IF(AND(N(N194)&gt;0,L194=0),"Jobber visit, no hours logged",IF(AND(L194&gt;0,N194=""),"Enter Jobber visits",IF(AND(L194&gt;0,N(N194)=0),"Hours logged, no Jobber visit",IF(AND(O194&lt;&gt;"",ABS(N(P194))&gt;0.5),"Hours differ from Jobber","")))))</f>
        <v/>
      </c>
    </row>
    <row r="195">
      <c r="K195">
        <f>IF(Sites!A191="","",Sites!A191)</f>
        <v/>
      </c>
      <c r="L195">
        <f>IF(K195="","",COUNTIFS('Hours Log'!$C$2:$C$2001,K195,'Hours Log'!$I$2:$I$2001,$B$3))</f>
        <v/>
      </c>
      <c r="M195" s="18">
        <f>IF(K195="","",SUMIFS('Hours Log'!$G$2:$G$2001,'Hours Log'!$C$2:$C$2001,K195,'Hours Log'!$I$2:$I$2001,$B$3))</f>
        <v/>
      </c>
      <c r="N195" s="10" t="n"/>
      <c r="O195" s="10" t="n"/>
      <c r="P195" s="18">
        <f>IF(OR(K195="",O195=""),"",M195-O195)</f>
        <v/>
      </c>
      <c r="Q195">
        <f>IF(K195="","",IF(AND(N(N195)&gt;0,L195=0),"Jobber visit, no hours logged",IF(AND(L195&gt;0,N195=""),"Enter Jobber visits",IF(AND(L195&gt;0,N(N195)=0),"Hours logged, no Jobber visit",IF(AND(O195&lt;&gt;"",ABS(N(P195))&gt;0.5),"Hours differ from Jobber","")))))</f>
        <v/>
      </c>
    </row>
    <row r="196">
      <c r="K196">
        <f>IF(Sites!A192="","",Sites!A192)</f>
        <v/>
      </c>
      <c r="L196">
        <f>IF(K196="","",COUNTIFS('Hours Log'!$C$2:$C$2001,K196,'Hours Log'!$I$2:$I$2001,$B$3))</f>
        <v/>
      </c>
      <c r="M196" s="18">
        <f>IF(K196="","",SUMIFS('Hours Log'!$G$2:$G$2001,'Hours Log'!$C$2:$C$2001,K196,'Hours Log'!$I$2:$I$2001,$B$3))</f>
        <v/>
      </c>
      <c r="N196" s="10" t="n"/>
      <c r="O196" s="10" t="n"/>
      <c r="P196" s="18">
        <f>IF(OR(K196="",O196=""),"",M196-O196)</f>
        <v/>
      </c>
      <c r="Q196">
        <f>IF(K196="","",IF(AND(N(N196)&gt;0,L196=0),"Jobber visit, no hours logged",IF(AND(L196&gt;0,N196=""),"Enter Jobber visits",IF(AND(L196&gt;0,N(N196)=0),"Hours logged, no Jobber visit",IF(AND(O196&lt;&gt;"",ABS(N(P196))&gt;0.5),"Hours differ from Jobber","")))))</f>
        <v/>
      </c>
    </row>
    <row r="197">
      <c r="K197">
        <f>IF(Sites!A193="","",Sites!A193)</f>
        <v/>
      </c>
      <c r="L197">
        <f>IF(K197="","",COUNTIFS('Hours Log'!$C$2:$C$2001,K197,'Hours Log'!$I$2:$I$2001,$B$3))</f>
        <v/>
      </c>
      <c r="M197" s="18">
        <f>IF(K197="","",SUMIFS('Hours Log'!$G$2:$G$2001,'Hours Log'!$C$2:$C$2001,K197,'Hours Log'!$I$2:$I$2001,$B$3))</f>
        <v/>
      </c>
      <c r="N197" s="10" t="n"/>
      <c r="O197" s="10" t="n"/>
      <c r="P197" s="18">
        <f>IF(OR(K197="",O197=""),"",M197-O197)</f>
        <v/>
      </c>
      <c r="Q197">
        <f>IF(K197="","",IF(AND(N(N197)&gt;0,L197=0),"Jobber visit, no hours logged",IF(AND(L197&gt;0,N197=""),"Enter Jobber visits",IF(AND(L197&gt;0,N(N197)=0),"Hours logged, no Jobber visit",IF(AND(O197&lt;&gt;"",ABS(N(P197))&gt;0.5),"Hours differ from Jobber","")))))</f>
        <v/>
      </c>
    </row>
    <row r="198">
      <c r="K198">
        <f>IF(Sites!A194="","",Sites!A194)</f>
        <v/>
      </c>
      <c r="L198">
        <f>IF(K198="","",COUNTIFS('Hours Log'!$C$2:$C$2001,K198,'Hours Log'!$I$2:$I$2001,$B$3))</f>
        <v/>
      </c>
      <c r="M198" s="18">
        <f>IF(K198="","",SUMIFS('Hours Log'!$G$2:$G$2001,'Hours Log'!$C$2:$C$2001,K198,'Hours Log'!$I$2:$I$2001,$B$3))</f>
        <v/>
      </c>
      <c r="N198" s="10" t="n"/>
      <c r="O198" s="10" t="n"/>
      <c r="P198" s="18">
        <f>IF(OR(K198="",O198=""),"",M198-O198)</f>
        <v/>
      </c>
      <c r="Q198">
        <f>IF(K198="","",IF(AND(N(N198)&gt;0,L198=0),"Jobber visit, no hours logged",IF(AND(L198&gt;0,N198=""),"Enter Jobber visits",IF(AND(L198&gt;0,N(N198)=0),"Hours logged, no Jobber visit",IF(AND(O198&lt;&gt;"",ABS(N(P198))&gt;0.5),"Hours differ from Jobber","")))))</f>
        <v/>
      </c>
    </row>
    <row r="199">
      <c r="K199">
        <f>IF(Sites!A195="","",Sites!A195)</f>
        <v/>
      </c>
      <c r="L199">
        <f>IF(K199="","",COUNTIFS('Hours Log'!$C$2:$C$2001,K199,'Hours Log'!$I$2:$I$2001,$B$3))</f>
        <v/>
      </c>
      <c r="M199" s="18">
        <f>IF(K199="","",SUMIFS('Hours Log'!$G$2:$G$2001,'Hours Log'!$C$2:$C$2001,K199,'Hours Log'!$I$2:$I$2001,$B$3))</f>
        <v/>
      </c>
      <c r="N199" s="10" t="n"/>
      <c r="O199" s="10" t="n"/>
      <c r="P199" s="18">
        <f>IF(OR(K199="",O199=""),"",M199-O199)</f>
        <v/>
      </c>
      <c r="Q199">
        <f>IF(K199="","",IF(AND(N(N199)&gt;0,L199=0),"Jobber visit, no hours logged",IF(AND(L199&gt;0,N199=""),"Enter Jobber visits",IF(AND(L199&gt;0,N(N199)=0),"Hours logged, no Jobber visit",IF(AND(O199&lt;&gt;"",ABS(N(P199))&gt;0.5),"Hours differ from Jobber","")))))</f>
        <v/>
      </c>
    </row>
    <row r="200">
      <c r="K200">
        <f>IF(Sites!A196="","",Sites!A196)</f>
        <v/>
      </c>
      <c r="L200">
        <f>IF(K200="","",COUNTIFS('Hours Log'!$C$2:$C$2001,K200,'Hours Log'!$I$2:$I$2001,$B$3))</f>
        <v/>
      </c>
      <c r="M200" s="18">
        <f>IF(K200="","",SUMIFS('Hours Log'!$G$2:$G$2001,'Hours Log'!$C$2:$C$2001,K200,'Hours Log'!$I$2:$I$2001,$B$3))</f>
        <v/>
      </c>
      <c r="N200" s="10" t="n"/>
      <c r="O200" s="10" t="n"/>
      <c r="P200" s="18">
        <f>IF(OR(K200="",O200=""),"",M200-O200)</f>
        <v/>
      </c>
      <c r="Q200">
        <f>IF(K200="","",IF(AND(N(N200)&gt;0,L200=0),"Jobber visit, no hours logged",IF(AND(L200&gt;0,N200=""),"Enter Jobber visits",IF(AND(L200&gt;0,N(N200)=0),"Hours logged, no Jobber visit",IF(AND(O200&lt;&gt;"",ABS(N(P200))&gt;0.5),"Hours differ from Jobber","")))))</f>
        <v/>
      </c>
    </row>
    <row r="201">
      <c r="K201">
        <f>IF(Sites!A197="","",Sites!A197)</f>
        <v/>
      </c>
      <c r="L201">
        <f>IF(K201="","",COUNTIFS('Hours Log'!$C$2:$C$2001,K201,'Hours Log'!$I$2:$I$2001,$B$3))</f>
        <v/>
      </c>
      <c r="M201" s="18">
        <f>IF(K201="","",SUMIFS('Hours Log'!$G$2:$G$2001,'Hours Log'!$C$2:$C$2001,K201,'Hours Log'!$I$2:$I$2001,$B$3))</f>
        <v/>
      </c>
      <c r="N201" s="10" t="n"/>
      <c r="O201" s="10" t="n"/>
      <c r="P201" s="18">
        <f>IF(OR(K201="",O201=""),"",M201-O201)</f>
        <v/>
      </c>
      <c r="Q201">
        <f>IF(K201="","",IF(AND(N(N201)&gt;0,L201=0),"Jobber visit, no hours logged",IF(AND(L201&gt;0,N201=""),"Enter Jobber visits",IF(AND(L201&gt;0,N(N201)=0),"Hours logged, no Jobber visit",IF(AND(O201&lt;&gt;"",ABS(N(P201))&gt;0.5),"Hours differ from Jobber","")))))</f>
        <v/>
      </c>
    </row>
    <row r="202">
      <c r="K202">
        <f>IF(Sites!A198="","",Sites!A198)</f>
        <v/>
      </c>
      <c r="L202">
        <f>IF(K202="","",COUNTIFS('Hours Log'!$C$2:$C$2001,K202,'Hours Log'!$I$2:$I$2001,$B$3))</f>
        <v/>
      </c>
      <c r="M202" s="18">
        <f>IF(K202="","",SUMIFS('Hours Log'!$G$2:$G$2001,'Hours Log'!$C$2:$C$2001,K202,'Hours Log'!$I$2:$I$2001,$B$3))</f>
        <v/>
      </c>
      <c r="N202" s="10" t="n"/>
      <c r="O202" s="10" t="n"/>
      <c r="P202" s="18">
        <f>IF(OR(K202="",O202=""),"",M202-O202)</f>
        <v/>
      </c>
      <c r="Q202">
        <f>IF(K202="","",IF(AND(N(N202)&gt;0,L202=0),"Jobber visit, no hours logged",IF(AND(L202&gt;0,N202=""),"Enter Jobber visits",IF(AND(L202&gt;0,N(N202)=0),"Hours logged, no Jobber visit",IF(AND(O202&lt;&gt;"",ABS(N(P202))&gt;0.5),"Hours differ from Jobber","")))))</f>
        <v/>
      </c>
    </row>
    <row r="203">
      <c r="K203">
        <f>IF(Sites!A199="","",Sites!A199)</f>
        <v/>
      </c>
      <c r="L203">
        <f>IF(K203="","",COUNTIFS('Hours Log'!$C$2:$C$2001,K203,'Hours Log'!$I$2:$I$2001,$B$3))</f>
        <v/>
      </c>
      <c r="M203" s="18">
        <f>IF(K203="","",SUMIFS('Hours Log'!$G$2:$G$2001,'Hours Log'!$C$2:$C$2001,K203,'Hours Log'!$I$2:$I$2001,$B$3))</f>
        <v/>
      </c>
      <c r="N203" s="10" t="n"/>
      <c r="O203" s="10" t="n"/>
      <c r="P203" s="18">
        <f>IF(OR(K203="",O203=""),"",M203-O203)</f>
        <v/>
      </c>
      <c r="Q203">
        <f>IF(K203="","",IF(AND(N(N203)&gt;0,L203=0),"Jobber visit, no hours logged",IF(AND(L203&gt;0,N203=""),"Enter Jobber visits",IF(AND(L203&gt;0,N(N203)=0),"Hours logged, no Jobber visit",IF(AND(O203&lt;&gt;"",ABS(N(P203))&gt;0.5),"Hours differ from Jobber","")))))</f>
        <v/>
      </c>
    </row>
    <row r="204">
      <c r="K204">
        <f>IF(Sites!A200="","",Sites!A200)</f>
        <v/>
      </c>
      <c r="L204">
        <f>IF(K204="","",COUNTIFS('Hours Log'!$C$2:$C$2001,K204,'Hours Log'!$I$2:$I$2001,$B$3))</f>
        <v/>
      </c>
      <c r="M204" s="18">
        <f>IF(K204="","",SUMIFS('Hours Log'!$G$2:$G$2001,'Hours Log'!$C$2:$C$2001,K204,'Hours Log'!$I$2:$I$2001,$B$3))</f>
        <v/>
      </c>
      <c r="N204" s="10" t="n"/>
      <c r="O204" s="10" t="n"/>
      <c r="P204" s="18">
        <f>IF(OR(K204="",O204=""),"",M204-O204)</f>
        <v/>
      </c>
      <c r="Q204">
        <f>IF(K204="","",IF(AND(N(N204)&gt;0,L204=0),"Jobber visit, no hours logged",IF(AND(L204&gt;0,N204=""),"Enter Jobber visits",IF(AND(L204&gt;0,N(N204)=0),"Hours logged, no Jobber visit",IF(AND(O204&lt;&gt;"",ABS(N(P204))&gt;0.5),"Hours differ from Jobber","")))))</f>
        <v/>
      </c>
    </row>
    <row r="205">
      <c r="K205">
        <f>IF(Sites!A201="","",Sites!A201)</f>
        <v/>
      </c>
      <c r="L205">
        <f>IF(K205="","",COUNTIFS('Hours Log'!$C$2:$C$2001,K205,'Hours Log'!$I$2:$I$2001,$B$3))</f>
        <v/>
      </c>
      <c r="M205" s="18">
        <f>IF(K205="","",SUMIFS('Hours Log'!$G$2:$G$2001,'Hours Log'!$C$2:$C$2001,K205,'Hours Log'!$I$2:$I$2001,$B$3))</f>
        <v/>
      </c>
      <c r="N205" s="10" t="n"/>
      <c r="O205" s="10" t="n"/>
      <c r="P205" s="18">
        <f>IF(OR(K205="",O205=""),"",M205-O205)</f>
        <v/>
      </c>
      <c r="Q205">
        <f>IF(K205="","",IF(AND(N(N205)&gt;0,L205=0),"Jobber visit, no hours logged",IF(AND(L205&gt;0,N205=""),"Enter Jobber visits",IF(AND(L205&gt;0,N(N205)=0),"Hours logged, no Jobber visit",IF(AND(O205&lt;&gt;"",ABS(N(P205))&gt;0.5),"Hours differ from Jobber","")))))</f>
        <v/>
      </c>
    </row>
    <row r="206">
      <c r="K206">
        <f>IF(Sites!A202="","",Sites!A202)</f>
        <v/>
      </c>
      <c r="L206">
        <f>IF(K206="","",COUNTIFS('Hours Log'!$C$2:$C$2001,K206,'Hours Log'!$I$2:$I$2001,$B$3))</f>
        <v/>
      </c>
      <c r="M206" s="18">
        <f>IF(K206="","",SUMIFS('Hours Log'!$G$2:$G$2001,'Hours Log'!$C$2:$C$2001,K206,'Hours Log'!$I$2:$I$2001,$B$3))</f>
        <v/>
      </c>
      <c r="N206" s="10" t="n"/>
      <c r="O206" s="10" t="n"/>
      <c r="P206" s="18">
        <f>IF(OR(K206="",O206=""),"",M206-O206)</f>
        <v/>
      </c>
      <c r="Q206">
        <f>IF(K206="","",IF(AND(N(N206)&gt;0,L206=0),"Jobber visit, no hours logged",IF(AND(L206&gt;0,N206=""),"Enter Jobber visits",IF(AND(L206&gt;0,N(N206)=0),"Hours logged, no Jobber visit",IF(AND(O206&lt;&gt;"",ABS(N(P206))&gt;0.5),"Hours differ from Jobber","")))))</f>
        <v/>
      </c>
    </row>
    <row r="207">
      <c r="K207">
        <f>IF(Sites!A203="","",Sites!A203)</f>
        <v/>
      </c>
      <c r="L207">
        <f>IF(K207="","",COUNTIFS('Hours Log'!$C$2:$C$2001,K207,'Hours Log'!$I$2:$I$2001,$B$3))</f>
        <v/>
      </c>
      <c r="M207" s="18">
        <f>IF(K207="","",SUMIFS('Hours Log'!$G$2:$G$2001,'Hours Log'!$C$2:$C$2001,K207,'Hours Log'!$I$2:$I$2001,$B$3))</f>
        <v/>
      </c>
      <c r="N207" s="10" t="n"/>
      <c r="O207" s="10" t="n"/>
      <c r="P207" s="18">
        <f>IF(OR(K207="",O207=""),"",M207-O207)</f>
        <v/>
      </c>
      <c r="Q207">
        <f>IF(K207="","",IF(AND(N(N207)&gt;0,L207=0),"Jobber visit, no hours logged",IF(AND(L207&gt;0,N207=""),"Enter Jobber visits",IF(AND(L207&gt;0,N(N207)=0),"Hours logged, no Jobber visit",IF(AND(O207&lt;&gt;"",ABS(N(P207))&gt;0.5),"Hours differ from Jobber","")))))</f>
        <v/>
      </c>
    </row>
    <row r="208">
      <c r="K208">
        <f>IF(Sites!A204="","",Sites!A204)</f>
        <v/>
      </c>
      <c r="L208">
        <f>IF(K208="","",COUNTIFS('Hours Log'!$C$2:$C$2001,K208,'Hours Log'!$I$2:$I$2001,$B$3))</f>
        <v/>
      </c>
      <c r="M208" s="18">
        <f>IF(K208="","",SUMIFS('Hours Log'!$G$2:$G$2001,'Hours Log'!$C$2:$C$2001,K208,'Hours Log'!$I$2:$I$2001,$B$3))</f>
        <v/>
      </c>
      <c r="N208" s="10" t="n"/>
      <c r="O208" s="10" t="n"/>
      <c r="P208" s="18">
        <f>IF(OR(K208="",O208=""),"",M208-O208)</f>
        <v/>
      </c>
      <c r="Q208">
        <f>IF(K208="","",IF(AND(N(N208)&gt;0,L208=0),"Jobber visit, no hours logged",IF(AND(L208&gt;0,N208=""),"Enter Jobber visits",IF(AND(L208&gt;0,N(N208)=0),"Hours logged, no Jobber visit",IF(AND(O208&lt;&gt;"",ABS(N(P208))&gt;0.5),"Hours differ from Jobber","")))))</f>
        <v/>
      </c>
    </row>
    <row r="209">
      <c r="K209">
        <f>IF(Sites!A205="","",Sites!A205)</f>
        <v/>
      </c>
      <c r="L209">
        <f>IF(K209="","",COUNTIFS('Hours Log'!$C$2:$C$2001,K209,'Hours Log'!$I$2:$I$2001,$B$3))</f>
        <v/>
      </c>
      <c r="M209" s="18">
        <f>IF(K209="","",SUMIFS('Hours Log'!$G$2:$G$2001,'Hours Log'!$C$2:$C$2001,K209,'Hours Log'!$I$2:$I$2001,$B$3))</f>
        <v/>
      </c>
      <c r="N209" s="10" t="n"/>
      <c r="O209" s="10" t="n"/>
      <c r="P209" s="18">
        <f>IF(OR(K209="",O209=""),"",M209-O209)</f>
        <v/>
      </c>
      <c r="Q209">
        <f>IF(K209="","",IF(AND(N(N209)&gt;0,L209=0),"Jobber visit, no hours logged",IF(AND(L209&gt;0,N209=""),"Enter Jobber visits",IF(AND(L209&gt;0,N(N209)=0),"Hours logged, no Jobber visit",IF(AND(O209&lt;&gt;"",ABS(N(P209))&gt;0.5),"Hours differ from Jobber","")))))</f>
        <v/>
      </c>
    </row>
    <row r="210">
      <c r="K210">
        <f>IF(Sites!A206="","",Sites!A206)</f>
        <v/>
      </c>
      <c r="L210">
        <f>IF(K210="","",COUNTIFS('Hours Log'!$C$2:$C$2001,K210,'Hours Log'!$I$2:$I$2001,$B$3))</f>
        <v/>
      </c>
      <c r="M210" s="18">
        <f>IF(K210="","",SUMIFS('Hours Log'!$G$2:$G$2001,'Hours Log'!$C$2:$C$2001,K210,'Hours Log'!$I$2:$I$2001,$B$3))</f>
        <v/>
      </c>
      <c r="N210" s="10" t="n"/>
      <c r="O210" s="10" t="n"/>
      <c r="P210" s="18">
        <f>IF(OR(K210="",O210=""),"",M210-O210)</f>
        <v/>
      </c>
      <c r="Q210">
        <f>IF(K210="","",IF(AND(N(N210)&gt;0,L210=0),"Jobber visit, no hours logged",IF(AND(L210&gt;0,N210=""),"Enter Jobber visits",IF(AND(L210&gt;0,N(N210)=0),"Hours logged, no Jobber visit",IF(AND(O210&lt;&gt;"",ABS(N(P210))&gt;0.5),"Hours differ from Jobber","")))))</f>
        <v/>
      </c>
    </row>
    <row r="211">
      <c r="K211">
        <f>IF(Sites!A207="","",Sites!A207)</f>
        <v/>
      </c>
      <c r="L211">
        <f>IF(K211="","",COUNTIFS('Hours Log'!$C$2:$C$2001,K211,'Hours Log'!$I$2:$I$2001,$B$3))</f>
        <v/>
      </c>
      <c r="M211" s="18">
        <f>IF(K211="","",SUMIFS('Hours Log'!$G$2:$G$2001,'Hours Log'!$C$2:$C$2001,K211,'Hours Log'!$I$2:$I$2001,$B$3))</f>
        <v/>
      </c>
      <c r="N211" s="10" t="n"/>
      <c r="O211" s="10" t="n"/>
      <c r="P211" s="18">
        <f>IF(OR(K211="",O211=""),"",M211-O211)</f>
        <v/>
      </c>
      <c r="Q211">
        <f>IF(K211="","",IF(AND(N(N211)&gt;0,L211=0),"Jobber visit, no hours logged",IF(AND(L211&gt;0,N211=""),"Enter Jobber visits",IF(AND(L211&gt;0,N(N211)=0),"Hours logged, no Jobber visit",IF(AND(O211&lt;&gt;"",ABS(N(P211))&gt;0.5),"Hours differ from Jobber","")))))</f>
        <v/>
      </c>
    </row>
    <row r="212">
      <c r="K212">
        <f>IF(Sites!A208="","",Sites!A208)</f>
        <v/>
      </c>
      <c r="L212">
        <f>IF(K212="","",COUNTIFS('Hours Log'!$C$2:$C$2001,K212,'Hours Log'!$I$2:$I$2001,$B$3))</f>
        <v/>
      </c>
      <c r="M212" s="18">
        <f>IF(K212="","",SUMIFS('Hours Log'!$G$2:$G$2001,'Hours Log'!$C$2:$C$2001,K212,'Hours Log'!$I$2:$I$2001,$B$3))</f>
        <v/>
      </c>
      <c r="N212" s="10" t="n"/>
      <c r="O212" s="10" t="n"/>
      <c r="P212" s="18">
        <f>IF(OR(K212="",O212=""),"",M212-O212)</f>
        <v/>
      </c>
      <c r="Q212">
        <f>IF(K212="","",IF(AND(N(N212)&gt;0,L212=0),"Jobber visit, no hours logged",IF(AND(L212&gt;0,N212=""),"Enter Jobber visits",IF(AND(L212&gt;0,N(N212)=0),"Hours logged, no Jobber visit",IF(AND(O212&lt;&gt;"",ABS(N(P212))&gt;0.5),"Hours differ from Jobber","")))))</f>
        <v/>
      </c>
    </row>
    <row r="213">
      <c r="K213">
        <f>IF(Sites!A209="","",Sites!A209)</f>
        <v/>
      </c>
      <c r="L213">
        <f>IF(K213="","",COUNTIFS('Hours Log'!$C$2:$C$2001,K213,'Hours Log'!$I$2:$I$2001,$B$3))</f>
        <v/>
      </c>
      <c r="M213" s="18">
        <f>IF(K213="","",SUMIFS('Hours Log'!$G$2:$G$2001,'Hours Log'!$C$2:$C$2001,K213,'Hours Log'!$I$2:$I$2001,$B$3))</f>
        <v/>
      </c>
      <c r="N213" s="10" t="n"/>
      <c r="O213" s="10" t="n"/>
      <c r="P213" s="18">
        <f>IF(OR(K213="",O213=""),"",M213-O213)</f>
        <v/>
      </c>
      <c r="Q213">
        <f>IF(K213="","",IF(AND(N(N213)&gt;0,L213=0),"Jobber visit, no hours logged",IF(AND(L213&gt;0,N213=""),"Enter Jobber visits",IF(AND(L213&gt;0,N(N213)=0),"Hours logged, no Jobber visit",IF(AND(O213&lt;&gt;"",ABS(N(P213))&gt;0.5),"Hours differ from Jobber","")))))</f>
        <v/>
      </c>
    </row>
    <row r="214">
      <c r="K214">
        <f>IF(Sites!A210="","",Sites!A210)</f>
        <v/>
      </c>
      <c r="L214">
        <f>IF(K214="","",COUNTIFS('Hours Log'!$C$2:$C$2001,K214,'Hours Log'!$I$2:$I$2001,$B$3))</f>
        <v/>
      </c>
      <c r="M214" s="18">
        <f>IF(K214="","",SUMIFS('Hours Log'!$G$2:$G$2001,'Hours Log'!$C$2:$C$2001,K214,'Hours Log'!$I$2:$I$2001,$B$3))</f>
        <v/>
      </c>
      <c r="N214" s="10" t="n"/>
      <c r="O214" s="10" t="n"/>
      <c r="P214" s="18">
        <f>IF(OR(K214="",O214=""),"",M214-O214)</f>
        <v/>
      </c>
      <c r="Q214">
        <f>IF(K214="","",IF(AND(N(N214)&gt;0,L214=0),"Jobber visit, no hours logged",IF(AND(L214&gt;0,N214=""),"Enter Jobber visits",IF(AND(L214&gt;0,N(N214)=0),"Hours logged, no Jobber visit",IF(AND(O214&lt;&gt;"",ABS(N(P214))&gt;0.5),"Hours differ from Jobber","")))))</f>
        <v/>
      </c>
    </row>
    <row r="215">
      <c r="K215">
        <f>IF(Sites!A211="","",Sites!A211)</f>
        <v/>
      </c>
      <c r="L215">
        <f>IF(K215="","",COUNTIFS('Hours Log'!$C$2:$C$2001,K215,'Hours Log'!$I$2:$I$2001,$B$3))</f>
        <v/>
      </c>
      <c r="M215" s="18">
        <f>IF(K215="","",SUMIFS('Hours Log'!$G$2:$G$2001,'Hours Log'!$C$2:$C$2001,K215,'Hours Log'!$I$2:$I$2001,$B$3))</f>
        <v/>
      </c>
      <c r="N215" s="10" t="n"/>
      <c r="O215" s="10" t="n"/>
      <c r="P215" s="18">
        <f>IF(OR(K215="",O215=""),"",M215-O215)</f>
        <v/>
      </c>
      <c r="Q215">
        <f>IF(K215="","",IF(AND(N(N215)&gt;0,L215=0),"Jobber visit, no hours logged",IF(AND(L215&gt;0,N215=""),"Enter Jobber visits",IF(AND(L215&gt;0,N(N215)=0),"Hours logged, no Jobber visit",IF(AND(O215&lt;&gt;"",ABS(N(P215))&gt;0.5),"Hours differ from Jobber","")))))</f>
        <v/>
      </c>
    </row>
    <row r="216">
      <c r="K216">
        <f>IF(Sites!A212="","",Sites!A212)</f>
        <v/>
      </c>
      <c r="L216">
        <f>IF(K216="","",COUNTIFS('Hours Log'!$C$2:$C$2001,K216,'Hours Log'!$I$2:$I$2001,$B$3))</f>
        <v/>
      </c>
      <c r="M216" s="18">
        <f>IF(K216="","",SUMIFS('Hours Log'!$G$2:$G$2001,'Hours Log'!$C$2:$C$2001,K216,'Hours Log'!$I$2:$I$2001,$B$3))</f>
        <v/>
      </c>
      <c r="N216" s="10" t="n"/>
      <c r="O216" s="10" t="n"/>
      <c r="P216" s="18">
        <f>IF(OR(K216="",O216=""),"",M216-O216)</f>
        <v/>
      </c>
      <c r="Q216">
        <f>IF(K216="","",IF(AND(N(N216)&gt;0,L216=0),"Jobber visit, no hours logged",IF(AND(L216&gt;0,N216=""),"Enter Jobber visits",IF(AND(L216&gt;0,N(N216)=0),"Hours logged, no Jobber visit",IF(AND(O216&lt;&gt;"",ABS(N(P216))&gt;0.5),"Hours differ from Jobber","")))))</f>
        <v/>
      </c>
    </row>
    <row r="217">
      <c r="K217">
        <f>IF(Sites!A213="","",Sites!A213)</f>
        <v/>
      </c>
      <c r="L217">
        <f>IF(K217="","",COUNTIFS('Hours Log'!$C$2:$C$2001,K217,'Hours Log'!$I$2:$I$2001,$B$3))</f>
        <v/>
      </c>
      <c r="M217" s="18">
        <f>IF(K217="","",SUMIFS('Hours Log'!$G$2:$G$2001,'Hours Log'!$C$2:$C$2001,K217,'Hours Log'!$I$2:$I$2001,$B$3))</f>
        <v/>
      </c>
      <c r="N217" s="10" t="n"/>
      <c r="O217" s="10" t="n"/>
      <c r="P217" s="18">
        <f>IF(OR(K217="",O217=""),"",M217-O217)</f>
        <v/>
      </c>
      <c r="Q217">
        <f>IF(K217="","",IF(AND(N(N217)&gt;0,L217=0),"Jobber visit, no hours logged",IF(AND(L217&gt;0,N217=""),"Enter Jobber visits",IF(AND(L217&gt;0,N(N217)=0),"Hours logged, no Jobber visit",IF(AND(O217&lt;&gt;"",ABS(N(P217))&gt;0.5),"Hours differ from Jobber","")))))</f>
        <v/>
      </c>
    </row>
    <row r="218">
      <c r="K218">
        <f>IF(Sites!A214="","",Sites!A214)</f>
        <v/>
      </c>
      <c r="L218">
        <f>IF(K218="","",COUNTIFS('Hours Log'!$C$2:$C$2001,K218,'Hours Log'!$I$2:$I$2001,$B$3))</f>
        <v/>
      </c>
      <c r="M218" s="18">
        <f>IF(K218="","",SUMIFS('Hours Log'!$G$2:$G$2001,'Hours Log'!$C$2:$C$2001,K218,'Hours Log'!$I$2:$I$2001,$B$3))</f>
        <v/>
      </c>
      <c r="N218" s="10" t="n"/>
      <c r="O218" s="10" t="n"/>
      <c r="P218" s="18">
        <f>IF(OR(K218="",O218=""),"",M218-O218)</f>
        <v/>
      </c>
      <c r="Q218">
        <f>IF(K218="","",IF(AND(N(N218)&gt;0,L218=0),"Jobber visit, no hours logged",IF(AND(L218&gt;0,N218=""),"Enter Jobber visits",IF(AND(L218&gt;0,N(N218)=0),"Hours logged, no Jobber visit",IF(AND(O218&lt;&gt;"",ABS(N(P218))&gt;0.5),"Hours differ from Jobber","")))))</f>
        <v/>
      </c>
    </row>
    <row r="219">
      <c r="K219">
        <f>IF(Sites!A215="","",Sites!A215)</f>
        <v/>
      </c>
      <c r="L219">
        <f>IF(K219="","",COUNTIFS('Hours Log'!$C$2:$C$2001,K219,'Hours Log'!$I$2:$I$2001,$B$3))</f>
        <v/>
      </c>
      <c r="M219" s="18">
        <f>IF(K219="","",SUMIFS('Hours Log'!$G$2:$G$2001,'Hours Log'!$C$2:$C$2001,K219,'Hours Log'!$I$2:$I$2001,$B$3))</f>
        <v/>
      </c>
      <c r="N219" s="10" t="n"/>
      <c r="O219" s="10" t="n"/>
      <c r="P219" s="18">
        <f>IF(OR(K219="",O219=""),"",M219-O219)</f>
        <v/>
      </c>
      <c r="Q219">
        <f>IF(K219="","",IF(AND(N(N219)&gt;0,L219=0),"Jobber visit, no hours logged",IF(AND(L219&gt;0,N219=""),"Enter Jobber visits",IF(AND(L219&gt;0,N(N219)=0),"Hours logged, no Jobber visit",IF(AND(O219&lt;&gt;"",ABS(N(P219))&gt;0.5),"Hours differ from Jobber","")))))</f>
        <v/>
      </c>
    </row>
    <row r="220">
      <c r="K220">
        <f>IF(Sites!A216="","",Sites!A216)</f>
        <v/>
      </c>
      <c r="L220">
        <f>IF(K220="","",COUNTIFS('Hours Log'!$C$2:$C$2001,K220,'Hours Log'!$I$2:$I$2001,$B$3))</f>
        <v/>
      </c>
      <c r="M220" s="18">
        <f>IF(K220="","",SUMIFS('Hours Log'!$G$2:$G$2001,'Hours Log'!$C$2:$C$2001,K220,'Hours Log'!$I$2:$I$2001,$B$3))</f>
        <v/>
      </c>
      <c r="N220" s="10" t="n"/>
      <c r="O220" s="10" t="n"/>
      <c r="P220" s="18">
        <f>IF(OR(K220="",O220=""),"",M220-O220)</f>
        <v/>
      </c>
      <c r="Q220">
        <f>IF(K220="","",IF(AND(N(N220)&gt;0,L220=0),"Jobber visit, no hours logged",IF(AND(L220&gt;0,N220=""),"Enter Jobber visits",IF(AND(L220&gt;0,N(N220)=0),"Hours logged, no Jobber visit",IF(AND(O220&lt;&gt;"",ABS(N(P220))&gt;0.5),"Hours differ from Jobber","")))))</f>
        <v/>
      </c>
    </row>
    <row r="221">
      <c r="K221">
        <f>IF(Sites!A217="","",Sites!A217)</f>
        <v/>
      </c>
      <c r="L221">
        <f>IF(K221="","",COUNTIFS('Hours Log'!$C$2:$C$2001,K221,'Hours Log'!$I$2:$I$2001,$B$3))</f>
        <v/>
      </c>
      <c r="M221" s="18">
        <f>IF(K221="","",SUMIFS('Hours Log'!$G$2:$G$2001,'Hours Log'!$C$2:$C$2001,K221,'Hours Log'!$I$2:$I$2001,$B$3))</f>
        <v/>
      </c>
      <c r="N221" s="10" t="n"/>
      <c r="O221" s="10" t="n"/>
      <c r="P221" s="18">
        <f>IF(OR(K221="",O221=""),"",M221-O221)</f>
        <v/>
      </c>
      <c r="Q221">
        <f>IF(K221="","",IF(AND(N(N221)&gt;0,L221=0),"Jobber visit, no hours logged",IF(AND(L221&gt;0,N221=""),"Enter Jobber visits",IF(AND(L221&gt;0,N(N221)=0),"Hours logged, no Jobber visit",IF(AND(O221&lt;&gt;"",ABS(N(P221))&gt;0.5),"Hours differ from Jobber","")))))</f>
        <v/>
      </c>
    </row>
    <row r="222">
      <c r="K222">
        <f>IF(Sites!A218="","",Sites!A218)</f>
        <v/>
      </c>
      <c r="L222">
        <f>IF(K222="","",COUNTIFS('Hours Log'!$C$2:$C$2001,K222,'Hours Log'!$I$2:$I$2001,$B$3))</f>
        <v/>
      </c>
      <c r="M222" s="18">
        <f>IF(K222="","",SUMIFS('Hours Log'!$G$2:$G$2001,'Hours Log'!$C$2:$C$2001,K222,'Hours Log'!$I$2:$I$2001,$B$3))</f>
        <v/>
      </c>
      <c r="N222" s="10" t="n"/>
      <c r="O222" s="10" t="n"/>
      <c r="P222" s="18">
        <f>IF(OR(K222="",O222=""),"",M222-O222)</f>
        <v/>
      </c>
      <c r="Q222">
        <f>IF(K222="","",IF(AND(N(N222)&gt;0,L222=0),"Jobber visit, no hours logged",IF(AND(L222&gt;0,N222=""),"Enter Jobber visits",IF(AND(L222&gt;0,N(N222)=0),"Hours logged, no Jobber visit",IF(AND(O222&lt;&gt;"",ABS(N(P222))&gt;0.5),"Hours differ from Jobber","")))))</f>
        <v/>
      </c>
    </row>
    <row r="223">
      <c r="K223">
        <f>IF(Sites!A219="","",Sites!A219)</f>
        <v/>
      </c>
      <c r="L223">
        <f>IF(K223="","",COUNTIFS('Hours Log'!$C$2:$C$2001,K223,'Hours Log'!$I$2:$I$2001,$B$3))</f>
        <v/>
      </c>
      <c r="M223" s="18">
        <f>IF(K223="","",SUMIFS('Hours Log'!$G$2:$G$2001,'Hours Log'!$C$2:$C$2001,K223,'Hours Log'!$I$2:$I$2001,$B$3))</f>
        <v/>
      </c>
      <c r="N223" s="10" t="n"/>
      <c r="O223" s="10" t="n"/>
      <c r="P223" s="18">
        <f>IF(OR(K223="",O223=""),"",M223-O223)</f>
        <v/>
      </c>
      <c r="Q223">
        <f>IF(K223="","",IF(AND(N(N223)&gt;0,L223=0),"Jobber visit, no hours logged",IF(AND(L223&gt;0,N223=""),"Enter Jobber visits",IF(AND(L223&gt;0,N(N223)=0),"Hours logged, no Jobber visit",IF(AND(O223&lt;&gt;"",ABS(N(P223))&gt;0.5),"Hours differ from Jobber","")))))</f>
        <v/>
      </c>
    </row>
    <row r="224">
      <c r="K224">
        <f>IF(Sites!A220="","",Sites!A220)</f>
        <v/>
      </c>
      <c r="L224">
        <f>IF(K224="","",COUNTIFS('Hours Log'!$C$2:$C$2001,K224,'Hours Log'!$I$2:$I$2001,$B$3))</f>
        <v/>
      </c>
      <c r="M224" s="18">
        <f>IF(K224="","",SUMIFS('Hours Log'!$G$2:$G$2001,'Hours Log'!$C$2:$C$2001,K224,'Hours Log'!$I$2:$I$2001,$B$3))</f>
        <v/>
      </c>
      <c r="N224" s="10" t="n"/>
      <c r="O224" s="10" t="n"/>
      <c r="P224" s="18">
        <f>IF(OR(K224="",O224=""),"",M224-O224)</f>
        <v/>
      </c>
      <c r="Q224">
        <f>IF(K224="","",IF(AND(N(N224)&gt;0,L224=0),"Jobber visit, no hours logged",IF(AND(L224&gt;0,N224=""),"Enter Jobber visits",IF(AND(L224&gt;0,N(N224)=0),"Hours logged, no Jobber visit",IF(AND(O224&lt;&gt;"",ABS(N(P224))&gt;0.5),"Hours differ from Jobber","")))))</f>
        <v/>
      </c>
    </row>
    <row r="225">
      <c r="K225">
        <f>IF(Sites!A221="","",Sites!A221)</f>
        <v/>
      </c>
      <c r="L225">
        <f>IF(K225="","",COUNTIFS('Hours Log'!$C$2:$C$2001,K225,'Hours Log'!$I$2:$I$2001,$B$3))</f>
        <v/>
      </c>
      <c r="M225" s="18">
        <f>IF(K225="","",SUMIFS('Hours Log'!$G$2:$G$2001,'Hours Log'!$C$2:$C$2001,K225,'Hours Log'!$I$2:$I$2001,$B$3))</f>
        <v/>
      </c>
      <c r="N225" s="10" t="n"/>
      <c r="O225" s="10" t="n"/>
      <c r="P225" s="18">
        <f>IF(OR(K225="",O225=""),"",M225-O225)</f>
        <v/>
      </c>
      <c r="Q225">
        <f>IF(K225="","",IF(AND(N(N225)&gt;0,L225=0),"Jobber visit, no hours logged",IF(AND(L225&gt;0,N225=""),"Enter Jobber visits",IF(AND(L225&gt;0,N(N225)=0),"Hours logged, no Jobber visit",IF(AND(O225&lt;&gt;"",ABS(N(P225))&gt;0.5),"Hours differ from Jobber","")))))</f>
        <v/>
      </c>
    </row>
    <row r="226">
      <c r="K226">
        <f>IF(Sites!A222="","",Sites!A222)</f>
        <v/>
      </c>
      <c r="L226">
        <f>IF(K226="","",COUNTIFS('Hours Log'!$C$2:$C$2001,K226,'Hours Log'!$I$2:$I$2001,$B$3))</f>
        <v/>
      </c>
      <c r="M226" s="18">
        <f>IF(K226="","",SUMIFS('Hours Log'!$G$2:$G$2001,'Hours Log'!$C$2:$C$2001,K226,'Hours Log'!$I$2:$I$2001,$B$3))</f>
        <v/>
      </c>
      <c r="N226" s="10" t="n"/>
      <c r="O226" s="10" t="n"/>
      <c r="P226" s="18">
        <f>IF(OR(K226="",O226=""),"",M226-O226)</f>
        <v/>
      </c>
      <c r="Q226">
        <f>IF(K226="","",IF(AND(N(N226)&gt;0,L226=0),"Jobber visit, no hours logged",IF(AND(L226&gt;0,N226=""),"Enter Jobber visits",IF(AND(L226&gt;0,N(N226)=0),"Hours logged, no Jobber visit",IF(AND(O226&lt;&gt;"",ABS(N(P226))&gt;0.5),"Hours differ from Jobber","")))))</f>
        <v/>
      </c>
    </row>
    <row r="227">
      <c r="K227">
        <f>IF(Sites!A223="","",Sites!A223)</f>
        <v/>
      </c>
      <c r="L227">
        <f>IF(K227="","",COUNTIFS('Hours Log'!$C$2:$C$2001,K227,'Hours Log'!$I$2:$I$2001,$B$3))</f>
        <v/>
      </c>
      <c r="M227" s="18">
        <f>IF(K227="","",SUMIFS('Hours Log'!$G$2:$G$2001,'Hours Log'!$C$2:$C$2001,K227,'Hours Log'!$I$2:$I$2001,$B$3))</f>
        <v/>
      </c>
      <c r="N227" s="10" t="n"/>
      <c r="O227" s="10" t="n"/>
      <c r="P227" s="18">
        <f>IF(OR(K227="",O227=""),"",M227-O227)</f>
        <v/>
      </c>
      <c r="Q227">
        <f>IF(K227="","",IF(AND(N(N227)&gt;0,L227=0),"Jobber visit, no hours logged",IF(AND(L227&gt;0,N227=""),"Enter Jobber visits",IF(AND(L227&gt;0,N(N227)=0),"Hours logged, no Jobber visit",IF(AND(O227&lt;&gt;"",ABS(N(P227))&gt;0.5),"Hours differ from Jobber","")))))</f>
        <v/>
      </c>
    </row>
    <row r="228">
      <c r="K228">
        <f>IF(Sites!A224="","",Sites!A224)</f>
        <v/>
      </c>
      <c r="L228">
        <f>IF(K228="","",COUNTIFS('Hours Log'!$C$2:$C$2001,K228,'Hours Log'!$I$2:$I$2001,$B$3))</f>
        <v/>
      </c>
      <c r="M228" s="18">
        <f>IF(K228="","",SUMIFS('Hours Log'!$G$2:$G$2001,'Hours Log'!$C$2:$C$2001,K228,'Hours Log'!$I$2:$I$2001,$B$3))</f>
        <v/>
      </c>
      <c r="N228" s="10" t="n"/>
      <c r="O228" s="10" t="n"/>
      <c r="P228" s="18">
        <f>IF(OR(K228="",O228=""),"",M228-O228)</f>
        <v/>
      </c>
      <c r="Q228">
        <f>IF(K228="","",IF(AND(N(N228)&gt;0,L228=0),"Jobber visit, no hours logged",IF(AND(L228&gt;0,N228=""),"Enter Jobber visits",IF(AND(L228&gt;0,N(N228)=0),"Hours logged, no Jobber visit",IF(AND(O228&lt;&gt;"",ABS(N(P228))&gt;0.5),"Hours differ from Jobber","")))))</f>
        <v/>
      </c>
    </row>
    <row r="229">
      <c r="K229">
        <f>IF(Sites!A225="","",Sites!A225)</f>
        <v/>
      </c>
      <c r="L229">
        <f>IF(K229="","",COUNTIFS('Hours Log'!$C$2:$C$2001,K229,'Hours Log'!$I$2:$I$2001,$B$3))</f>
        <v/>
      </c>
      <c r="M229" s="18">
        <f>IF(K229="","",SUMIFS('Hours Log'!$G$2:$G$2001,'Hours Log'!$C$2:$C$2001,K229,'Hours Log'!$I$2:$I$2001,$B$3))</f>
        <v/>
      </c>
      <c r="N229" s="10" t="n"/>
      <c r="O229" s="10" t="n"/>
      <c r="P229" s="18">
        <f>IF(OR(K229="",O229=""),"",M229-O229)</f>
        <v/>
      </c>
      <c r="Q229">
        <f>IF(K229="","",IF(AND(N(N229)&gt;0,L229=0),"Jobber visit, no hours logged",IF(AND(L229&gt;0,N229=""),"Enter Jobber visits",IF(AND(L229&gt;0,N(N229)=0),"Hours logged, no Jobber visit",IF(AND(O229&lt;&gt;"",ABS(N(P229))&gt;0.5),"Hours differ from Jobber","")))))</f>
        <v/>
      </c>
    </row>
    <row r="230">
      <c r="K230">
        <f>IF(Sites!A226="","",Sites!A226)</f>
        <v/>
      </c>
      <c r="L230">
        <f>IF(K230="","",COUNTIFS('Hours Log'!$C$2:$C$2001,K230,'Hours Log'!$I$2:$I$2001,$B$3))</f>
        <v/>
      </c>
      <c r="M230" s="18">
        <f>IF(K230="","",SUMIFS('Hours Log'!$G$2:$G$2001,'Hours Log'!$C$2:$C$2001,K230,'Hours Log'!$I$2:$I$2001,$B$3))</f>
        <v/>
      </c>
      <c r="N230" s="10" t="n"/>
      <c r="O230" s="10" t="n"/>
      <c r="P230" s="18">
        <f>IF(OR(K230="",O230=""),"",M230-O230)</f>
        <v/>
      </c>
      <c r="Q230">
        <f>IF(K230="","",IF(AND(N(N230)&gt;0,L230=0),"Jobber visit, no hours logged",IF(AND(L230&gt;0,N230=""),"Enter Jobber visits",IF(AND(L230&gt;0,N(N230)=0),"Hours logged, no Jobber visit",IF(AND(O230&lt;&gt;"",ABS(N(P230))&gt;0.5),"Hours differ from Jobber","")))))</f>
        <v/>
      </c>
    </row>
    <row r="231">
      <c r="K231">
        <f>IF(Sites!A227="","",Sites!A227)</f>
        <v/>
      </c>
      <c r="L231">
        <f>IF(K231="","",COUNTIFS('Hours Log'!$C$2:$C$2001,K231,'Hours Log'!$I$2:$I$2001,$B$3))</f>
        <v/>
      </c>
      <c r="M231" s="18">
        <f>IF(K231="","",SUMIFS('Hours Log'!$G$2:$G$2001,'Hours Log'!$C$2:$C$2001,K231,'Hours Log'!$I$2:$I$2001,$B$3))</f>
        <v/>
      </c>
      <c r="N231" s="10" t="n"/>
      <c r="O231" s="10" t="n"/>
      <c r="P231" s="18">
        <f>IF(OR(K231="",O231=""),"",M231-O231)</f>
        <v/>
      </c>
      <c r="Q231">
        <f>IF(K231="","",IF(AND(N(N231)&gt;0,L231=0),"Jobber visit, no hours logged",IF(AND(L231&gt;0,N231=""),"Enter Jobber visits",IF(AND(L231&gt;0,N(N231)=0),"Hours logged, no Jobber visit",IF(AND(O231&lt;&gt;"",ABS(N(P231))&gt;0.5),"Hours differ from Jobber","")))))</f>
        <v/>
      </c>
    </row>
    <row r="232">
      <c r="K232">
        <f>IF(Sites!A228="","",Sites!A228)</f>
        <v/>
      </c>
      <c r="L232">
        <f>IF(K232="","",COUNTIFS('Hours Log'!$C$2:$C$2001,K232,'Hours Log'!$I$2:$I$2001,$B$3))</f>
        <v/>
      </c>
      <c r="M232" s="18">
        <f>IF(K232="","",SUMIFS('Hours Log'!$G$2:$G$2001,'Hours Log'!$C$2:$C$2001,K232,'Hours Log'!$I$2:$I$2001,$B$3))</f>
        <v/>
      </c>
      <c r="N232" s="10" t="n"/>
      <c r="O232" s="10" t="n"/>
      <c r="P232" s="18">
        <f>IF(OR(K232="",O232=""),"",M232-O232)</f>
        <v/>
      </c>
      <c r="Q232">
        <f>IF(K232="","",IF(AND(N(N232)&gt;0,L232=0),"Jobber visit, no hours logged",IF(AND(L232&gt;0,N232=""),"Enter Jobber visits",IF(AND(L232&gt;0,N(N232)=0),"Hours logged, no Jobber visit",IF(AND(O232&lt;&gt;"",ABS(N(P232))&gt;0.5),"Hours differ from Jobber","")))))</f>
        <v/>
      </c>
    </row>
    <row r="233">
      <c r="K233">
        <f>IF(Sites!A229="","",Sites!A229)</f>
        <v/>
      </c>
      <c r="L233">
        <f>IF(K233="","",COUNTIFS('Hours Log'!$C$2:$C$2001,K233,'Hours Log'!$I$2:$I$2001,$B$3))</f>
        <v/>
      </c>
      <c r="M233" s="18">
        <f>IF(K233="","",SUMIFS('Hours Log'!$G$2:$G$2001,'Hours Log'!$C$2:$C$2001,K233,'Hours Log'!$I$2:$I$2001,$B$3))</f>
        <v/>
      </c>
      <c r="N233" s="10" t="n"/>
      <c r="O233" s="10" t="n"/>
      <c r="P233" s="18">
        <f>IF(OR(K233="",O233=""),"",M233-O233)</f>
        <v/>
      </c>
      <c r="Q233">
        <f>IF(K233="","",IF(AND(N(N233)&gt;0,L233=0),"Jobber visit, no hours logged",IF(AND(L233&gt;0,N233=""),"Enter Jobber visits",IF(AND(L233&gt;0,N(N233)=0),"Hours logged, no Jobber visit",IF(AND(O233&lt;&gt;"",ABS(N(P233))&gt;0.5),"Hours differ from Jobber","")))))</f>
        <v/>
      </c>
    </row>
    <row r="234">
      <c r="K234">
        <f>IF(Sites!A230="","",Sites!A230)</f>
        <v/>
      </c>
      <c r="L234">
        <f>IF(K234="","",COUNTIFS('Hours Log'!$C$2:$C$2001,K234,'Hours Log'!$I$2:$I$2001,$B$3))</f>
        <v/>
      </c>
      <c r="M234" s="18">
        <f>IF(K234="","",SUMIFS('Hours Log'!$G$2:$G$2001,'Hours Log'!$C$2:$C$2001,K234,'Hours Log'!$I$2:$I$2001,$B$3))</f>
        <v/>
      </c>
      <c r="N234" s="10" t="n"/>
      <c r="O234" s="10" t="n"/>
      <c r="P234" s="18">
        <f>IF(OR(K234="",O234=""),"",M234-O234)</f>
        <v/>
      </c>
      <c r="Q234">
        <f>IF(K234="","",IF(AND(N(N234)&gt;0,L234=0),"Jobber visit, no hours logged",IF(AND(L234&gt;0,N234=""),"Enter Jobber visits",IF(AND(L234&gt;0,N(N234)=0),"Hours logged, no Jobber visit",IF(AND(O234&lt;&gt;"",ABS(N(P234))&gt;0.5),"Hours differ from Jobber","")))))</f>
        <v/>
      </c>
    </row>
    <row r="235">
      <c r="K235">
        <f>IF(Sites!A231="","",Sites!A231)</f>
        <v/>
      </c>
      <c r="L235">
        <f>IF(K235="","",COUNTIFS('Hours Log'!$C$2:$C$2001,K235,'Hours Log'!$I$2:$I$2001,$B$3))</f>
        <v/>
      </c>
      <c r="M235" s="18">
        <f>IF(K235="","",SUMIFS('Hours Log'!$G$2:$G$2001,'Hours Log'!$C$2:$C$2001,K235,'Hours Log'!$I$2:$I$2001,$B$3))</f>
        <v/>
      </c>
      <c r="N235" s="10" t="n"/>
      <c r="O235" s="10" t="n"/>
      <c r="P235" s="18">
        <f>IF(OR(K235="",O235=""),"",M235-O235)</f>
        <v/>
      </c>
      <c r="Q235">
        <f>IF(K235="","",IF(AND(N(N235)&gt;0,L235=0),"Jobber visit, no hours logged",IF(AND(L235&gt;0,N235=""),"Enter Jobber visits",IF(AND(L235&gt;0,N(N235)=0),"Hours logged, no Jobber visit",IF(AND(O235&lt;&gt;"",ABS(N(P235))&gt;0.5),"Hours differ from Jobber","")))))</f>
        <v/>
      </c>
    </row>
    <row r="236">
      <c r="K236">
        <f>IF(Sites!A232="","",Sites!A232)</f>
        <v/>
      </c>
      <c r="L236">
        <f>IF(K236="","",COUNTIFS('Hours Log'!$C$2:$C$2001,K236,'Hours Log'!$I$2:$I$2001,$B$3))</f>
        <v/>
      </c>
      <c r="M236" s="18">
        <f>IF(K236="","",SUMIFS('Hours Log'!$G$2:$G$2001,'Hours Log'!$C$2:$C$2001,K236,'Hours Log'!$I$2:$I$2001,$B$3))</f>
        <v/>
      </c>
      <c r="N236" s="10" t="n"/>
      <c r="O236" s="10" t="n"/>
      <c r="P236" s="18">
        <f>IF(OR(K236="",O236=""),"",M236-O236)</f>
        <v/>
      </c>
      <c r="Q236">
        <f>IF(K236="","",IF(AND(N(N236)&gt;0,L236=0),"Jobber visit, no hours logged",IF(AND(L236&gt;0,N236=""),"Enter Jobber visits",IF(AND(L236&gt;0,N(N236)=0),"Hours logged, no Jobber visit",IF(AND(O236&lt;&gt;"",ABS(N(P236))&gt;0.5),"Hours differ from Jobber","")))))</f>
        <v/>
      </c>
    </row>
    <row r="237">
      <c r="K237">
        <f>IF(Sites!A233="","",Sites!A233)</f>
        <v/>
      </c>
      <c r="L237">
        <f>IF(K237="","",COUNTIFS('Hours Log'!$C$2:$C$2001,K237,'Hours Log'!$I$2:$I$2001,$B$3))</f>
        <v/>
      </c>
      <c r="M237" s="18">
        <f>IF(K237="","",SUMIFS('Hours Log'!$G$2:$G$2001,'Hours Log'!$C$2:$C$2001,K237,'Hours Log'!$I$2:$I$2001,$B$3))</f>
        <v/>
      </c>
      <c r="N237" s="10" t="n"/>
      <c r="O237" s="10" t="n"/>
      <c r="P237" s="18">
        <f>IF(OR(K237="",O237=""),"",M237-O237)</f>
        <v/>
      </c>
      <c r="Q237">
        <f>IF(K237="","",IF(AND(N(N237)&gt;0,L237=0),"Jobber visit, no hours logged",IF(AND(L237&gt;0,N237=""),"Enter Jobber visits",IF(AND(L237&gt;0,N(N237)=0),"Hours logged, no Jobber visit",IF(AND(O237&lt;&gt;"",ABS(N(P237))&gt;0.5),"Hours differ from Jobber","")))))</f>
        <v/>
      </c>
    </row>
    <row r="238">
      <c r="K238">
        <f>IF(Sites!A234="","",Sites!A234)</f>
        <v/>
      </c>
      <c r="L238">
        <f>IF(K238="","",COUNTIFS('Hours Log'!$C$2:$C$2001,K238,'Hours Log'!$I$2:$I$2001,$B$3))</f>
        <v/>
      </c>
      <c r="M238" s="18">
        <f>IF(K238="","",SUMIFS('Hours Log'!$G$2:$G$2001,'Hours Log'!$C$2:$C$2001,K238,'Hours Log'!$I$2:$I$2001,$B$3))</f>
        <v/>
      </c>
      <c r="N238" s="10" t="n"/>
      <c r="O238" s="10" t="n"/>
      <c r="P238" s="18">
        <f>IF(OR(K238="",O238=""),"",M238-O238)</f>
        <v/>
      </c>
      <c r="Q238">
        <f>IF(K238="","",IF(AND(N(N238)&gt;0,L238=0),"Jobber visit, no hours logged",IF(AND(L238&gt;0,N238=""),"Enter Jobber visits",IF(AND(L238&gt;0,N(N238)=0),"Hours logged, no Jobber visit",IF(AND(O238&lt;&gt;"",ABS(N(P238))&gt;0.5),"Hours differ from Jobber","")))))</f>
        <v/>
      </c>
    </row>
    <row r="239">
      <c r="K239">
        <f>IF(Sites!A235="","",Sites!A235)</f>
        <v/>
      </c>
      <c r="L239">
        <f>IF(K239="","",COUNTIFS('Hours Log'!$C$2:$C$2001,K239,'Hours Log'!$I$2:$I$2001,$B$3))</f>
        <v/>
      </c>
      <c r="M239" s="18">
        <f>IF(K239="","",SUMIFS('Hours Log'!$G$2:$G$2001,'Hours Log'!$C$2:$C$2001,K239,'Hours Log'!$I$2:$I$2001,$B$3))</f>
        <v/>
      </c>
      <c r="N239" s="10" t="n"/>
      <c r="O239" s="10" t="n"/>
      <c r="P239" s="18">
        <f>IF(OR(K239="",O239=""),"",M239-O239)</f>
        <v/>
      </c>
      <c r="Q239">
        <f>IF(K239="","",IF(AND(N(N239)&gt;0,L239=0),"Jobber visit, no hours logged",IF(AND(L239&gt;0,N239=""),"Enter Jobber visits",IF(AND(L239&gt;0,N(N239)=0),"Hours logged, no Jobber visit",IF(AND(O239&lt;&gt;"",ABS(N(P239))&gt;0.5),"Hours differ from Jobber","")))))</f>
        <v/>
      </c>
    </row>
    <row r="240">
      <c r="K240">
        <f>IF(Sites!A236="","",Sites!A236)</f>
        <v/>
      </c>
      <c r="L240">
        <f>IF(K240="","",COUNTIFS('Hours Log'!$C$2:$C$2001,K240,'Hours Log'!$I$2:$I$2001,$B$3))</f>
        <v/>
      </c>
      <c r="M240" s="18">
        <f>IF(K240="","",SUMIFS('Hours Log'!$G$2:$G$2001,'Hours Log'!$C$2:$C$2001,K240,'Hours Log'!$I$2:$I$2001,$B$3))</f>
        <v/>
      </c>
      <c r="N240" s="10" t="n"/>
      <c r="O240" s="10" t="n"/>
      <c r="P240" s="18">
        <f>IF(OR(K240="",O240=""),"",M240-O240)</f>
        <v/>
      </c>
      <c r="Q240">
        <f>IF(K240="","",IF(AND(N(N240)&gt;0,L240=0),"Jobber visit, no hours logged",IF(AND(L240&gt;0,N240=""),"Enter Jobber visits",IF(AND(L240&gt;0,N(N240)=0),"Hours logged, no Jobber visit",IF(AND(O240&lt;&gt;"",ABS(N(P240))&gt;0.5),"Hours differ from Jobber","")))))</f>
        <v/>
      </c>
    </row>
    <row r="241">
      <c r="K241">
        <f>IF(Sites!A237="","",Sites!A237)</f>
        <v/>
      </c>
      <c r="L241">
        <f>IF(K241="","",COUNTIFS('Hours Log'!$C$2:$C$2001,K241,'Hours Log'!$I$2:$I$2001,$B$3))</f>
        <v/>
      </c>
      <c r="M241" s="18">
        <f>IF(K241="","",SUMIFS('Hours Log'!$G$2:$G$2001,'Hours Log'!$C$2:$C$2001,K241,'Hours Log'!$I$2:$I$2001,$B$3))</f>
        <v/>
      </c>
      <c r="N241" s="10" t="n"/>
      <c r="O241" s="10" t="n"/>
      <c r="P241" s="18">
        <f>IF(OR(K241="",O241=""),"",M241-O241)</f>
        <v/>
      </c>
      <c r="Q241">
        <f>IF(K241="","",IF(AND(N(N241)&gt;0,L241=0),"Jobber visit, no hours logged",IF(AND(L241&gt;0,N241=""),"Enter Jobber visits",IF(AND(L241&gt;0,N(N241)=0),"Hours logged, no Jobber visit",IF(AND(O241&lt;&gt;"",ABS(N(P241))&gt;0.5),"Hours differ from Jobber","")))))</f>
        <v/>
      </c>
    </row>
    <row r="242">
      <c r="K242">
        <f>IF(Sites!A238="","",Sites!A238)</f>
        <v/>
      </c>
      <c r="L242">
        <f>IF(K242="","",COUNTIFS('Hours Log'!$C$2:$C$2001,K242,'Hours Log'!$I$2:$I$2001,$B$3))</f>
        <v/>
      </c>
      <c r="M242" s="18">
        <f>IF(K242="","",SUMIFS('Hours Log'!$G$2:$G$2001,'Hours Log'!$C$2:$C$2001,K242,'Hours Log'!$I$2:$I$2001,$B$3))</f>
        <v/>
      </c>
      <c r="N242" s="10" t="n"/>
      <c r="O242" s="10" t="n"/>
      <c r="P242" s="18">
        <f>IF(OR(K242="",O242=""),"",M242-O242)</f>
        <v/>
      </c>
      <c r="Q242">
        <f>IF(K242="","",IF(AND(N(N242)&gt;0,L242=0),"Jobber visit, no hours logged",IF(AND(L242&gt;0,N242=""),"Enter Jobber visits",IF(AND(L242&gt;0,N(N242)=0),"Hours logged, no Jobber visit",IF(AND(O242&lt;&gt;"",ABS(N(P242))&gt;0.5),"Hours differ from Jobber","")))))</f>
        <v/>
      </c>
    </row>
    <row r="243">
      <c r="K243">
        <f>IF(Sites!A239="","",Sites!A239)</f>
        <v/>
      </c>
      <c r="L243">
        <f>IF(K243="","",COUNTIFS('Hours Log'!$C$2:$C$2001,K243,'Hours Log'!$I$2:$I$2001,$B$3))</f>
        <v/>
      </c>
      <c r="M243" s="18">
        <f>IF(K243="","",SUMIFS('Hours Log'!$G$2:$G$2001,'Hours Log'!$C$2:$C$2001,K243,'Hours Log'!$I$2:$I$2001,$B$3))</f>
        <v/>
      </c>
      <c r="N243" s="10" t="n"/>
      <c r="O243" s="10" t="n"/>
      <c r="P243" s="18">
        <f>IF(OR(K243="",O243=""),"",M243-O243)</f>
        <v/>
      </c>
      <c r="Q243">
        <f>IF(K243="","",IF(AND(N(N243)&gt;0,L243=0),"Jobber visit, no hours logged",IF(AND(L243&gt;0,N243=""),"Enter Jobber visits",IF(AND(L243&gt;0,N(N243)=0),"Hours logged, no Jobber visit",IF(AND(O243&lt;&gt;"",ABS(N(P243))&gt;0.5),"Hours differ from Jobber","")))))</f>
        <v/>
      </c>
    </row>
    <row r="244">
      <c r="K244">
        <f>IF(Sites!A240="","",Sites!A240)</f>
        <v/>
      </c>
      <c r="L244">
        <f>IF(K244="","",COUNTIFS('Hours Log'!$C$2:$C$2001,K244,'Hours Log'!$I$2:$I$2001,$B$3))</f>
        <v/>
      </c>
      <c r="M244" s="18">
        <f>IF(K244="","",SUMIFS('Hours Log'!$G$2:$G$2001,'Hours Log'!$C$2:$C$2001,K244,'Hours Log'!$I$2:$I$2001,$B$3))</f>
        <v/>
      </c>
      <c r="N244" s="10" t="n"/>
      <c r="O244" s="10" t="n"/>
      <c r="P244" s="18">
        <f>IF(OR(K244="",O244=""),"",M244-O244)</f>
        <v/>
      </c>
      <c r="Q244">
        <f>IF(K244="","",IF(AND(N(N244)&gt;0,L244=0),"Jobber visit, no hours logged",IF(AND(L244&gt;0,N244=""),"Enter Jobber visits",IF(AND(L244&gt;0,N(N244)=0),"Hours logged, no Jobber visit",IF(AND(O244&lt;&gt;"",ABS(N(P244))&gt;0.5),"Hours differ from Jobber","")))))</f>
        <v/>
      </c>
    </row>
    <row r="245">
      <c r="K245">
        <f>IF(Sites!A241="","",Sites!A241)</f>
        <v/>
      </c>
      <c r="L245">
        <f>IF(K245="","",COUNTIFS('Hours Log'!$C$2:$C$2001,K245,'Hours Log'!$I$2:$I$2001,$B$3))</f>
        <v/>
      </c>
      <c r="M245" s="18">
        <f>IF(K245="","",SUMIFS('Hours Log'!$G$2:$G$2001,'Hours Log'!$C$2:$C$2001,K245,'Hours Log'!$I$2:$I$2001,$B$3))</f>
        <v/>
      </c>
      <c r="N245" s="10" t="n"/>
      <c r="O245" s="10" t="n"/>
      <c r="P245" s="18">
        <f>IF(OR(K245="",O245=""),"",M245-O245)</f>
        <v/>
      </c>
      <c r="Q245">
        <f>IF(K245="","",IF(AND(N(N245)&gt;0,L245=0),"Jobber visit, no hours logged",IF(AND(L245&gt;0,N245=""),"Enter Jobber visits",IF(AND(L245&gt;0,N(N245)=0),"Hours logged, no Jobber visit",IF(AND(O245&lt;&gt;"",ABS(N(P245))&gt;0.5),"Hours differ from Jobber","")))))</f>
        <v/>
      </c>
    </row>
    <row r="246">
      <c r="K246">
        <f>IF(Sites!A242="","",Sites!A242)</f>
        <v/>
      </c>
      <c r="L246">
        <f>IF(K246="","",COUNTIFS('Hours Log'!$C$2:$C$2001,K246,'Hours Log'!$I$2:$I$2001,$B$3))</f>
        <v/>
      </c>
      <c r="M246" s="18">
        <f>IF(K246="","",SUMIFS('Hours Log'!$G$2:$G$2001,'Hours Log'!$C$2:$C$2001,K246,'Hours Log'!$I$2:$I$2001,$B$3))</f>
        <v/>
      </c>
      <c r="N246" s="10" t="n"/>
      <c r="O246" s="10" t="n"/>
      <c r="P246" s="18">
        <f>IF(OR(K246="",O246=""),"",M246-O246)</f>
        <v/>
      </c>
      <c r="Q246">
        <f>IF(K246="","",IF(AND(N(N246)&gt;0,L246=0),"Jobber visit, no hours logged",IF(AND(L246&gt;0,N246=""),"Enter Jobber visits",IF(AND(L246&gt;0,N(N246)=0),"Hours logged, no Jobber visit",IF(AND(O246&lt;&gt;"",ABS(N(P246))&gt;0.5),"Hours differ from Jobber","")))))</f>
        <v/>
      </c>
    </row>
    <row r="247">
      <c r="K247">
        <f>IF(Sites!A243="","",Sites!A243)</f>
        <v/>
      </c>
      <c r="L247">
        <f>IF(K247="","",COUNTIFS('Hours Log'!$C$2:$C$2001,K247,'Hours Log'!$I$2:$I$2001,$B$3))</f>
        <v/>
      </c>
      <c r="M247" s="18">
        <f>IF(K247="","",SUMIFS('Hours Log'!$G$2:$G$2001,'Hours Log'!$C$2:$C$2001,K247,'Hours Log'!$I$2:$I$2001,$B$3))</f>
        <v/>
      </c>
      <c r="N247" s="10" t="n"/>
      <c r="O247" s="10" t="n"/>
      <c r="P247" s="18">
        <f>IF(OR(K247="",O247=""),"",M247-O247)</f>
        <v/>
      </c>
      <c r="Q247">
        <f>IF(K247="","",IF(AND(N(N247)&gt;0,L247=0),"Jobber visit, no hours logged",IF(AND(L247&gt;0,N247=""),"Enter Jobber visits",IF(AND(L247&gt;0,N(N247)=0),"Hours logged, no Jobber visit",IF(AND(O247&lt;&gt;"",ABS(N(P247))&gt;0.5),"Hours differ from Jobber","")))))</f>
        <v/>
      </c>
    </row>
    <row r="248">
      <c r="K248">
        <f>IF(Sites!A244="","",Sites!A244)</f>
        <v/>
      </c>
      <c r="L248">
        <f>IF(K248="","",COUNTIFS('Hours Log'!$C$2:$C$2001,K248,'Hours Log'!$I$2:$I$2001,$B$3))</f>
        <v/>
      </c>
      <c r="M248" s="18">
        <f>IF(K248="","",SUMIFS('Hours Log'!$G$2:$G$2001,'Hours Log'!$C$2:$C$2001,K248,'Hours Log'!$I$2:$I$2001,$B$3))</f>
        <v/>
      </c>
      <c r="N248" s="10" t="n"/>
      <c r="O248" s="10" t="n"/>
      <c r="P248" s="18">
        <f>IF(OR(K248="",O248=""),"",M248-O248)</f>
        <v/>
      </c>
      <c r="Q248">
        <f>IF(K248="","",IF(AND(N(N248)&gt;0,L248=0),"Jobber visit, no hours logged",IF(AND(L248&gt;0,N248=""),"Enter Jobber visits",IF(AND(L248&gt;0,N(N248)=0),"Hours logged, no Jobber visit",IF(AND(O248&lt;&gt;"",ABS(N(P248))&gt;0.5),"Hours differ from Jobber","")))))</f>
        <v/>
      </c>
    </row>
    <row r="249">
      <c r="K249">
        <f>IF(Sites!A245="","",Sites!A245)</f>
        <v/>
      </c>
      <c r="L249">
        <f>IF(K249="","",COUNTIFS('Hours Log'!$C$2:$C$2001,K249,'Hours Log'!$I$2:$I$2001,$B$3))</f>
        <v/>
      </c>
      <c r="M249" s="18">
        <f>IF(K249="","",SUMIFS('Hours Log'!$G$2:$G$2001,'Hours Log'!$C$2:$C$2001,K249,'Hours Log'!$I$2:$I$2001,$B$3))</f>
        <v/>
      </c>
      <c r="N249" s="10" t="n"/>
      <c r="O249" s="10" t="n"/>
      <c r="P249" s="18">
        <f>IF(OR(K249="",O249=""),"",M249-O249)</f>
        <v/>
      </c>
      <c r="Q249">
        <f>IF(K249="","",IF(AND(N(N249)&gt;0,L249=0),"Jobber visit, no hours logged",IF(AND(L249&gt;0,N249=""),"Enter Jobber visits",IF(AND(L249&gt;0,N(N249)=0),"Hours logged, no Jobber visit",IF(AND(O249&lt;&gt;"",ABS(N(P249))&gt;0.5),"Hours differ from Jobber","")))))</f>
        <v/>
      </c>
    </row>
    <row r="250">
      <c r="K250">
        <f>IF(Sites!A246="","",Sites!A246)</f>
        <v/>
      </c>
      <c r="L250">
        <f>IF(K250="","",COUNTIFS('Hours Log'!$C$2:$C$2001,K250,'Hours Log'!$I$2:$I$2001,$B$3))</f>
        <v/>
      </c>
      <c r="M250" s="18">
        <f>IF(K250="","",SUMIFS('Hours Log'!$G$2:$G$2001,'Hours Log'!$C$2:$C$2001,K250,'Hours Log'!$I$2:$I$2001,$B$3))</f>
        <v/>
      </c>
      <c r="N250" s="10" t="n"/>
      <c r="O250" s="10" t="n"/>
      <c r="P250" s="18">
        <f>IF(OR(K250="",O250=""),"",M250-O250)</f>
        <v/>
      </c>
      <c r="Q250">
        <f>IF(K250="","",IF(AND(N(N250)&gt;0,L250=0),"Jobber visit, no hours logged",IF(AND(L250&gt;0,N250=""),"Enter Jobber visits",IF(AND(L250&gt;0,N(N250)=0),"Hours logged, no Jobber visit",IF(AND(O250&lt;&gt;"",ABS(N(P250))&gt;0.5),"Hours differ from Jobber","")))))</f>
        <v/>
      </c>
    </row>
    <row r="251">
      <c r="K251">
        <f>IF(Sites!A247="","",Sites!A247)</f>
        <v/>
      </c>
      <c r="L251">
        <f>IF(K251="","",COUNTIFS('Hours Log'!$C$2:$C$2001,K251,'Hours Log'!$I$2:$I$2001,$B$3))</f>
        <v/>
      </c>
      <c r="M251" s="18">
        <f>IF(K251="","",SUMIFS('Hours Log'!$G$2:$G$2001,'Hours Log'!$C$2:$C$2001,K251,'Hours Log'!$I$2:$I$2001,$B$3))</f>
        <v/>
      </c>
      <c r="N251" s="10" t="n"/>
      <c r="O251" s="10" t="n"/>
      <c r="P251" s="18">
        <f>IF(OR(K251="",O251=""),"",M251-O251)</f>
        <v/>
      </c>
      <c r="Q251">
        <f>IF(K251="","",IF(AND(N(N251)&gt;0,L251=0),"Jobber visit, no hours logged",IF(AND(L251&gt;0,N251=""),"Enter Jobber visits",IF(AND(L251&gt;0,N(N251)=0),"Hours logged, no Jobber visit",IF(AND(O251&lt;&gt;"",ABS(N(P251))&gt;0.5),"Hours differ from Jobber","")))))</f>
        <v/>
      </c>
    </row>
    <row r="252">
      <c r="K252">
        <f>IF(Sites!A248="","",Sites!A248)</f>
        <v/>
      </c>
      <c r="L252">
        <f>IF(K252="","",COUNTIFS('Hours Log'!$C$2:$C$2001,K252,'Hours Log'!$I$2:$I$2001,$B$3))</f>
        <v/>
      </c>
      <c r="M252" s="18">
        <f>IF(K252="","",SUMIFS('Hours Log'!$G$2:$G$2001,'Hours Log'!$C$2:$C$2001,K252,'Hours Log'!$I$2:$I$2001,$B$3))</f>
        <v/>
      </c>
      <c r="N252" s="10" t="n"/>
      <c r="O252" s="10" t="n"/>
      <c r="P252" s="18">
        <f>IF(OR(K252="",O252=""),"",M252-O252)</f>
        <v/>
      </c>
      <c r="Q252">
        <f>IF(K252="","",IF(AND(N(N252)&gt;0,L252=0),"Jobber visit, no hours logged",IF(AND(L252&gt;0,N252=""),"Enter Jobber visits",IF(AND(L252&gt;0,N(N252)=0),"Hours logged, no Jobber visit",IF(AND(O252&lt;&gt;"",ABS(N(P252))&gt;0.5),"Hours differ from Jobber","")))))</f>
        <v/>
      </c>
    </row>
    <row r="253">
      <c r="K253">
        <f>IF(Sites!A249="","",Sites!A249)</f>
        <v/>
      </c>
      <c r="L253">
        <f>IF(K253="","",COUNTIFS('Hours Log'!$C$2:$C$2001,K253,'Hours Log'!$I$2:$I$2001,$B$3))</f>
        <v/>
      </c>
      <c r="M253" s="18">
        <f>IF(K253="","",SUMIFS('Hours Log'!$G$2:$G$2001,'Hours Log'!$C$2:$C$2001,K253,'Hours Log'!$I$2:$I$2001,$B$3))</f>
        <v/>
      </c>
      <c r="N253" s="10" t="n"/>
      <c r="O253" s="10" t="n"/>
      <c r="P253" s="18">
        <f>IF(OR(K253="",O253=""),"",M253-O253)</f>
        <v/>
      </c>
      <c r="Q253">
        <f>IF(K253="","",IF(AND(N(N253)&gt;0,L253=0),"Jobber visit, no hours logged",IF(AND(L253&gt;0,N253=""),"Enter Jobber visits",IF(AND(L253&gt;0,N(N253)=0),"Hours logged, no Jobber visit",IF(AND(O253&lt;&gt;"",ABS(N(P253))&gt;0.5),"Hours differ from Jobber","")))))</f>
        <v/>
      </c>
    </row>
    <row r="254">
      <c r="K254">
        <f>IF(Sites!A250="","",Sites!A250)</f>
        <v/>
      </c>
      <c r="L254">
        <f>IF(K254="","",COUNTIFS('Hours Log'!$C$2:$C$2001,K254,'Hours Log'!$I$2:$I$2001,$B$3))</f>
        <v/>
      </c>
      <c r="M254" s="18">
        <f>IF(K254="","",SUMIFS('Hours Log'!$G$2:$G$2001,'Hours Log'!$C$2:$C$2001,K254,'Hours Log'!$I$2:$I$2001,$B$3))</f>
        <v/>
      </c>
      <c r="N254" s="10" t="n"/>
      <c r="O254" s="10" t="n"/>
      <c r="P254" s="18">
        <f>IF(OR(K254="",O254=""),"",M254-O254)</f>
        <v/>
      </c>
      <c r="Q254">
        <f>IF(K254="","",IF(AND(N(N254)&gt;0,L254=0),"Jobber visit, no hours logged",IF(AND(L254&gt;0,N254=""),"Enter Jobber visits",IF(AND(L254&gt;0,N(N254)=0),"Hours logged, no Jobber visit",IF(AND(O254&lt;&gt;"",ABS(N(P254))&gt;0.5),"Hours differ from Jobber","")))))</f>
        <v/>
      </c>
    </row>
    <row r="255">
      <c r="K255">
        <f>IF(Sites!A251="","",Sites!A251)</f>
        <v/>
      </c>
      <c r="L255">
        <f>IF(K255="","",COUNTIFS('Hours Log'!$C$2:$C$2001,K255,'Hours Log'!$I$2:$I$2001,$B$3))</f>
        <v/>
      </c>
      <c r="M255" s="18">
        <f>IF(K255="","",SUMIFS('Hours Log'!$G$2:$G$2001,'Hours Log'!$C$2:$C$2001,K255,'Hours Log'!$I$2:$I$2001,$B$3))</f>
        <v/>
      </c>
      <c r="N255" s="10" t="n"/>
      <c r="O255" s="10" t="n"/>
      <c r="P255" s="18">
        <f>IF(OR(K255="",O255=""),"",M255-O255)</f>
        <v/>
      </c>
      <c r="Q255">
        <f>IF(K255="","",IF(AND(N(N255)&gt;0,L255=0),"Jobber visit, no hours logged",IF(AND(L255&gt;0,N255=""),"Enter Jobber visits",IF(AND(L255&gt;0,N(N255)=0),"Hours logged, no Jobber visit",IF(AND(O255&lt;&gt;"",ABS(N(P255))&gt;0.5),"Hours differ from Jobber","")))))</f>
        <v/>
      </c>
    </row>
    <row r="256">
      <c r="K256">
        <f>IF(Sites!A252="","",Sites!A252)</f>
        <v/>
      </c>
      <c r="L256">
        <f>IF(K256="","",COUNTIFS('Hours Log'!$C$2:$C$2001,K256,'Hours Log'!$I$2:$I$2001,$B$3))</f>
        <v/>
      </c>
      <c r="M256" s="18">
        <f>IF(K256="","",SUMIFS('Hours Log'!$G$2:$G$2001,'Hours Log'!$C$2:$C$2001,K256,'Hours Log'!$I$2:$I$2001,$B$3))</f>
        <v/>
      </c>
      <c r="N256" s="10" t="n"/>
      <c r="O256" s="10" t="n"/>
      <c r="P256" s="18">
        <f>IF(OR(K256="",O256=""),"",M256-O256)</f>
        <v/>
      </c>
      <c r="Q256">
        <f>IF(K256="","",IF(AND(N(N256)&gt;0,L256=0),"Jobber visit, no hours logged",IF(AND(L256&gt;0,N256=""),"Enter Jobber visits",IF(AND(L256&gt;0,N(N256)=0),"Hours logged, no Jobber visit",IF(AND(O256&lt;&gt;"",ABS(N(P256))&gt;0.5),"Hours differ from Jobber","")))))</f>
        <v/>
      </c>
    </row>
    <row r="257">
      <c r="K257">
        <f>IF(Sites!A253="","",Sites!A253)</f>
        <v/>
      </c>
      <c r="L257">
        <f>IF(K257="","",COUNTIFS('Hours Log'!$C$2:$C$2001,K257,'Hours Log'!$I$2:$I$2001,$B$3))</f>
        <v/>
      </c>
      <c r="M257" s="18">
        <f>IF(K257="","",SUMIFS('Hours Log'!$G$2:$G$2001,'Hours Log'!$C$2:$C$2001,K257,'Hours Log'!$I$2:$I$2001,$B$3))</f>
        <v/>
      </c>
      <c r="N257" s="10" t="n"/>
      <c r="O257" s="10" t="n"/>
      <c r="P257" s="18">
        <f>IF(OR(K257="",O257=""),"",M257-O257)</f>
        <v/>
      </c>
      <c r="Q257">
        <f>IF(K257="","",IF(AND(N(N257)&gt;0,L257=0),"Jobber visit, no hours logged",IF(AND(L257&gt;0,N257=""),"Enter Jobber visits",IF(AND(L257&gt;0,N(N257)=0),"Hours logged, no Jobber visit",IF(AND(O257&lt;&gt;"",ABS(N(P257))&gt;0.5),"Hours differ from Jobber","")))))</f>
        <v/>
      </c>
    </row>
    <row r="258">
      <c r="K258">
        <f>IF(Sites!A254="","",Sites!A254)</f>
        <v/>
      </c>
      <c r="L258">
        <f>IF(K258="","",COUNTIFS('Hours Log'!$C$2:$C$2001,K258,'Hours Log'!$I$2:$I$2001,$B$3))</f>
        <v/>
      </c>
      <c r="M258" s="18">
        <f>IF(K258="","",SUMIFS('Hours Log'!$G$2:$G$2001,'Hours Log'!$C$2:$C$2001,K258,'Hours Log'!$I$2:$I$2001,$B$3))</f>
        <v/>
      </c>
      <c r="N258" s="10" t="n"/>
      <c r="O258" s="10" t="n"/>
      <c r="P258" s="18">
        <f>IF(OR(K258="",O258=""),"",M258-O258)</f>
        <v/>
      </c>
      <c r="Q258">
        <f>IF(K258="","",IF(AND(N(N258)&gt;0,L258=0),"Jobber visit, no hours logged",IF(AND(L258&gt;0,N258=""),"Enter Jobber visits",IF(AND(L258&gt;0,N(N258)=0),"Hours logged, no Jobber visit",IF(AND(O258&lt;&gt;"",ABS(N(P258))&gt;0.5),"Hours differ from Jobber","")))))</f>
        <v/>
      </c>
    </row>
    <row r="259">
      <c r="K259">
        <f>IF(Sites!A255="","",Sites!A255)</f>
        <v/>
      </c>
      <c r="L259">
        <f>IF(K259="","",COUNTIFS('Hours Log'!$C$2:$C$2001,K259,'Hours Log'!$I$2:$I$2001,$B$3))</f>
        <v/>
      </c>
      <c r="M259" s="18">
        <f>IF(K259="","",SUMIFS('Hours Log'!$G$2:$G$2001,'Hours Log'!$C$2:$C$2001,K259,'Hours Log'!$I$2:$I$2001,$B$3))</f>
        <v/>
      </c>
      <c r="N259" s="10" t="n"/>
      <c r="O259" s="10" t="n"/>
      <c r="P259" s="18">
        <f>IF(OR(K259="",O259=""),"",M259-O259)</f>
        <v/>
      </c>
      <c r="Q259">
        <f>IF(K259="","",IF(AND(N(N259)&gt;0,L259=0),"Jobber visit, no hours logged",IF(AND(L259&gt;0,N259=""),"Enter Jobber visits",IF(AND(L259&gt;0,N(N259)=0),"Hours logged, no Jobber visit",IF(AND(O259&lt;&gt;"",ABS(N(P259))&gt;0.5),"Hours differ from Jobber","")))))</f>
        <v/>
      </c>
    </row>
    <row r="260">
      <c r="K260">
        <f>IF(Sites!A256="","",Sites!A256)</f>
        <v/>
      </c>
      <c r="L260">
        <f>IF(K260="","",COUNTIFS('Hours Log'!$C$2:$C$2001,K260,'Hours Log'!$I$2:$I$2001,$B$3))</f>
        <v/>
      </c>
      <c r="M260" s="18">
        <f>IF(K260="","",SUMIFS('Hours Log'!$G$2:$G$2001,'Hours Log'!$C$2:$C$2001,K260,'Hours Log'!$I$2:$I$2001,$B$3))</f>
        <v/>
      </c>
      <c r="N260" s="10" t="n"/>
      <c r="O260" s="10" t="n"/>
      <c r="P260" s="18">
        <f>IF(OR(K260="",O260=""),"",M260-O260)</f>
        <v/>
      </c>
      <c r="Q260">
        <f>IF(K260="","",IF(AND(N(N260)&gt;0,L260=0),"Jobber visit, no hours logged",IF(AND(L260&gt;0,N260=""),"Enter Jobber visits",IF(AND(L260&gt;0,N(N260)=0),"Hours logged, no Jobber visit",IF(AND(O260&lt;&gt;"",ABS(N(P260))&gt;0.5),"Hours differ from Jobber","")))))</f>
        <v/>
      </c>
    </row>
    <row r="261">
      <c r="K261">
        <f>IF(Sites!A257="","",Sites!A257)</f>
        <v/>
      </c>
      <c r="L261">
        <f>IF(K261="","",COUNTIFS('Hours Log'!$C$2:$C$2001,K261,'Hours Log'!$I$2:$I$2001,$B$3))</f>
        <v/>
      </c>
      <c r="M261" s="18">
        <f>IF(K261="","",SUMIFS('Hours Log'!$G$2:$G$2001,'Hours Log'!$C$2:$C$2001,K261,'Hours Log'!$I$2:$I$2001,$B$3))</f>
        <v/>
      </c>
      <c r="N261" s="10" t="n"/>
      <c r="O261" s="10" t="n"/>
      <c r="P261" s="18">
        <f>IF(OR(K261="",O261=""),"",M261-O261)</f>
        <v/>
      </c>
      <c r="Q261">
        <f>IF(K261="","",IF(AND(N(N261)&gt;0,L261=0),"Jobber visit, no hours logged",IF(AND(L261&gt;0,N261=""),"Enter Jobber visits",IF(AND(L261&gt;0,N(N261)=0),"Hours logged, no Jobber visit",IF(AND(O261&lt;&gt;"",ABS(N(P261))&gt;0.5),"Hours differ from Jobber","")))))</f>
        <v/>
      </c>
    </row>
    <row r="262">
      <c r="K262">
        <f>IF(Sites!A258="","",Sites!A258)</f>
        <v/>
      </c>
      <c r="L262">
        <f>IF(K262="","",COUNTIFS('Hours Log'!$C$2:$C$2001,K262,'Hours Log'!$I$2:$I$2001,$B$3))</f>
        <v/>
      </c>
      <c r="M262" s="18">
        <f>IF(K262="","",SUMIFS('Hours Log'!$G$2:$G$2001,'Hours Log'!$C$2:$C$2001,K262,'Hours Log'!$I$2:$I$2001,$B$3))</f>
        <v/>
      </c>
      <c r="N262" s="10" t="n"/>
      <c r="O262" s="10" t="n"/>
      <c r="P262" s="18">
        <f>IF(OR(K262="",O262=""),"",M262-O262)</f>
        <v/>
      </c>
      <c r="Q262">
        <f>IF(K262="","",IF(AND(N(N262)&gt;0,L262=0),"Jobber visit, no hours logged",IF(AND(L262&gt;0,N262=""),"Enter Jobber visits",IF(AND(L262&gt;0,N(N262)=0),"Hours logged, no Jobber visit",IF(AND(O262&lt;&gt;"",ABS(N(P262))&gt;0.5),"Hours differ from Jobber","")))))</f>
        <v/>
      </c>
    </row>
    <row r="263">
      <c r="K263">
        <f>IF(Sites!A259="","",Sites!A259)</f>
        <v/>
      </c>
      <c r="L263">
        <f>IF(K263="","",COUNTIFS('Hours Log'!$C$2:$C$2001,K263,'Hours Log'!$I$2:$I$2001,$B$3))</f>
        <v/>
      </c>
      <c r="M263" s="18">
        <f>IF(K263="","",SUMIFS('Hours Log'!$G$2:$G$2001,'Hours Log'!$C$2:$C$2001,K263,'Hours Log'!$I$2:$I$2001,$B$3))</f>
        <v/>
      </c>
      <c r="N263" s="10" t="n"/>
      <c r="O263" s="10" t="n"/>
      <c r="P263" s="18">
        <f>IF(OR(K263="",O263=""),"",M263-O263)</f>
        <v/>
      </c>
      <c r="Q263">
        <f>IF(K263="","",IF(AND(N(N263)&gt;0,L263=0),"Jobber visit, no hours logged",IF(AND(L263&gt;0,N263=""),"Enter Jobber visits",IF(AND(L263&gt;0,N(N263)=0),"Hours logged, no Jobber visit",IF(AND(O263&lt;&gt;"",ABS(N(P263))&gt;0.5),"Hours differ from Jobber","")))))</f>
        <v/>
      </c>
    </row>
    <row r="264">
      <c r="K264">
        <f>IF(Sites!A260="","",Sites!A260)</f>
        <v/>
      </c>
      <c r="L264">
        <f>IF(K264="","",COUNTIFS('Hours Log'!$C$2:$C$2001,K264,'Hours Log'!$I$2:$I$2001,$B$3))</f>
        <v/>
      </c>
      <c r="M264" s="18">
        <f>IF(K264="","",SUMIFS('Hours Log'!$G$2:$G$2001,'Hours Log'!$C$2:$C$2001,K264,'Hours Log'!$I$2:$I$2001,$B$3))</f>
        <v/>
      </c>
      <c r="N264" s="10" t="n"/>
      <c r="O264" s="10" t="n"/>
      <c r="P264" s="18">
        <f>IF(OR(K264="",O264=""),"",M264-O264)</f>
        <v/>
      </c>
      <c r="Q264">
        <f>IF(K264="","",IF(AND(N(N264)&gt;0,L264=0),"Jobber visit, no hours logged",IF(AND(L264&gt;0,N264=""),"Enter Jobber visits",IF(AND(L264&gt;0,N(N264)=0),"Hours logged, no Jobber visit",IF(AND(O264&lt;&gt;"",ABS(N(P264))&gt;0.5),"Hours differ from Jobber","")))))</f>
        <v/>
      </c>
    </row>
    <row r="265">
      <c r="K265">
        <f>IF(Sites!A261="","",Sites!A261)</f>
        <v/>
      </c>
      <c r="L265">
        <f>IF(K265="","",COUNTIFS('Hours Log'!$C$2:$C$2001,K265,'Hours Log'!$I$2:$I$2001,$B$3))</f>
        <v/>
      </c>
      <c r="M265" s="18">
        <f>IF(K265="","",SUMIFS('Hours Log'!$G$2:$G$2001,'Hours Log'!$C$2:$C$2001,K265,'Hours Log'!$I$2:$I$2001,$B$3))</f>
        <v/>
      </c>
      <c r="N265" s="10" t="n"/>
      <c r="O265" s="10" t="n"/>
      <c r="P265" s="18">
        <f>IF(OR(K265="",O265=""),"",M265-O265)</f>
        <v/>
      </c>
      <c r="Q265">
        <f>IF(K265="","",IF(AND(N(N265)&gt;0,L265=0),"Jobber visit, no hours logged",IF(AND(L265&gt;0,N265=""),"Enter Jobber visits",IF(AND(L265&gt;0,N(N265)=0),"Hours logged, no Jobber visit",IF(AND(O265&lt;&gt;"",ABS(N(P265))&gt;0.5),"Hours differ from Jobber","")))))</f>
        <v/>
      </c>
    </row>
    <row r="266">
      <c r="K266">
        <f>IF(Sites!A262="","",Sites!A262)</f>
        <v/>
      </c>
      <c r="L266">
        <f>IF(K266="","",COUNTIFS('Hours Log'!$C$2:$C$2001,K266,'Hours Log'!$I$2:$I$2001,$B$3))</f>
        <v/>
      </c>
      <c r="M266" s="18">
        <f>IF(K266="","",SUMIFS('Hours Log'!$G$2:$G$2001,'Hours Log'!$C$2:$C$2001,K266,'Hours Log'!$I$2:$I$2001,$B$3))</f>
        <v/>
      </c>
      <c r="N266" s="10" t="n"/>
      <c r="O266" s="10" t="n"/>
      <c r="P266" s="18">
        <f>IF(OR(K266="",O266=""),"",M266-O266)</f>
        <v/>
      </c>
      <c r="Q266">
        <f>IF(K266="","",IF(AND(N(N266)&gt;0,L266=0),"Jobber visit, no hours logged",IF(AND(L266&gt;0,N266=""),"Enter Jobber visits",IF(AND(L266&gt;0,N(N266)=0),"Hours logged, no Jobber visit",IF(AND(O266&lt;&gt;"",ABS(N(P266))&gt;0.5),"Hours differ from Jobber","")))))</f>
        <v/>
      </c>
    </row>
    <row r="267">
      <c r="K267">
        <f>IF(Sites!A263="","",Sites!A263)</f>
        <v/>
      </c>
      <c r="L267">
        <f>IF(K267="","",COUNTIFS('Hours Log'!$C$2:$C$2001,K267,'Hours Log'!$I$2:$I$2001,$B$3))</f>
        <v/>
      </c>
      <c r="M267" s="18">
        <f>IF(K267="","",SUMIFS('Hours Log'!$G$2:$G$2001,'Hours Log'!$C$2:$C$2001,K267,'Hours Log'!$I$2:$I$2001,$B$3))</f>
        <v/>
      </c>
      <c r="N267" s="10" t="n"/>
      <c r="O267" s="10" t="n"/>
      <c r="P267" s="18">
        <f>IF(OR(K267="",O267=""),"",M267-O267)</f>
        <v/>
      </c>
      <c r="Q267">
        <f>IF(K267="","",IF(AND(N(N267)&gt;0,L267=0),"Jobber visit, no hours logged",IF(AND(L267&gt;0,N267=""),"Enter Jobber visits",IF(AND(L267&gt;0,N(N267)=0),"Hours logged, no Jobber visit",IF(AND(O267&lt;&gt;"",ABS(N(P267))&gt;0.5),"Hours differ from Jobber","")))))</f>
        <v/>
      </c>
    </row>
    <row r="268">
      <c r="K268">
        <f>IF(Sites!A264="","",Sites!A264)</f>
        <v/>
      </c>
      <c r="L268">
        <f>IF(K268="","",COUNTIFS('Hours Log'!$C$2:$C$2001,K268,'Hours Log'!$I$2:$I$2001,$B$3))</f>
        <v/>
      </c>
      <c r="M268" s="18">
        <f>IF(K268="","",SUMIFS('Hours Log'!$G$2:$G$2001,'Hours Log'!$C$2:$C$2001,K268,'Hours Log'!$I$2:$I$2001,$B$3))</f>
        <v/>
      </c>
      <c r="N268" s="10" t="n"/>
      <c r="O268" s="10" t="n"/>
      <c r="P268" s="18">
        <f>IF(OR(K268="",O268=""),"",M268-O268)</f>
        <v/>
      </c>
      <c r="Q268">
        <f>IF(K268="","",IF(AND(N(N268)&gt;0,L268=0),"Jobber visit, no hours logged",IF(AND(L268&gt;0,N268=""),"Enter Jobber visits",IF(AND(L268&gt;0,N(N268)=0),"Hours logged, no Jobber visit",IF(AND(O268&lt;&gt;"",ABS(N(P268))&gt;0.5),"Hours differ from Jobber","")))))</f>
        <v/>
      </c>
    </row>
    <row r="269">
      <c r="K269">
        <f>IF(Sites!A265="","",Sites!A265)</f>
        <v/>
      </c>
      <c r="L269">
        <f>IF(K269="","",COUNTIFS('Hours Log'!$C$2:$C$2001,K269,'Hours Log'!$I$2:$I$2001,$B$3))</f>
        <v/>
      </c>
      <c r="M269" s="18">
        <f>IF(K269="","",SUMIFS('Hours Log'!$G$2:$G$2001,'Hours Log'!$C$2:$C$2001,K269,'Hours Log'!$I$2:$I$2001,$B$3))</f>
        <v/>
      </c>
      <c r="N269" s="10" t="n"/>
      <c r="O269" s="10" t="n"/>
      <c r="P269" s="18">
        <f>IF(OR(K269="",O269=""),"",M269-O269)</f>
        <v/>
      </c>
      <c r="Q269">
        <f>IF(K269="","",IF(AND(N(N269)&gt;0,L269=0),"Jobber visit, no hours logged",IF(AND(L269&gt;0,N269=""),"Enter Jobber visits",IF(AND(L269&gt;0,N(N269)=0),"Hours logged, no Jobber visit",IF(AND(O269&lt;&gt;"",ABS(N(P269))&gt;0.5),"Hours differ from Jobber","")))))</f>
        <v/>
      </c>
    </row>
    <row r="270">
      <c r="K270">
        <f>IF(Sites!A266="","",Sites!A266)</f>
        <v/>
      </c>
      <c r="L270">
        <f>IF(K270="","",COUNTIFS('Hours Log'!$C$2:$C$2001,K270,'Hours Log'!$I$2:$I$2001,$B$3))</f>
        <v/>
      </c>
      <c r="M270" s="18">
        <f>IF(K270="","",SUMIFS('Hours Log'!$G$2:$G$2001,'Hours Log'!$C$2:$C$2001,K270,'Hours Log'!$I$2:$I$2001,$B$3))</f>
        <v/>
      </c>
      <c r="N270" s="10" t="n"/>
      <c r="O270" s="10" t="n"/>
      <c r="P270" s="18">
        <f>IF(OR(K270="",O270=""),"",M270-O270)</f>
        <v/>
      </c>
      <c r="Q270">
        <f>IF(K270="","",IF(AND(N(N270)&gt;0,L270=0),"Jobber visit, no hours logged",IF(AND(L270&gt;0,N270=""),"Enter Jobber visits",IF(AND(L270&gt;0,N(N270)=0),"Hours logged, no Jobber visit",IF(AND(O270&lt;&gt;"",ABS(N(P270))&gt;0.5),"Hours differ from Jobber","")))))</f>
        <v/>
      </c>
    </row>
    <row r="271">
      <c r="K271">
        <f>IF(Sites!A267="","",Sites!A267)</f>
        <v/>
      </c>
      <c r="L271">
        <f>IF(K271="","",COUNTIFS('Hours Log'!$C$2:$C$2001,K271,'Hours Log'!$I$2:$I$2001,$B$3))</f>
        <v/>
      </c>
      <c r="M271" s="18">
        <f>IF(K271="","",SUMIFS('Hours Log'!$G$2:$G$2001,'Hours Log'!$C$2:$C$2001,K271,'Hours Log'!$I$2:$I$2001,$B$3))</f>
        <v/>
      </c>
      <c r="N271" s="10" t="n"/>
      <c r="O271" s="10" t="n"/>
      <c r="P271" s="18">
        <f>IF(OR(K271="",O271=""),"",M271-O271)</f>
        <v/>
      </c>
      <c r="Q271">
        <f>IF(K271="","",IF(AND(N(N271)&gt;0,L271=0),"Jobber visit, no hours logged",IF(AND(L271&gt;0,N271=""),"Enter Jobber visits",IF(AND(L271&gt;0,N(N271)=0),"Hours logged, no Jobber visit",IF(AND(O271&lt;&gt;"",ABS(N(P271))&gt;0.5),"Hours differ from Jobber","")))))</f>
        <v/>
      </c>
    </row>
    <row r="272">
      <c r="K272">
        <f>IF(Sites!A268="","",Sites!A268)</f>
        <v/>
      </c>
      <c r="L272">
        <f>IF(K272="","",COUNTIFS('Hours Log'!$C$2:$C$2001,K272,'Hours Log'!$I$2:$I$2001,$B$3))</f>
        <v/>
      </c>
      <c r="M272" s="18">
        <f>IF(K272="","",SUMIFS('Hours Log'!$G$2:$G$2001,'Hours Log'!$C$2:$C$2001,K272,'Hours Log'!$I$2:$I$2001,$B$3))</f>
        <v/>
      </c>
      <c r="N272" s="10" t="n"/>
      <c r="O272" s="10" t="n"/>
      <c r="P272" s="18">
        <f>IF(OR(K272="",O272=""),"",M272-O272)</f>
        <v/>
      </c>
      <c r="Q272">
        <f>IF(K272="","",IF(AND(N(N272)&gt;0,L272=0),"Jobber visit, no hours logged",IF(AND(L272&gt;0,N272=""),"Enter Jobber visits",IF(AND(L272&gt;0,N(N272)=0),"Hours logged, no Jobber visit",IF(AND(O272&lt;&gt;"",ABS(N(P272))&gt;0.5),"Hours differ from Jobber","")))))</f>
        <v/>
      </c>
    </row>
    <row r="273">
      <c r="K273">
        <f>IF(Sites!A269="","",Sites!A269)</f>
        <v/>
      </c>
      <c r="L273">
        <f>IF(K273="","",COUNTIFS('Hours Log'!$C$2:$C$2001,K273,'Hours Log'!$I$2:$I$2001,$B$3))</f>
        <v/>
      </c>
      <c r="M273" s="18">
        <f>IF(K273="","",SUMIFS('Hours Log'!$G$2:$G$2001,'Hours Log'!$C$2:$C$2001,K273,'Hours Log'!$I$2:$I$2001,$B$3))</f>
        <v/>
      </c>
      <c r="N273" s="10" t="n"/>
      <c r="O273" s="10" t="n"/>
      <c r="P273" s="18">
        <f>IF(OR(K273="",O273=""),"",M273-O273)</f>
        <v/>
      </c>
      <c r="Q273">
        <f>IF(K273="","",IF(AND(N(N273)&gt;0,L273=0),"Jobber visit, no hours logged",IF(AND(L273&gt;0,N273=""),"Enter Jobber visits",IF(AND(L273&gt;0,N(N273)=0),"Hours logged, no Jobber visit",IF(AND(O273&lt;&gt;"",ABS(N(P273))&gt;0.5),"Hours differ from Jobber","")))))</f>
        <v/>
      </c>
    </row>
    <row r="274">
      <c r="K274">
        <f>IF(Sites!A270="","",Sites!A270)</f>
        <v/>
      </c>
      <c r="L274">
        <f>IF(K274="","",COUNTIFS('Hours Log'!$C$2:$C$2001,K274,'Hours Log'!$I$2:$I$2001,$B$3))</f>
        <v/>
      </c>
      <c r="M274" s="18">
        <f>IF(K274="","",SUMIFS('Hours Log'!$G$2:$G$2001,'Hours Log'!$C$2:$C$2001,K274,'Hours Log'!$I$2:$I$2001,$B$3))</f>
        <v/>
      </c>
      <c r="N274" s="10" t="n"/>
      <c r="O274" s="10" t="n"/>
      <c r="P274" s="18">
        <f>IF(OR(K274="",O274=""),"",M274-O274)</f>
        <v/>
      </c>
      <c r="Q274">
        <f>IF(K274="","",IF(AND(N(N274)&gt;0,L274=0),"Jobber visit, no hours logged",IF(AND(L274&gt;0,N274=""),"Enter Jobber visits",IF(AND(L274&gt;0,N(N274)=0),"Hours logged, no Jobber visit",IF(AND(O274&lt;&gt;"",ABS(N(P274))&gt;0.5),"Hours differ from Jobber","")))))</f>
        <v/>
      </c>
    </row>
    <row r="275">
      <c r="K275">
        <f>IF(Sites!A271="","",Sites!A271)</f>
        <v/>
      </c>
      <c r="L275">
        <f>IF(K275="","",COUNTIFS('Hours Log'!$C$2:$C$2001,K275,'Hours Log'!$I$2:$I$2001,$B$3))</f>
        <v/>
      </c>
      <c r="M275" s="18">
        <f>IF(K275="","",SUMIFS('Hours Log'!$G$2:$G$2001,'Hours Log'!$C$2:$C$2001,K275,'Hours Log'!$I$2:$I$2001,$B$3))</f>
        <v/>
      </c>
      <c r="N275" s="10" t="n"/>
      <c r="O275" s="10" t="n"/>
      <c r="P275" s="18">
        <f>IF(OR(K275="",O275=""),"",M275-O275)</f>
        <v/>
      </c>
      <c r="Q275">
        <f>IF(K275="","",IF(AND(N(N275)&gt;0,L275=0),"Jobber visit, no hours logged",IF(AND(L275&gt;0,N275=""),"Enter Jobber visits",IF(AND(L275&gt;0,N(N275)=0),"Hours logged, no Jobber visit",IF(AND(O275&lt;&gt;"",ABS(N(P275))&gt;0.5),"Hours differ from Jobber","")))))</f>
        <v/>
      </c>
    </row>
    <row r="276">
      <c r="K276">
        <f>IF(Sites!A272="","",Sites!A272)</f>
        <v/>
      </c>
      <c r="L276">
        <f>IF(K276="","",COUNTIFS('Hours Log'!$C$2:$C$2001,K276,'Hours Log'!$I$2:$I$2001,$B$3))</f>
        <v/>
      </c>
      <c r="M276" s="18">
        <f>IF(K276="","",SUMIFS('Hours Log'!$G$2:$G$2001,'Hours Log'!$C$2:$C$2001,K276,'Hours Log'!$I$2:$I$2001,$B$3))</f>
        <v/>
      </c>
      <c r="N276" s="10" t="n"/>
      <c r="O276" s="10" t="n"/>
      <c r="P276" s="18">
        <f>IF(OR(K276="",O276=""),"",M276-O276)</f>
        <v/>
      </c>
      <c r="Q276">
        <f>IF(K276="","",IF(AND(N(N276)&gt;0,L276=0),"Jobber visit, no hours logged",IF(AND(L276&gt;0,N276=""),"Enter Jobber visits",IF(AND(L276&gt;0,N(N276)=0),"Hours logged, no Jobber visit",IF(AND(O276&lt;&gt;"",ABS(N(P276))&gt;0.5),"Hours differ from Jobber","")))))</f>
        <v/>
      </c>
    </row>
    <row r="277">
      <c r="K277">
        <f>IF(Sites!A273="","",Sites!A273)</f>
        <v/>
      </c>
      <c r="L277">
        <f>IF(K277="","",COUNTIFS('Hours Log'!$C$2:$C$2001,K277,'Hours Log'!$I$2:$I$2001,$B$3))</f>
        <v/>
      </c>
      <c r="M277" s="18">
        <f>IF(K277="","",SUMIFS('Hours Log'!$G$2:$G$2001,'Hours Log'!$C$2:$C$2001,K277,'Hours Log'!$I$2:$I$2001,$B$3))</f>
        <v/>
      </c>
      <c r="N277" s="10" t="n"/>
      <c r="O277" s="10" t="n"/>
      <c r="P277" s="18">
        <f>IF(OR(K277="",O277=""),"",M277-O277)</f>
        <v/>
      </c>
      <c r="Q277">
        <f>IF(K277="","",IF(AND(N(N277)&gt;0,L277=0),"Jobber visit, no hours logged",IF(AND(L277&gt;0,N277=""),"Enter Jobber visits",IF(AND(L277&gt;0,N(N277)=0),"Hours logged, no Jobber visit",IF(AND(O277&lt;&gt;"",ABS(N(P277))&gt;0.5),"Hours differ from Jobber","")))))</f>
        <v/>
      </c>
    </row>
    <row r="278">
      <c r="K278">
        <f>IF(Sites!A274="","",Sites!A274)</f>
        <v/>
      </c>
      <c r="L278">
        <f>IF(K278="","",COUNTIFS('Hours Log'!$C$2:$C$2001,K278,'Hours Log'!$I$2:$I$2001,$B$3))</f>
        <v/>
      </c>
      <c r="M278" s="18">
        <f>IF(K278="","",SUMIFS('Hours Log'!$G$2:$G$2001,'Hours Log'!$C$2:$C$2001,K278,'Hours Log'!$I$2:$I$2001,$B$3))</f>
        <v/>
      </c>
      <c r="N278" s="10" t="n"/>
      <c r="O278" s="10" t="n"/>
      <c r="P278" s="18">
        <f>IF(OR(K278="",O278=""),"",M278-O278)</f>
        <v/>
      </c>
      <c r="Q278">
        <f>IF(K278="","",IF(AND(N(N278)&gt;0,L278=0),"Jobber visit, no hours logged",IF(AND(L278&gt;0,N278=""),"Enter Jobber visits",IF(AND(L278&gt;0,N(N278)=0),"Hours logged, no Jobber visit",IF(AND(O278&lt;&gt;"",ABS(N(P278))&gt;0.5),"Hours differ from Jobber","")))))</f>
        <v/>
      </c>
    </row>
    <row r="279">
      <c r="K279">
        <f>IF(Sites!A275="","",Sites!A275)</f>
        <v/>
      </c>
      <c r="L279">
        <f>IF(K279="","",COUNTIFS('Hours Log'!$C$2:$C$2001,K279,'Hours Log'!$I$2:$I$2001,$B$3))</f>
        <v/>
      </c>
      <c r="M279" s="18">
        <f>IF(K279="","",SUMIFS('Hours Log'!$G$2:$G$2001,'Hours Log'!$C$2:$C$2001,K279,'Hours Log'!$I$2:$I$2001,$B$3))</f>
        <v/>
      </c>
      <c r="N279" s="10" t="n"/>
      <c r="O279" s="10" t="n"/>
      <c r="P279" s="18">
        <f>IF(OR(K279="",O279=""),"",M279-O279)</f>
        <v/>
      </c>
      <c r="Q279">
        <f>IF(K279="","",IF(AND(N(N279)&gt;0,L279=0),"Jobber visit, no hours logged",IF(AND(L279&gt;0,N279=""),"Enter Jobber visits",IF(AND(L279&gt;0,N(N279)=0),"Hours logged, no Jobber visit",IF(AND(O279&lt;&gt;"",ABS(N(P279))&gt;0.5),"Hours differ from Jobber","")))))</f>
        <v/>
      </c>
    </row>
    <row r="280">
      <c r="K280">
        <f>IF(Sites!A276="","",Sites!A276)</f>
        <v/>
      </c>
      <c r="L280">
        <f>IF(K280="","",COUNTIFS('Hours Log'!$C$2:$C$2001,K280,'Hours Log'!$I$2:$I$2001,$B$3))</f>
        <v/>
      </c>
      <c r="M280" s="18">
        <f>IF(K280="","",SUMIFS('Hours Log'!$G$2:$G$2001,'Hours Log'!$C$2:$C$2001,K280,'Hours Log'!$I$2:$I$2001,$B$3))</f>
        <v/>
      </c>
      <c r="N280" s="10" t="n"/>
      <c r="O280" s="10" t="n"/>
      <c r="P280" s="18">
        <f>IF(OR(K280="",O280=""),"",M280-O280)</f>
        <v/>
      </c>
      <c r="Q280">
        <f>IF(K280="","",IF(AND(N(N280)&gt;0,L280=0),"Jobber visit, no hours logged",IF(AND(L280&gt;0,N280=""),"Enter Jobber visits",IF(AND(L280&gt;0,N(N280)=0),"Hours logged, no Jobber visit",IF(AND(O280&lt;&gt;"",ABS(N(P280))&gt;0.5),"Hours differ from Jobber","")))))</f>
        <v/>
      </c>
    </row>
    <row r="281">
      <c r="K281">
        <f>IF(Sites!A277="","",Sites!A277)</f>
        <v/>
      </c>
      <c r="L281">
        <f>IF(K281="","",COUNTIFS('Hours Log'!$C$2:$C$2001,K281,'Hours Log'!$I$2:$I$2001,$B$3))</f>
        <v/>
      </c>
      <c r="M281" s="18">
        <f>IF(K281="","",SUMIFS('Hours Log'!$G$2:$G$2001,'Hours Log'!$C$2:$C$2001,K281,'Hours Log'!$I$2:$I$2001,$B$3))</f>
        <v/>
      </c>
      <c r="N281" s="10" t="n"/>
      <c r="O281" s="10" t="n"/>
      <c r="P281" s="18">
        <f>IF(OR(K281="",O281=""),"",M281-O281)</f>
        <v/>
      </c>
      <c r="Q281">
        <f>IF(K281="","",IF(AND(N(N281)&gt;0,L281=0),"Jobber visit, no hours logged",IF(AND(L281&gt;0,N281=""),"Enter Jobber visits",IF(AND(L281&gt;0,N(N281)=0),"Hours logged, no Jobber visit",IF(AND(O281&lt;&gt;"",ABS(N(P281))&gt;0.5),"Hours differ from Jobber","")))))</f>
        <v/>
      </c>
    </row>
    <row r="282">
      <c r="K282">
        <f>IF(Sites!A278="","",Sites!A278)</f>
        <v/>
      </c>
      <c r="L282">
        <f>IF(K282="","",COUNTIFS('Hours Log'!$C$2:$C$2001,K282,'Hours Log'!$I$2:$I$2001,$B$3))</f>
        <v/>
      </c>
      <c r="M282" s="18">
        <f>IF(K282="","",SUMIFS('Hours Log'!$G$2:$G$2001,'Hours Log'!$C$2:$C$2001,K282,'Hours Log'!$I$2:$I$2001,$B$3))</f>
        <v/>
      </c>
      <c r="N282" s="10" t="n"/>
      <c r="O282" s="10" t="n"/>
      <c r="P282" s="18">
        <f>IF(OR(K282="",O282=""),"",M282-O282)</f>
        <v/>
      </c>
      <c r="Q282">
        <f>IF(K282="","",IF(AND(N(N282)&gt;0,L282=0),"Jobber visit, no hours logged",IF(AND(L282&gt;0,N282=""),"Enter Jobber visits",IF(AND(L282&gt;0,N(N282)=0),"Hours logged, no Jobber visit",IF(AND(O282&lt;&gt;"",ABS(N(P282))&gt;0.5),"Hours differ from Jobber","")))))</f>
        <v/>
      </c>
    </row>
    <row r="283">
      <c r="K283">
        <f>IF(Sites!A279="","",Sites!A279)</f>
        <v/>
      </c>
      <c r="L283">
        <f>IF(K283="","",COUNTIFS('Hours Log'!$C$2:$C$2001,K283,'Hours Log'!$I$2:$I$2001,$B$3))</f>
        <v/>
      </c>
      <c r="M283" s="18">
        <f>IF(K283="","",SUMIFS('Hours Log'!$G$2:$G$2001,'Hours Log'!$C$2:$C$2001,K283,'Hours Log'!$I$2:$I$2001,$B$3))</f>
        <v/>
      </c>
      <c r="N283" s="10" t="n"/>
      <c r="O283" s="10" t="n"/>
      <c r="P283" s="18">
        <f>IF(OR(K283="",O283=""),"",M283-O283)</f>
        <v/>
      </c>
      <c r="Q283">
        <f>IF(K283="","",IF(AND(N(N283)&gt;0,L283=0),"Jobber visit, no hours logged",IF(AND(L283&gt;0,N283=""),"Enter Jobber visits",IF(AND(L283&gt;0,N(N283)=0),"Hours logged, no Jobber visit",IF(AND(O283&lt;&gt;"",ABS(N(P283))&gt;0.5),"Hours differ from Jobber","")))))</f>
        <v/>
      </c>
    </row>
    <row r="284">
      <c r="K284">
        <f>IF(Sites!A280="","",Sites!A280)</f>
        <v/>
      </c>
      <c r="L284">
        <f>IF(K284="","",COUNTIFS('Hours Log'!$C$2:$C$2001,K284,'Hours Log'!$I$2:$I$2001,$B$3))</f>
        <v/>
      </c>
      <c r="M284" s="18">
        <f>IF(K284="","",SUMIFS('Hours Log'!$G$2:$G$2001,'Hours Log'!$C$2:$C$2001,K284,'Hours Log'!$I$2:$I$2001,$B$3))</f>
        <v/>
      </c>
      <c r="N284" s="10" t="n"/>
      <c r="O284" s="10" t="n"/>
      <c r="P284" s="18">
        <f>IF(OR(K284="",O284=""),"",M284-O284)</f>
        <v/>
      </c>
      <c r="Q284">
        <f>IF(K284="","",IF(AND(N(N284)&gt;0,L284=0),"Jobber visit, no hours logged",IF(AND(L284&gt;0,N284=""),"Enter Jobber visits",IF(AND(L284&gt;0,N(N284)=0),"Hours logged, no Jobber visit",IF(AND(O284&lt;&gt;"",ABS(N(P284))&gt;0.5),"Hours differ from Jobber","")))))</f>
        <v/>
      </c>
    </row>
    <row r="285">
      <c r="K285">
        <f>IF(Sites!A281="","",Sites!A281)</f>
        <v/>
      </c>
      <c r="L285">
        <f>IF(K285="","",COUNTIFS('Hours Log'!$C$2:$C$2001,K285,'Hours Log'!$I$2:$I$2001,$B$3))</f>
        <v/>
      </c>
      <c r="M285" s="18">
        <f>IF(K285="","",SUMIFS('Hours Log'!$G$2:$G$2001,'Hours Log'!$C$2:$C$2001,K285,'Hours Log'!$I$2:$I$2001,$B$3))</f>
        <v/>
      </c>
      <c r="N285" s="10" t="n"/>
      <c r="O285" s="10" t="n"/>
      <c r="P285" s="18">
        <f>IF(OR(K285="",O285=""),"",M285-O285)</f>
        <v/>
      </c>
      <c r="Q285">
        <f>IF(K285="","",IF(AND(N(N285)&gt;0,L285=0),"Jobber visit, no hours logged",IF(AND(L285&gt;0,N285=""),"Enter Jobber visits",IF(AND(L285&gt;0,N(N285)=0),"Hours logged, no Jobber visit",IF(AND(O285&lt;&gt;"",ABS(N(P285))&gt;0.5),"Hours differ from Jobber","")))))</f>
        <v/>
      </c>
    </row>
    <row r="286">
      <c r="K286">
        <f>IF(Sites!A282="","",Sites!A282)</f>
        <v/>
      </c>
      <c r="L286">
        <f>IF(K286="","",COUNTIFS('Hours Log'!$C$2:$C$2001,K286,'Hours Log'!$I$2:$I$2001,$B$3))</f>
        <v/>
      </c>
      <c r="M286" s="18">
        <f>IF(K286="","",SUMIFS('Hours Log'!$G$2:$G$2001,'Hours Log'!$C$2:$C$2001,K286,'Hours Log'!$I$2:$I$2001,$B$3))</f>
        <v/>
      </c>
      <c r="N286" s="10" t="n"/>
      <c r="O286" s="10" t="n"/>
      <c r="P286" s="18">
        <f>IF(OR(K286="",O286=""),"",M286-O286)</f>
        <v/>
      </c>
      <c r="Q286">
        <f>IF(K286="","",IF(AND(N(N286)&gt;0,L286=0),"Jobber visit, no hours logged",IF(AND(L286&gt;0,N286=""),"Enter Jobber visits",IF(AND(L286&gt;0,N(N286)=0),"Hours logged, no Jobber visit",IF(AND(O286&lt;&gt;"",ABS(N(P286))&gt;0.5),"Hours differ from Jobber","")))))</f>
        <v/>
      </c>
    </row>
    <row r="287">
      <c r="K287">
        <f>IF(Sites!A283="","",Sites!A283)</f>
        <v/>
      </c>
      <c r="L287">
        <f>IF(K287="","",COUNTIFS('Hours Log'!$C$2:$C$2001,K287,'Hours Log'!$I$2:$I$2001,$B$3))</f>
        <v/>
      </c>
      <c r="M287" s="18">
        <f>IF(K287="","",SUMIFS('Hours Log'!$G$2:$G$2001,'Hours Log'!$C$2:$C$2001,K287,'Hours Log'!$I$2:$I$2001,$B$3))</f>
        <v/>
      </c>
      <c r="N287" s="10" t="n"/>
      <c r="O287" s="10" t="n"/>
      <c r="P287" s="18">
        <f>IF(OR(K287="",O287=""),"",M287-O287)</f>
        <v/>
      </c>
      <c r="Q287">
        <f>IF(K287="","",IF(AND(N(N287)&gt;0,L287=0),"Jobber visit, no hours logged",IF(AND(L287&gt;0,N287=""),"Enter Jobber visits",IF(AND(L287&gt;0,N(N287)=0),"Hours logged, no Jobber visit",IF(AND(O287&lt;&gt;"",ABS(N(P287))&gt;0.5),"Hours differ from Jobber","")))))</f>
        <v/>
      </c>
    </row>
    <row r="288">
      <c r="K288">
        <f>IF(Sites!A284="","",Sites!A284)</f>
        <v/>
      </c>
      <c r="L288">
        <f>IF(K288="","",COUNTIFS('Hours Log'!$C$2:$C$2001,K288,'Hours Log'!$I$2:$I$2001,$B$3))</f>
        <v/>
      </c>
      <c r="M288" s="18">
        <f>IF(K288="","",SUMIFS('Hours Log'!$G$2:$G$2001,'Hours Log'!$C$2:$C$2001,K288,'Hours Log'!$I$2:$I$2001,$B$3))</f>
        <v/>
      </c>
      <c r="N288" s="10" t="n"/>
      <c r="O288" s="10" t="n"/>
      <c r="P288" s="18">
        <f>IF(OR(K288="",O288=""),"",M288-O288)</f>
        <v/>
      </c>
      <c r="Q288">
        <f>IF(K288="","",IF(AND(N(N288)&gt;0,L288=0),"Jobber visit, no hours logged",IF(AND(L288&gt;0,N288=""),"Enter Jobber visits",IF(AND(L288&gt;0,N(N288)=0),"Hours logged, no Jobber visit",IF(AND(O288&lt;&gt;"",ABS(N(P288))&gt;0.5),"Hours differ from Jobber","")))))</f>
        <v/>
      </c>
    </row>
    <row r="289">
      <c r="K289">
        <f>IF(Sites!A285="","",Sites!A285)</f>
        <v/>
      </c>
      <c r="L289">
        <f>IF(K289="","",COUNTIFS('Hours Log'!$C$2:$C$2001,K289,'Hours Log'!$I$2:$I$2001,$B$3))</f>
        <v/>
      </c>
      <c r="M289" s="18">
        <f>IF(K289="","",SUMIFS('Hours Log'!$G$2:$G$2001,'Hours Log'!$C$2:$C$2001,K289,'Hours Log'!$I$2:$I$2001,$B$3))</f>
        <v/>
      </c>
      <c r="N289" s="10" t="n"/>
      <c r="O289" s="10" t="n"/>
      <c r="P289" s="18">
        <f>IF(OR(K289="",O289=""),"",M289-O289)</f>
        <v/>
      </c>
      <c r="Q289">
        <f>IF(K289="","",IF(AND(N(N289)&gt;0,L289=0),"Jobber visit, no hours logged",IF(AND(L289&gt;0,N289=""),"Enter Jobber visits",IF(AND(L289&gt;0,N(N289)=0),"Hours logged, no Jobber visit",IF(AND(O289&lt;&gt;"",ABS(N(P289))&gt;0.5),"Hours differ from Jobber","")))))</f>
        <v/>
      </c>
    </row>
    <row r="290">
      <c r="K290">
        <f>IF(Sites!A286="","",Sites!A286)</f>
        <v/>
      </c>
      <c r="L290">
        <f>IF(K290="","",COUNTIFS('Hours Log'!$C$2:$C$2001,K290,'Hours Log'!$I$2:$I$2001,$B$3))</f>
        <v/>
      </c>
      <c r="M290" s="18">
        <f>IF(K290="","",SUMIFS('Hours Log'!$G$2:$G$2001,'Hours Log'!$C$2:$C$2001,K290,'Hours Log'!$I$2:$I$2001,$B$3))</f>
        <v/>
      </c>
      <c r="N290" s="10" t="n"/>
      <c r="O290" s="10" t="n"/>
      <c r="P290" s="18">
        <f>IF(OR(K290="",O290=""),"",M290-O290)</f>
        <v/>
      </c>
      <c r="Q290">
        <f>IF(K290="","",IF(AND(N(N290)&gt;0,L290=0),"Jobber visit, no hours logged",IF(AND(L290&gt;0,N290=""),"Enter Jobber visits",IF(AND(L290&gt;0,N(N290)=0),"Hours logged, no Jobber visit",IF(AND(O290&lt;&gt;"",ABS(N(P290))&gt;0.5),"Hours differ from Jobber","")))))</f>
        <v/>
      </c>
    </row>
    <row r="291">
      <c r="K291">
        <f>IF(Sites!A287="","",Sites!A287)</f>
        <v/>
      </c>
      <c r="L291">
        <f>IF(K291="","",COUNTIFS('Hours Log'!$C$2:$C$2001,K291,'Hours Log'!$I$2:$I$2001,$B$3))</f>
        <v/>
      </c>
      <c r="M291" s="18">
        <f>IF(K291="","",SUMIFS('Hours Log'!$G$2:$G$2001,'Hours Log'!$C$2:$C$2001,K291,'Hours Log'!$I$2:$I$2001,$B$3))</f>
        <v/>
      </c>
      <c r="N291" s="10" t="n"/>
      <c r="O291" s="10" t="n"/>
      <c r="P291" s="18">
        <f>IF(OR(K291="",O291=""),"",M291-O291)</f>
        <v/>
      </c>
      <c r="Q291">
        <f>IF(K291="","",IF(AND(N(N291)&gt;0,L291=0),"Jobber visit, no hours logged",IF(AND(L291&gt;0,N291=""),"Enter Jobber visits",IF(AND(L291&gt;0,N(N291)=0),"Hours logged, no Jobber visit",IF(AND(O291&lt;&gt;"",ABS(N(P291))&gt;0.5),"Hours differ from Jobber","")))))</f>
        <v/>
      </c>
    </row>
    <row r="292">
      <c r="K292">
        <f>IF(Sites!A288="","",Sites!A288)</f>
        <v/>
      </c>
      <c r="L292">
        <f>IF(K292="","",COUNTIFS('Hours Log'!$C$2:$C$2001,K292,'Hours Log'!$I$2:$I$2001,$B$3))</f>
        <v/>
      </c>
      <c r="M292" s="18">
        <f>IF(K292="","",SUMIFS('Hours Log'!$G$2:$G$2001,'Hours Log'!$C$2:$C$2001,K292,'Hours Log'!$I$2:$I$2001,$B$3))</f>
        <v/>
      </c>
      <c r="N292" s="10" t="n"/>
      <c r="O292" s="10" t="n"/>
      <c r="P292" s="18">
        <f>IF(OR(K292="",O292=""),"",M292-O292)</f>
        <v/>
      </c>
      <c r="Q292">
        <f>IF(K292="","",IF(AND(N(N292)&gt;0,L292=0),"Jobber visit, no hours logged",IF(AND(L292&gt;0,N292=""),"Enter Jobber visits",IF(AND(L292&gt;0,N(N292)=0),"Hours logged, no Jobber visit",IF(AND(O292&lt;&gt;"",ABS(N(P292))&gt;0.5),"Hours differ from Jobber","")))))</f>
        <v/>
      </c>
    </row>
    <row r="293">
      <c r="K293">
        <f>IF(Sites!A289="","",Sites!A289)</f>
        <v/>
      </c>
      <c r="L293">
        <f>IF(K293="","",COUNTIFS('Hours Log'!$C$2:$C$2001,K293,'Hours Log'!$I$2:$I$2001,$B$3))</f>
        <v/>
      </c>
      <c r="M293" s="18">
        <f>IF(K293="","",SUMIFS('Hours Log'!$G$2:$G$2001,'Hours Log'!$C$2:$C$2001,K293,'Hours Log'!$I$2:$I$2001,$B$3))</f>
        <v/>
      </c>
      <c r="N293" s="10" t="n"/>
      <c r="O293" s="10" t="n"/>
      <c r="P293" s="18">
        <f>IF(OR(K293="",O293=""),"",M293-O293)</f>
        <v/>
      </c>
      <c r="Q293">
        <f>IF(K293="","",IF(AND(N(N293)&gt;0,L293=0),"Jobber visit, no hours logged",IF(AND(L293&gt;0,N293=""),"Enter Jobber visits",IF(AND(L293&gt;0,N(N293)=0),"Hours logged, no Jobber visit",IF(AND(O293&lt;&gt;"",ABS(N(P293))&gt;0.5),"Hours differ from Jobber","")))))</f>
        <v/>
      </c>
    </row>
    <row r="294">
      <c r="K294">
        <f>IF(Sites!A290="","",Sites!A290)</f>
        <v/>
      </c>
      <c r="L294">
        <f>IF(K294="","",COUNTIFS('Hours Log'!$C$2:$C$2001,K294,'Hours Log'!$I$2:$I$2001,$B$3))</f>
        <v/>
      </c>
      <c r="M294" s="18">
        <f>IF(K294="","",SUMIFS('Hours Log'!$G$2:$G$2001,'Hours Log'!$C$2:$C$2001,K294,'Hours Log'!$I$2:$I$2001,$B$3))</f>
        <v/>
      </c>
      <c r="N294" s="10" t="n"/>
      <c r="O294" s="10" t="n"/>
      <c r="P294" s="18">
        <f>IF(OR(K294="",O294=""),"",M294-O294)</f>
        <v/>
      </c>
      <c r="Q294">
        <f>IF(K294="","",IF(AND(N(N294)&gt;0,L294=0),"Jobber visit, no hours logged",IF(AND(L294&gt;0,N294=""),"Enter Jobber visits",IF(AND(L294&gt;0,N(N294)=0),"Hours logged, no Jobber visit",IF(AND(O294&lt;&gt;"",ABS(N(P294))&gt;0.5),"Hours differ from Jobber","")))))</f>
        <v/>
      </c>
    </row>
    <row r="295">
      <c r="K295">
        <f>IF(Sites!A291="","",Sites!A291)</f>
        <v/>
      </c>
      <c r="L295">
        <f>IF(K295="","",COUNTIFS('Hours Log'!$C$2:$C$2001,K295,'Hours Log'!$I$2:$I$2001,$B$3))</f>
        <v/>
      </c>
      <c r="M295" s="18">
        <f>IF(K295="","",SUMIFS('Hours Log'!$G$2:$G$2001,'Hours Log'!$C$2:$C$2001,K295,'Hours Log'!$I$2:$I$2001,$B$3))</f>
        <v/>
      </c>
      <c r="N295" s="10" t="n"/>
      <c r="O295" s="10" t="n"/>
      <c r="P295" s="18">
        <f>IF(OR(K295="",O295=""),"",M295-O295)</f>
        <v/>
      </c>
      <c r="Q295">
        <f>IF(K295="","",IF(AND(N(N295)&gt;0,L295=0),"Jobber visit, no hours logged",IF(AND(L295&gt;0,N295=""),"Enter Jobber visits",IF(AND(L295&gt;0,N(N295)=0),"Hours logged, no Jobber visit",IF(AND(O295&lt;&gt;"",ABS(N(P295))&gt;0.5),"Hours differ from Jobber","")))))</f>
        <v/>
      </c>
    </row>
    <row r="296">
      <c r="K296">
        <f>IF(Sites!A292="","",Sites!A292)</f>
        <v/>
      </c>
      <c r="L296">
        <f>IF(K296="","",COUNTIFS('Hours Log'!$C$2:$C$2001,K296,'Hours Log'!$I$2:$I$2001,$B$3))</f>
        <v/>
      </c>
      <c r="M296" s="18">
        <f>IF(K296="","",SUMIFS('Hours Log'!$G$2:$G$2001,'Hours Log'!$C$2:$C$2001,K296,'Hours Log'!$I$2:$I$2001,$B$3))</f>
        <v/>
      </c>
      <c r="N296" s="10" t="n"/>
      <c r="O296" s="10" t="n"/>
      <c r="P296" s="18">
        <f>IF(OR(K296="",O296=""),"",M296-O296)</f>
        <v/>
      </c>
      <c r="Q296">
        <f>IF(K296="","",IF(AND(N(N296)&gt;0,L296=0),"Jobber visit, no hours logged",IF(AND(L296&gt;0,N296=""),"Enter Jobber visits",IF(AND(L296&gt;0,N(N296)=0),"Hours logged, no Jobber visit",IF(AND(O296&lt;&gt;"",ABS(N(P296))&gt;0.5),"Hours differ from Jobber","")))))</f>
        <v/>
      </c>
    </row>
    <row r="297">
      <c r="K297">
        <f>IF(Sites!A293="","",Sites!A293)</f>
        <v/>
      </c>
      <c r="L297">
        <f>IF(K297="","",COUNTIFS('Hours Log'!$C$2:$C$2001,K297,'Hours Log'!$I$2:$I$2001,$B$3))</f>
        <v/>
      </c>
      <c r="M297" s="18">
        <f>IF(K297="","",SUMIFS('Hours Log'!$G$2:$G$2001,'Hours Log'!$C$2:$C$2001,K297,'Hours Log'!$I$2:$I$2001,$B$3))</f>
        <v/>
      </c>
      <c r="N297" s="10" t="n"/>
      <c r="O297" s="10" t="n"/>
      <c r="P297" s="18">
        <f>IF(OR(K297="",O297=""),"",M297-O297)</f>
        <v/>
      </c>
      <c r="Q297">
        <f>IF(K297="","",IF(AND(N(N297)&gt;0,L297=0),"Jobber visit, no hours logged",IF(AND(L297&gt;0,N297=""),"Enter Jobber visits",IF(AND(L297&gt;0,N(N297)=0),"Hours logged, no Jobber visit",IF(AND(O297&lt;&gt;"",ABS(N(P297))&gt;0.5),"Hours differ from Jobber","")))))</f>
        <v/>
      </c>
    </row>
    <row r="298">
      <c r="K298">
        <f>IF(Sites!A294="","",Sites!A294)</f>
        <v/>
      </c>
      <c r="L298">
        <f>IF(K298="","",COUNTIFS('Hours Log'!$C$2:$C$2001,K298,'Hours Log'!$I$2:$I$2001,$B$3))</f>
        <v/>
      </c>
      <c r="M298" s="18">
        <f>IF(K298="","",SUMIFS('Hours Log'!$G$2:$G$2001,'Hours Log'!$C$2:$C$2001,K298,'Hours Log'!$I$2:$I$2001,$B$3))</f>
        <v/>
      </c>
      <c r="N298" s="10" t="n"/>
      <c r="O298" s="10" t="n"/>
      <c r="P298" s="18">
        <f>IF(OR(K298="",O298=""),"",M298-O298)</f>
        <v/>
      </c>
      <c r="Q298">
        <f>IF(K298="","",IF(AND(N(N298)&gt;0,L298=0),"Jobber visit, no hours logged",IF(AND(L298&gt;0,N298=""),"Enter Jobber visits",IF(AND(L298&gt;0,N(N298)=0),"Hours logged, no Jobber visit",IF(AND(O298&lt;&gt;"",ABS(N(P298))&gt;0.5),"Hours differ from Jobber","")))))</f>
        <v/>
      </c>
    </row>
    <row r="299">
      <c r="K299">
        <f>IF(Sites!A295="","",Sites!A295)</f>
        <v/>
      </c>
      <c r="L299">
        <f>IF(K299="","",COUNTIFS('Hours Log'!$C$2:$C$2001,K299,'Hours Log'!$I$2:$I$2001,$B$3))</f>
        <v/>
      </c>
      <c r="M299" s="18">
        <f>IF(K299="","",SUMIFS('Hours Log'!$G$2:$G$2001,'Hours Log'!$C$2:$C$2001,K299,'Hours Log'!$I$2:$I$2001,$B$3))</f>
        <v/>
      </c>
      <c r="N299" s="10" t="n"/>
      <c r="O299" s="10" t="n"/>
      <c r="P299" s="18">
        <f>IF(OR(K299="",O299=""),"",M299-O299)</f>
        <v/>
      </c>
      <c r="Q299">
        <f>IF(K299="","",IF(AND(N(N299)&gt;0,L299=0),"Jobber visit, no hours logged",IF(AND(L299&gt;0,N299=""),"Enter Jobber visits",IF(AND(L299&gt;0,N(N299)=0),"Hours logged, no Jobber visit",IF(AND(O299&lt;&gt;"",ABS(N(P299))&gt;0.5),"Hours differ from Jobber","")))))</f>
        <v/>
      </c>
    </row>
    <row r="300">
      <c r="K300">
        <f>IF(Sites!A296="","",Sites!A296)</f>
        <v/>
      </c>
      <c r="L300">
        <f>IF(K300="","",COUNTIFS('Hours Log'!$C$2:$C$2001,K300,'Hours Log'!$I$2:$I$2001,$B$3))</f>
        <v/>
      </c>
      <c r="M300" s="18">
        <f>IF(K300="","",SUMIFS('Hours Log'!$G$2:$G$2001,'Hours Log'!$C$2:$C$2001,K300,'Hours Log'!$I$2:$I$2001,$B$3))</f>
        <v/>
      </c>
      <c r="N300" s="10" t="n"/>
      <c r="O300" s="10" t="n"/>
      <c r="P300" s="18">
        <f>IF(OR(K300="",O300=""),"",M300-O300)</f>
        <v/>
      </c>
      <c r="Q300">
        <f>IF(K300="","",IF(AND(N(N300)&gt;0,L300=0),"Jobber visit, no hours logged",IF(AND(L300&gt;0,N300=""),"Enter Jobber visits",IF(AND(L300&gt;0,N(N300)=0),"Hours logged, no Jobber visit",IF(AND(O300&lt;&gt;"",ABS(N(P300))&gt;0.5),"Hours differ from Jobber","")))))</f>
        <v/>
      </c>
    </row>
    <row r="301">
      <c r="K301">
        <f>IF(Sites!A297="","",Sites!A297)</f>
        <v/>
      </c>
      <c r="L301">
        <f>IF(K301="","",COUNTIFS('Hours Log'!$C$2:$C$2001,K301,'Hours Log'!$I$2:$I$2001,$B$3))</f>
        <v/>
      </c>
      <c r="M301" s="18">
        <f>IF(K301="","",SUMIFS('Hours Log'!$G$2:$G$2001,'Hours Log'!$C$2:$C$2001,K301,'Hours Log'!$I$2:$I$2001,$B$3))</f>
        <v/>
      </c>
      <c r="N301" s="10" t="n"/>
      <c r="O301" s="10" t="n"/>
      <c r="P301" s="18">
        <f>IF(OR(K301="",O301=""),"",M301-O301)</f>
        <v/>
      </c>
      <c r="Q301">
        <f>IF(K301="","",IF(AND(N(N301)&gt;0,L301=0),"Jobber visit, no hours logged",IF(AND(L301&gt;0,N301=""),"Enter Jobber visits",IF(AND(L301&gt;0,N(N301)=0),"Hours logged, no Jobber visit",IF(AND(O301&lt;&gt;"",ABS(N(P301))&gt;0.5),"Hours differ from Jobber","")))))</f>
        <v/>
      </c>
    </row>
    <row r="302">
      <c r="K302">
        <f>IF(Sites!A298="","",Sites!A298)</f>
        <v/>
      </c>
      <c r="L302">
        <f>IF(K302="","",COUNTIFS('Hours Log'!$C$2:$C$2001,K302,'Hours Log'!$I$2:$I$2001,$B$3))</f>
        <v/>
      </c>
      <c r="M302" s="18">
        <f>IF(K302="","",SUMIFS('Hours Log'!$G$2:$G$2001,'Hours Log'!$C$2:$C$2001,K302,'Hours Log'!$I$2:$I$2001,$B$3))</f>
        <v/>
      </c>
      <c r="N302" s="10" t="n"/>
      <c r="O302" s="10" t="n"/>
      <c r="P302" s="18">
        <f>IF(OR(K302="",O302=""),"",M302-O302)</f>
        <v/>
      </c>
      <c r="Q302">
        <f>IF(K302="","",IF(AND(N(N302)&gt;0,L302=0),"Jobber visit, no hours logged",IF(AND(L302&gt;0,N302=""),"Enter Jobber visits",IF(AND(L302&gt;0,N(N302)=0),"Hours logged, no Jobber visit",IF(AND(O302&lt;&gt;"",ABS(N(P302))&gt;0.5),"Hours differ from Jobber","")))))</f>
        <v/>
      </c>
    </row>
    <row r="303">
      <c r="K303">
        <f>IF(Sites!A299="","",Sites!A299)</f>
        <v/>
      </c>
      <c r="L303">
        <f>IF(K303="","",COUNTIFS('Hours Log'!$C$2:$C$2001,K303,'Hours Log'!$I$2:$I$2001,$B$3))</f>
        <v/>
      </c>
      <c r="M303" s="18">
        <f>IF(K303="","",SUMIFS('Hours Log'!$G$2:$G$2001,'Hours Log'!$C$2:$C$2001,K303,'Hours Log'!$I$2:$I$2001,$B$3))</f>
        <v/>
      </c>
      <c r="N303" s="10" t="n"/>
      <c r="O303" s="10" t="n"/>
      <c r="P303" s="18">
        <f>IF(OR(K303="",O303=""),"",M303-O303)</f>
        <v/>
      </c>
      <c r="Q303">
        <f>IF(K303="","",IF(AND(N(N303)&gt;0,L303=0),"Jobber visit, no hours logged",IF(AND(L303&gt;0,N303=""),"Enter Jobber visits",IF(AND(L303&gt;0,N(N303)=0),"Hours logged, no Jobber visit",IF(AND(O303&lt;&gt;"",ABS(N(P303))&gt;0.5),"Hours differ from Jobber","")))))</f>
        <v/>
      </c>
    </row>
    <row r="304">
      <c r="K304">
        <f>IF(Sites!A300="","",Sites!A300)</f>
        <v/>
      </c>
      <c r="L304">
        <f>IF(K304="","",COUNTIFS('Hours Log'!$C$2:$C$2001,K304,'Hours Log'!$I$2:$I$2001,$B$3))</f>
        <v/>
      </c>
      <c r="M304" s="18">
        <f>IF(K304="","",SUMIFS('Hours Log'!$G$2:$G$2001,'Hours Log'!$C$2:$C$2001,K304,'Hours Log'!$I$2:$I$2001,$B$3))</f>
        <v/>
      </c>
      <c r="N304" s="10" t="n"/>
      <c r="O304" s="10" t="n"/>
      <c r="P304" s="18">
        <f>IF(OR(K304="",O304=""),"",M304-O304)</f>
        <v/>
      </c>
      <c r="Q304">
        <f>IF(K304="","",IF(AND(N(N304)&gt;0,L304=0),"Jobber visit, no hours logged",IF(AND(L304&gt;0,N304=""),"Enter Jobber visits",IF(AND(L304&gt;0,N(N304)=0),"Hours logged, no Jobber visit",IF(AND(O304&lt;&gt;"",ABS(N(P304))&gt;0.5),"Hours differ from Jobber","")))))</f>
        <v/>
      </c>
    </row>
    <row r="305">
      <c r="K305">
        <f>IF(Sites!A301="","",Sites!A301)</f>
        <v/>
      </c>
      <c r="L305">
        <f>IF(K305="","",COUNTIFS('Hours Log'!$C$2:$C$2001,K305,'Hours Log'!$I$2:$I$2001,$B$3))</f>
        <v/>
      </c>
      <c r="M305" s="18">
        <f>IF(K305="","",SUMIFS('Hours Log'!$G$2:$G$2001,'Hours Log'!$C$2:$C$2001,K305,'Hours Log'!$I$2:$I$2001,$B$3))</f>
        <v/>
      </c>
      <c r="N305" s="10" t="n"/>
      <c r="O305" s="10" t="n"/>
      <c r="P305" s="18">
        <f>IF(OR(K305="",O305=""),"",M305-O305)</f>
        <v/>
      </c>
      <c r="Q305">
        <f>IF(K305="","",IF(AND(N(N305)&gt;0,L305=0),"Jobber visit, no hours logged",IF(AND(L305&gt;0,N305=""),"Enter Jobber visits",IF(AND(L305&gt;0,N(N305)=0),"Hours logged, no Jobber visit",IF(AND(O305&lt;&gt;"",ABS(N(P305))&gt;0.5),"Hours differ from Jobber","")))))</f>
        <v/>
      </c>
    </row>
    <row r="306">
      <c r="K306">
        <f>IF(Sites!A302="","",Sites!A302)</f>
        <v/>
      </c>
      <c r="L306">
        <f>IF(K306="","",COUNTIFS('Hours Log'!$C$2:$C$2001,K306,'Hours Log'!$I$2:$I$2001,$B$3))</f>
        <v/>
      </c>
      <c r="M306" s="18">
        <f>IF(K306="","",SUMIFS('Hours Log'!$G$2:$G$2001,'Hours Log'!$C$2:$C$2001,K306,'Hours Log'!$I$2:$I$2001,$B$3))</f>
        <v/>
      </c>
      <c r="N306" s="10" t="n"/>
      <c r="O306" s="10" t="n"/>
      <c r="P306" s="18">
        <f>IF(OR(K306="",O306=""),"",M306-O306)</f>
        <v/>
      </c>
      <c r="Q306">
        <f>IF(K306="","",IF(AND(N(N306)&gt;0,L306=0),"Jobber visit, no hours logged",IF(AND(L306&gt;0,N306=""),"Enter Jobber visits",IF(AND(L306&gt;0,N(N306)=0),"Hours logged, no Jobber visit",IF(AND(O306&lt;&gt;"",ABS(N(P306))&gt;0.5),"Hours differ from Jobber","")))))</f>
        <v/>
      </c>
    </row>
    <row r="307">
      <c r="K307">
        <f>IF(Sites!A303="","",Sites!A303)</f>
        <v/>
      </c>
      <c r="L307">
        <f>IF(K307="","",COUNTIFS('Hours Log'!$C$2:$C$2001,K307,'Hours Log'!$I$2:$I$2001,$B$3))</f>
        <v/>
      </c>
      <c r="M307" s="18">
        <f>IF(K307="","",SUMIFS('Hours Log'!$G$2:$G$2001,'Hours Log'!$C$2:$C$2001,K307,'Hours Log'!$I$2:$I$2001,$B$3))</f>
        <v/>
      </c>
      <c r="N307" s="10" t="n"/>
      <c r="O307" s="10" t="n"/>
      <c r="P307" s="18">
        <f>IF(OR(K307="",O307=""),"",M307-O307)</f>
        <v/>
      </c>
      <c r="Q307">
        <f>IF(K307="","",IF(AND(N(N307)&gt;0,L307=0),"Jobber visit, no hours logged",IF(AND(L307&gt;0,N307=""),"Enter Jobber visits",IF(AND(L307&gt;0,N(N307)=0),"Hours logged, no Jobber visit",IF(AND(O307&lt;&gt;"",ABS(N(P307))&gt;0.5),"Hours differ from Jobber","")))))</f>
        <v/>
      </c>
    </row>
    <row r="308">
      <c r="K308">
        <f>IF(Sites!A304="","",Sites!A304)</f>
        <v/>
      </c>
      <c r="L308">
        <f>IF(K308="","",COUNTIFS('Hours Log'!$C$2:$C$2001,K308,'Hours Log'!$I$2:$I$2001,$B$3))</f>
        <v/>
      </c>
      <c r="M308" s="18">
        <f>IF(K308="","",SUMIFS('Hours Log'!$G$2:$G$2001,'Hours Log'!$C$2:$C$2001,K308,'Hours Log'!$I$2:$I$2001,$B$3))</f>
        <v/>
      </c>
      <c r="N308" s="10" t="n"/>
      <c r="O308" s="10" t="n"/>
      <c r="P308" s="18">
        <f>IF(OR(K308="",O308=""),"",M308-O308)</f>
        <v/>
      </c>
      <c r="Q308">
        <f>IF(K308="","",IF(AND(N(N308)&gt;0,L308=0),"Jobber visit, no hours logged",IF(AND(L308&gt;0,N308=""),"Enter Jobber visits",IF(AND(L308&gt;0,N(N308)=0),"Hours logged, no Jobber visit",IF(AND(O308&lt;&gt;"",ABS(N(P308))&gt;0.5),"Hours differ from Jobber","")))))</f>
        <v/>
      </c>
    </row>
    <row r="309">
      <c r="K309">
        <f>IF(Sites!A305="","",Sites!A305)</f>
        <v/>
      </c>
      <c r="L309">
        <f>IF(K309="","",COUNTIFS('Hours Log'!$C$2:$C$2001,K309,'Hours Log'!$I$2:$I$2001,$B$3))</f>
        <v/>
      </c>
      <c r="M309" s="18">
        <f>IF(K309="","",SUMIFS('Hours Log'!$G$2:$G$2001,'Hours Log'!$C$2:$C$2001,K309,'Hours Log'!$I$2:$I$2001,$B$3))</f>
        <v/>
      </c>
      <c r="N309" s="10" t="n"/>
      <c r="O309" s="10" t="n"/>
      <c r="P309" s="18">
        <f>IF(OR(K309="",O309=""),"",M309-O309)</f>
        <v/>
      </c>
      <c r="Q309">
        <f>IF(K309="","",IF(AND(N(N309)&gt;0,L309=0),"Jobber visit, no hours logged",IF(AND(L309&gt;0,N309=""),"Enter Jobber visits",IF(AND(L309&gt;0,N(N309)=0),"Hours logged, no Jobber visit",IF(AND(O309&lt;&gt;"",ABS(N(P309))&gt;0.5),"Hours differ from Jobber","")))))</f>
        <v/>
      </c>
    </row>
    <row r="310">
      <c r="K310">
        <f>IF(Sites!A306="","",Sites!A306)</f>
        <v/>
      </c>
      <c r="L310">
        <f>IF(K310="","",COUNTIFS('Hours Log'!$C$2:$C$2001,K310,'Hours Log'!$I$2:$I$2001,$B$3))</f>
        <v/>
      </c>
      <c r="M310" s="18">
        <f>IF(K310="","",SUMIFS('Hours Log'!$G$2:$G$2001,'Hours Log'!$C$2:$C$2001,K310,'Hours Log'!$I$2:$I$2001,$B$3))</f>
        <v/>
      </c>
      <c r="N310" s="10" t="n"/>
      <c r="O310" s="10" t="n"/>
      <c r="P310" s="18">
        <f>IF(OR(K310="",O310=""),"",M310-O310)</f>
        <v/>
      </c>
      <c r="Q310">
        <f>IF(K310="","",IF(AND(N(N310)&gt;0,L310=0),"Jobber visit, no hours logged",IF(AND(L310&gt;0,N310=""),"Enter Jobber visits",IF(AND(L310&gt;0,N(N310)=0),"Hours logged, no Jobber visit",IF(AND(O310&lt;&gt;"",ABS(N(P310))&gt;0.5),"Hours differ from Jobber","")))))</f>
        <v/>
      </c>
    </row>
    <row r="311">
      <c r="K311">
        <f>IF(Sites!A307="","",Sites!A307)</f>
        <v/>
      </c>
      <c r="L311">
        <f>IF(K311="","",COUNTIFS('Hours Log'!$C$2:$C$2001,K311,'Hours Log'!$I$2:$I$2001,$B$3))</f>
        <v/>
      </c>
      <c r="M311" s="18">
        <f>IF(K311="","",SUMIFS('Hours Log'!$G$2:$G$2001,'Hours Log'!$C$2:$C$2001,K311,'Hours Log'!$I$2:$I$2001,$B$3))</f>
        <v/>
      </c>
      <c r="N311" s="10" t="n"/>
      <c r="O311" s="10" t="n"/>
      <c r="P311" s="18">
        <f>IF(OR(K311="",O311=""),"",M311-O311)</f>
        <v/>
      </c>
      <c r="Q311">
        <f>IF(K311="","",IF(AND(N(N311)&gt;0,L311=0),"Jobber visit, no hours logged",IF(AND(L311&gt;0,N311=""),"Enter Jobber visits",IF(AND(L311&gt;0,N(N311)=0),"Hours logged, no Jobber visit",IF(AND(O311&lt;&gt;"",ABS(N(P311))&gt;0.5),"Hours differ from Jobber","")))))</f>
        <v/>
      </c>
    </row>
    <row r="312">
      <c r="K312">
        <f>IF(Sites!A308="","",Sites!A308)</f>
        <v/>
      </c>
      <c r="L312">
        <f>IF(K312="","",COUNTIFS('Hours Log'!$C$2:$C$2001,K312,'Hours Log'!$I$2:$I$2001,$B$3))</f>
        <v/>
      </c>
      <c r="M312" s="18">
        <f>IF(K312="","",SUMIFS('Hours Log'!$G$2:$G$2001,'Hours Log'!$C$2:$C$2001,K312,'Hours Log'!$I$2:$I$2001,$B$3))</f>
        <v/>
      </c>
      <c r="N312" s="10" t="n"/>
      <c r="O312" s="10" t="n"/>
      <c r="P312" s="18">
        <f>IF(OR(K312="",O312=""),"",M312-O312)</f>
        <v/>
      </c>
      <c r="Q312">
        <f>IF(K312="","",IF(AND(N(N312)&gt;0,L312=0),"Jobber visit, no hours logged",IF(AND(L312&gt;0,N312=""),"Enter Jobber visits",IF(AND(L312&gt;0,N(N312)=0),"Hours logged, no Jobber visit",IF(AND(O312&lt;&gt;"",ABS(N(P312))&gt;0.5),"Hours differ from Jobber","")))))</f>
        <v/>
      </c>
    </row>
    <row r="313">
      <c r="K313">
        <f>IF(Sites!A309="","",Sites!A309)</f>
        <v/>
      </c>
      <c r="L313">
        <f>IF(K313="","",COUNTIFS('Hours Log'!$C$2:$C$2001,K313,'Hours Log'!$I$2:$I$2001,$B$3))</f>
        <v/>
      </c>
      <c r="M313" s="18">
        <f>IF(K313="","",SUMIFS('Hours Log'!$G$2:$G$2001,'Hours Log'!$C$2:$C$2001,K313,'Hours Log'!$I$2:$I$2001,$B$3))</f>
        <v/>
      </c>
      <c r="N313" s="10" t="n"/>
      <c r="O313" s="10" t="n"/>
      <c r="P313" s="18">
        <f>IF(OR(K313="",O313=""),"",M313-O313)</f>
        <v/>
      </c>
      <c r="Q313">
        <f>IF(K313="","",IF(AND(N(N313)&gt;0,L313=0),"Jobber visit, no hours logged",IF(AND(L313&gt;0,N313=""),"Enter Jobber visits",IF(AND(L313&gt;0,N(N313)=0),"Hours logged, no Jobber visit",IF(AND(O313&lt;&gt;"",ABS(N(P313))&gt;0.5),"Hours differ from Jobber","")))))</f>
        <v/>
      </c>
    </row>
    <row r="314">
      <c r="K314">
        <f>IF(Sites!A310="","",Sites!A310)</f>
        <v/>
      </c>
      <c r="L314">
        <f>IF(K314="","",COUNTIFS('Hours Log'!$C$2:$C$2001,K314,'Hours Log'!$I$2:$I$2001,$B$3))</f>
        <v/>
      </c>
      <c r="M314" s="18">
        <f>IF(K314="","",SUMIFS('Hours Log'!$G$2:$G$2001,'Hours Log'!$C$2:$C$2001,K314,'Hours Log'!$I$2:$I$2001,$B$3))</f>
        <v/>
      </c>
      <c r="N314" s="10" t="n"/>
      <c r="O314" s="10" t="n"/>
      <c r="P314" s="18">
        <f>IF(OR(K314="",O314=""),"",M314-O314)</f>
        <v/>
      </c>
      <c r="Q314">
        <f>IF(K314="","",IF(AND(N(N314)&gt;0,L314=0),"Jobber visit, no hours logged",IF(AND(L314&gt;0,N314=""),"Enter Jobber visits",IF(AND(L314&gt;0,N(N314)=0),"Hours logged, no Jobber visit",IF(AND(O314&lt;&gt;"",ABS(N(P314))&gt;0.5),"Hours differ from Jobber","")))))</f>
        <v/>
      </c>
    </row>
    <row r="315">
      <c r="K315">
        <f>IF(Sites!A311="","",Sites!A311)</f>
        <v/>
      </c>
      <c r="L315">
        <f>IF(K315="","",COUNTIFS('Hours Log'!$C$2:$C$2001,K315,'Hours Log'!$I$2:$I$2001,$B$3))</f>
        <v/>
      </c>
      <c r="M315" s="18">
        <f>IF(K315="","",SUMIFS('Hours Log'!$G$2:$G$2001,'Hours Log'!$C$2:$C$2001,K315,'Hours Log'!$I$2:$I$2001,$B$3))</f>
        <v/>
      </c>
      <c r="N315" s="10" t="n"/>
      <c r="O315" s="10" t="n"/>
      <c r="P315" s="18">
        <f>IF(OR(K315="",O315=""),"",M315-O315)</f>
        <v/>
      </c>
      <c r="Q315">
        <f>IF(K315="","",IF(AND(N(N315)&gt;0,L315=0),"Jobber visit, no hours logged",IF(AND(L315&gt;0,N315=""),"Enter Jobber visits",IF(AND(L315&gt;0,N(N315)=0),"Hours logged, no Jobber visit",IF(AND(O315&lt;&gt;"",ABS(N(P315))&gt;0.5),"Hours differ from Jobber","")))))</f>
        <v/>
      </c>
    </row>
    <row r="316">
      <c r="K316">
        <f>IF(Sites!A312="","",Sites!A312)</f>
        <v/>
      </c>
      <c r="L316">
        <f>IF(K316="","",COUNTIFS('Hours Log'!$C$2:$C$2001,K316,'Hours Log'!$I$2:$I$2001,$B$3))</f>
        <v/>
      </c>
      <c r="M316" s="18">
        <f>IF(K316="","",SUMIFS('Hours Log'!$G$2:$G$2001,'Hours Log'!$C$2:$C$2001,K316,'Hours Log'!$I$2:$I$2001,$B$3))</f>
        <v/>
      </c>
      <c r="N316" s="10" t="n"/>
      <c r="O316" s="10" t="n"/>
      <c r="P316" s="18">
        <f>IF(OR(K316="",O316=""),"",M316-O316)</f>
        <v/>
      </c>
      <c r="Q316">
        <f>IF(K316="","",IF(AND(N(N316)&gt;0,L316=0),"Jobber visit, no hours logged",IF(AND(L316&gt;0,N316=""),"Enter Jobber visits",IF(AND(L316&gt;0,N(N316)=0),"Hours logged, no Jobber visit",IF(AND(O316&lt;&gt;"",ABS(N(P316))&gt;0.5),"Hours differ from Jobber","")))))</f>
        <v/>
      </c>
    </row>
    <row r="317">
      <c r="K317">
        <f>IF(Sites!A313="","",Sites!A313)</f>
        <v/>
      </c>
      <c r="L317">
        <f>IF(K317="","",COUNTIFS('Hours Log'!$C$2:$C$2001,K317,'Hours Log'!$I$2:$I$2001,$B$3))</f>
        <v/>
      </c>
      <c r="M317" s="18">
        <f>IF(K317="","",SUMIFS('Hours Log'!$G$2:$G$2001,'Hours Log'!$C$2:$C$2001,K317,'Hours Log'!$I$2:$I$2001,$B$3))</f>
        <v/>
      </c>
      <c r="N317" s="10" t="n"/>
      <c r="O317" s="10" t="n"/>
      <c r="P317" s="18">
        <f>IF(OR(K317="",O317=""),"",M317-O317)</f>
        <v/>
      </c>
      <c r="Q317">
        <f>IF(K317="","",IF(AND(N(N317)&gt;0,L317=0),"Jobber visit, no hours logged",IF(AND(L317&gt;0,N317=""),"Enter Jobber visits",IF(AND(L317&gt;0,N(N317)=0),"Hours logged, no Jobber visit",IF(AND(O317&lt;&gt;"",ABS(N(P317))&gt;0.5),"Hours differ from Jobber","")))))</f>
        <v/>
      </c>
    </row>
    <row r="318">
      <c r="K318">
        <f>IF(Sites!A314="","",Sites!A314)</f>
        <v/>
      </c>
      <c r="L318">
        <f>IF(K318="","",COUNTIFS('Hours Log'!$C$2:$C$2001,K318,'Hours Log'!$I$2:$I$2001,$B$3))</f>
        <v/>
      </c>
      <c r="M318" s="18">
        <f>IF(K318="","",SUMIFS('Hours Log'!$G$2:$G$2001,'Hours Log'!$C$2:$C$2001,K318,'Hours Log'!$I$2:$I$2001,$B$3))</f>
        <v/>
      </c>
      <c r="N318" s="10" t="n"/>
      <c r="O318" s="10" t="n"/>
      <c r="P318" s="18">
        <f>IF(OR(K318="",O318=""),"",M318-O318)</f>
        <v/>
      </c>
      <c r="Q318">
        <f>IF(K318="","",IF(AND(N(N318)&gt;0,L318=0),"Jobber visit, no hours logged",IF(AND(L318&gt;0,N318=""),"Enter Jobber visits",IF(AND(L318&gt;0,N(N318)=0),"Hours logged, no Jobber visit",IF(AND(O318&lt;&gt;"",ABS(N(P318))&gt;0.5),"Hours differ from Jobber","")))))</f>
        <v/>
      </c>
    </row>
    <row r="319">
      <c r="K319">
        <f>IF(Sites!A315="","",Sites!A315)</f>
        <v/>
      </c>
      <c r="L319">
        <f>IF(K319="","",COUNTIFS('Hours Log'!$C$2:$C$2001,K319,'Hours Log'!$I$2:$I$2001,$B$3))</f>
        <v/>
      </c>
      <c r="M319" s="18">
        <f>IF(K319="","",SUMIFS('Hours Log'!$G$2:$G$2001,'Hours Log'!$C$2:$C$2001,K319,'Hours Log'!$I$2:$I$2001,$B$3))</f>
        <v/>
      </c>
      <c r="N319" s="10" t="n"/>
      <c r="O319" s="10" t="n"/>
      <c r="P319" s="18">
        <f>IF(OR(K319="",O319=""),"",M319-O319)</f>
        <v/>
      </c>
      <c r="Q319">
        <f>IF(K319="","",IF(AND(N(N319)&gt;0,L319=0),"Jobber visit, no hours logged",IF(AND(L319&gt;0,N319=""),"Enter Jobber visits",IF(AND(L319&gt;0,N(N319)=0),"Hours logged, no Jobber visit",IF(AND(O319&lt;&gt;"",ABS(N(P319))&gt;0.5),"Hours differ from Jobber","")))))</f>
        <v/>
      </c>
    </row>
    <row r="320">
      <c r="K320">
        <f>IF(Sites!A316="","",Sites!A316)</f>
        <v/>
      </c>
      <c r="L320">
        <f>IF(K320="","",COUNTIFS('Hours Log'!$C$2:$C$2001,K320,'Hours Log'!$I$2:$I$2001,$B$3))</f>
        <v/>
      </c>
      <c r="M320" s="18">
        <f>IF(K320="","",SUMIFS('Hours Log'!$G$2:$G$2001,'Hours Log'!$C$2:$C$2001,K320,'Hours Log'!$I$2:$I$2001,$B$3))</f>
        <v/>
      </c>
      <c r="N320" s="10" t="n"/>
      <c r="O320" s="10" t="n"/>
      <c r="P320" s="18">
        <f>IF(OR(K320="",O320=""),"",M320-O320)</f>
        <v/>
      </c>
      <c r="Q320">
        <f>IF(K320="","",IF(AND(N(N320)&gt;0,L320=0),"Jobber visit, no hours logged",IF(AND(L320&gt;0,N320=""),"Enter Jobber visits",IF(AND(L320&gt;0,N(N320)=0),"Hours logged, no Jobber visit",IF(AND(O320&lt;&gt;"",ABS(N(P320))&gt;0.5),"Hours differ from Jobber","")))))</f>
        <v/>
      </c>
    </row>
    <row r="321">
      <c r="K321">
        <f>IF(Sites!A317="","",Sites!A317)</f>
        <v/>
      </c>
      <c r="L321">
        <f>IF(K321="","",COUNTIFS('Hours Log'!$C$2:$C$2001,K321,'Hours Log'!$I$2:$I$2001,$B$3))</f>
        <v/>
      </c>
      <c r="M321" s="18">
        <f>IF(K321="","",SUMIFS('Hours Log'!$G$2:$G$2001,'Hours Log'!$C$2:$C$2001,K321,'Hours Log'!$I$2:$I$2001,$B$3))</f>
        <v/>
      </c>
      <c r="N321" s="10" t="n"/>
      <c r="O321" s="10" t="n"/>
      <c r="P321" s="18">
        <f>IF(OR(K321="",O321=""),"",M321-O321)</f>
        <v/>
      </c>
      <c r="Q321">
        <f>IF(K321="","",IF(AND(N(N321)&gt;0,L321=0),"Jobber visit, no hours logged",IF(AND(L321&gt;0,N321=""),"Enter Jobber visits",IF(AND(L321&gt;0,N(N321)=0),"Hours logged, no Jobber visit",IF(AND(O321&lt;&gt;"",ABS(N(P321))&gt;0.5),"Hours differ from Jobber","")))))</f>
        <v/>
      </c>
    </row>
    <row r="322">
      <c r="K322">
        <f>IF(Sites!A318="","",Sites!A318)</f>
        <v/>
      </c>
      <c r="L322">
        <f>IF(K322="","",COUNTIFS('Hours Log'!$C$2:$C$2001,K322,'Hours Log'!$I$2:$I$2001,$B$3))</f>
        <v/>
      </c>
      <c r="M322" s="18">
        <f>IF(K322="","",SUMIFS('Hours Log'!$G$2:$G$2001,'Hours Log'!$C$2:$C$2001,K322,'Hours Log'!$I$2:$I$2001,$B$3))</f>
        <v/>
      </c>
      <c r="N322" s="10" t="n"/>
      <c r="O322" s="10" t="n"/>
      <c r="P322" s="18">
        <f>IF(OR(K322="",O322=""),"",M322-O322)</f>
        <v/>
      </c>
      <c r="Q322">
        <f>IF(K322="","",IF(AND(N(N322)&gt;0,L322=0),"Jobber visit, no hours logged",IF(AND(L322&gt;0,N322=""),"Enter Jobber visits",IF(AND(L322&gt;0,N(N322)=0),"Hours logged, no Jobber visit",IF(AND(O322&lt;&gt;"",ABS(N(P322))&gt;0.5),"Hours differ from Jobber","")))))</f>
        <v/>
      </c>
    </row>
    <row r="323">
      <c r="K323">
        <f>IF(Sites!A319="","",Sites!A319)</f>
        <v/>
      </c>
      <c r="L323">
        <f>IF(K323="","",COUNTIFS('Hours Log'!$C$2:$C$2001,K323,'Hours Log'!$I$2:$I$2001,$B$3))</f>
        <v/>
      </c>
      <c r="M323" s="18">
        <f>IF(K323="","",SUMIFS('Hours Log'!$G$2:$G$2001,'Hours Log'!$C$2:$C$2001,K323,'Hours Log'!$I$2:$I$2001,$B$3))</f>
        <v/>
      </c>
      <c r="N323" s="10" t="n"/>
      <c r="O323" s="10" t="n"/>
      <c r="P323" s="18">
        <f>IF(OR(K323="",O323=""),"",M323-O323)</f>
        <v/>
      </c>
      <c r="Q323">
        <f>IF(K323="","",IF(AND(N(N323)&gt;0,L323=0),"Jobber visit, no hours logged",IF(AND(L323&gt;0,N323=""),"Enter Jobber visits",IF(AND(L323&gt;0,N(N323)=0),"Hours logged, no Jobber visit",IF(AND(O323&lt;&gt;"",ABS(N(P323))&gt;0.5),"Hours differ from Jobber","")))))</f>
        <v/>
      </c>
    </row>
    <row r="324">
      <c r="K324">
        <f>IF(Sites!A320="","",Sites!A320)</f>
        <v/>
      </c>
      <c r="L324">
        <f>IF(K324="","",COUNTIFS('Hours Log'!$C$2:$C$2001,K324,'Hours Log'!$I$2:$I$2001,$B$3))</f>
        <v/>
      </c>
      <c r="M324" s="18">
        <f>IF(K324="","",SUMIFS('Hours Log'!$G$2:$G$2001,'Hours Log'!$C$2:$C$2001,K324,'Hours Log'!$I$2:$I$2001,$B$3))</f>
        <v/>
      </c>
      <c r="N324" s="10" t="n"/>
      <c r="O324" s="10" t="n"/>
      <c r="P324" s="18">
        <f>IF(OR(K324="",O324=""),"",M324-O324)</f>
        <v/>
      </c>
      <c r="Q324">
        <f>IF(K324="","",IF(AND(N(N324)&gt;0,L324=0),"Jobber visit, no hours logged",IF(AND(L324&gt;0,N324=""),"Enter Jobber visits",IF(AND(L324&gt;0,N(N324)=0),"Hours logged, no Jobber visit",IF(AND(O324&lt;&gt;"",ABS(N(P324))&gt;0.5),"Hours differ from Jobber","")))))</f>
        <v/>
      </c>
    </row>
    <row r="325">
      <c r="K325">
        <f>IF(Sites!A321="","",Sites!A321)</f>
        <v/>
      </c>
      <c r="L325">
        <f>IF(K325="","",COUNTIFS('Hours Log'!$C$2:$C$2001,K325,'Hours Log'!$I$2:$I$2001,$B$3))</f>
        <v/>
      </c>
      <c r="M325" s="18">
        <f>IF(K325="","",SUMIFS('Hours Log'!$G$2:$G$2001,'Hours Log'!$C$2:$C$2001,K325,'Hours Log'!$I$2:$I$2001,$B$3))</f>
        <v/>
      </c>
      <c r="N325" s="10" t="n"/>
      <c r="O325" s="10" t="n"/>
      <c r="P325" s="18">
        <f>IF(OR(K325="",O325=""),"",M325-O325)</f>
        <v/>
      </c>
      <c r="Q325">
        <f>IF(K325="","",IF(AND(N(N325)&gt;0,L325=0),"Jobber visit, no hours logged",IF(AND(L325&gt;0,N325=""),"Enter Jobber visits",IF(AND(L325&gt;0,N(N325)=0),"Hours logged, no Jobber visit",IF(AND(O325&lt;&gt;"",ABS(N(P325))&gt;0.5),"Hours differ from Jobber","")))))</f>
        <v/>
      </c>
    </row>
    <row r="326">
      <c r="K326">
        <f>IF(Sites!A322="","",Sites!A322)</f>
        <v/>
      </c>
      <c r="L326">
        <f>IF(K326="","",COUNTIFS('Hours Log'!$C$2:$C$2001,K326,'Hours Log'!$I$2:$I$2001,$B$3))</f>
        <v/>
      </c>
      <c r="M326" s="18">
        <f>IF(K326="","",SUMIFS('Hours Log'!$G$2:$G$2001,'Hours Log'!$C$2:$C$2001,K326,'Hours Log'!$I$2:$I$2001,$B$3))</f>
        <v/>
      </c>
      <c r="N326" s="10" t="n"/>
      <c r="O326" s="10" t="n"/>
      <c r="P326" s="18">
        <f>IF(OR(K326="",O326=""),"",M326-O326)</f>
        <v/>
      </c>
      <c r="Q326">
        <f>IF(K326="","",IF(AND(N(N326)&gt;0,L326=0),"Jobber visit, no hours logged",IF(AND(L326&gt;0,N326=""),"Enter Jobber visits",IF(AND(L326&gt;0,N(N326)=0),"Hours logged, no Jobber visit",IF(AND(O326&lt;&gt;"",ABS(N(P326))&gt;0.5),"Hours differ from Jobber","")))))</f>
        <v/>
      </c>
    </row>
    <row r="327">
      <c r="K327">
        <f>IF(Sites!A323="","",Sites!A323)</f>
        <v/>
      </c>
      <c r="L327">
        <f>IF(K327="","",COUNTIFS('Hours Log'!$C$2:$C$2001,K327,'Hours Log'!$I$2:$I$2001,$B$3))</f>
        <v/>
      </c>
      <c r="M327" s="18">
        <f>IF(K327="","",SUMIFS('Hours Log'!$G$2:$G$2001,'Hours Log'!$C$2:$C$2001,K327,'Hours Log'!$I$2:$I$2001,$B$3))</f>
        <v/>
      </c>
      <c r="N327" s="10" t="n"/>
      <c r="O327" s="10" t="n"/>
      <c r="P327" s="18">
        <f>IF(OR(K327="",O327=""),"",M327-O327)</f>
        <v/>
      </c>
      <c r="Q327">
        <f>IF(K327="","",IF(AND(N(N327)&gt;0,L327=0),"Jobber visit, no hours logged",IF(AND(L327&gt;0,N327=""),"Enter Jobber visits",IF(AND(L327&gt;0,N(N327)=0),"Hours logged, no Jobber visit",IF(AND(O327&lt;&gt;"",ABS(N(P327))&gt;0.5),"Hours differ from Jobber","")))))</f>
        <v/>
      </c>
    </row>
    <row r="328">
      <c r="K328">
        <f>IF(Sites!A324="","",Sites!A324)</f>
        <v/>
      </c>
      <c r="L328">
        <f>IF(K328="","",COUNTIFS('Hours Log'!$C$2:$C$2001,K328,'Hours Log'!$I$2:$I$2001,$B$3))</f>
        <v/>
      </c>
      <c r="M328" s="18">
        <f>IF(K328="","",SUMIFS('Hours Log'!$G$2:$G$2001,'Hours Log'!$C$2:$C$2001,K328,'Hours Log'!$I$2:$I$2001,$B$3))</f>
        <v/>
      </c>
      <c r="N328" s="10" t="n"/>
      <c r="O328" s="10" t="n"/>
      <c r="P328" s="18">
        <f>IF(OR(K328="",O328=""),"",M328-O328)</f>
        <v/>
      </c>
      <c r="Q328">
        <f>IF(K328="","",IF(AND(N(N328)&gt;0,L328=0),"Jobber visit, no hours logged",IF(AND(L328&gt;0,N328=""),"Enter Jobber visits",IF(AND(L328&gt;0,N(N328)=0),"Hours logged, no Jobber visit",IF(AND(O328&lt;&gt;"",ABS(N(P328))&gt;0.5),"Hours differ from Jobber","")))))</f>
        <v/>
      </c>
    </row>
    <row r="329">
      <c r="K329">
        <f>IF(Sites!A325="","",Sites!A325)</f>
        <v/>
      </c>
      <c r="L329">
        <f>IF(K329="","",COUNTIFS('Hours Log'!$C$2:$C$2001,K329,'Hours Log'!$I$2:$I$2001,$B$3))</f>
        <v/>
      </c>
      <c r="M329" s="18">
        <f>IF(K329="","",SUMIFS('Hours Log'!$G$2:$G$2001,'Hours Log'!$C$2:$C$2001,K329,'Hours Log'!$I$2:$I$2001,$B$3))</f>
        <v/>
      </c>
      <c r="N329" s="10" t="n"/>
      <c r="O329" s="10" t="n"/>
      <c r="P329" s="18">
        <f>IF(OR(K329="",O329=""),"",M329-O329)</f>
        <v/>
      </c>
      <c r="Q329">
        <f>IF(K329="","",IF(AND(N(N329)&gt;0,L329=0),"Jobber visit, no hours logged",IF(AND(L329&gt;0,N329=""),"Enter Jobber visits",IF(AND(L329&gt;0,N(N329)=0),"Hours logged, no Jobber visit",IF(AND(O329&lt;&gt;"",ABS(N(P329))&gt;0.5),"Hours differ from Jobber","")))))</f>
        <v/>
      </c>
    </row>
    <row r="330">
      <c r="K330">
        <f>IF(Sites!A326="","",Sites!A326)</f>
        <v/>
      </c>
      <c r="L330">
        <f>IF(K330="","",COUNTIFS('Hours Log'!$C$2:$C$2001,K330,'Hours Log'!$I$2:$I$2001,$B$3))</f>
        <v/>
      </c>
      <c r="M330" s="18">
        <f>IF(K330="","",SUMIFS('Hours Log'!$G$2:$G$2001,'Hours Log'!$C$2:$C$2001,K330,'Hours Log'!$I$2:$I$2001,$B$3))</f>
        <v/>
      </c>
      <c r="N330" s="10" t="n"/>
      <c r="O330" s="10" t="n"/>
      <c r="P330" s="18">
        <f>IF(OR(K330="",O330=""),"",M330-O330)</f>
        <v/>
      </c>
      <c r="Q330">
        <f>IF(K330="","",IF(AND(N(N330)&gt;0,L330=0),"Jobber visit, no hours logged",IF(AND(L330&gt;0,N330=""),"Enter Jobber visits",IF(AND(L330&gt;0,N(N330)=0),"Hours logged, no Jobber visit",IF(AND(O330&lt;&gt;"",ABS(N(P330))&gt;0.5),"Hours differ from Jobber","")))))</f>
        <v/>
      </c>
    </row>
    <row r="331">
      <c r="K331">
        <f>IF(Sites!A327="","",Sites!A327)</f>
        <v/>
      </c>
      <c r="L331">
        <f>IF(K331="","",COUNTIFS('Hours Log'!$C$2:$C$2001,K331,'Hours Log'!$I$2:$I$2001,$B$3))</f>
        <v/>
      </c>
      <c r="M331" s="18">
        <f>IF(K331="","",SUMIFS('Hours Log'!$G$2:$G$2001,'Hours Log'!$C$2:$C$2001,K331,'Hours Log'!$I$2:$I$2001,$B$3))</f>
        <v/>
      </c>
      <c r="N331" s="10" t="n"/>
      <c r="O331" s="10" t="n"/>
      <c r="P331" s="18">
        <f>IF(OR(K331="",O331=""),"",M331-O331)</f>
        <v/>
      </c>
      <c r="Q331">
        <f>IF(K331="","",IF(AND(N(N331)&gt;0,L331=0),"Jobber visit, no hours logged",IF(AND(L331&gt;0,N331=""),"Enter Jobber visits",IF(AND(L331&gt;0,N(N331)=0),"Hours logged, no Jobber visit",IF(AND(O331&lt;&gt;"",ABS(N(P331))&gt;0.5),"Hours differ from Jobber","")))))</f>
        <v/>
      </c>
    </row>
    <row r="332">
      <c r="K332">
        <f>IF(Sites!A328="","",Sites!A328)</f>
        <v/>
      </c>
      <c r="L332">
        <f>IF(K332="","",COUNTIFS('Hours Log'!$C$2:$C$2001,K332,'Hours Log'!$I$2:$I$2001,$B$3))</f>
        <v/>
      </c>
      <c r="M332" s="18">
        <f>IF(K332="","",SUMIFS('Hours Log'!$G$2:$G$2001,'Hours Log'!$C$2:$C$2001,K332,'Hours Log'!$I$2:$I$2001,$B$3))</f>
        <v/>
      </c>
      <c r="N332" s="10" t="n"/>
      <c r="O332" s="10" t="n"/>
      <c r="P332" s="18">
        <f>IF(OR(K332="",O332=""),"",M332-O332)</f>
        <v/>
      </c>
      <c r="Q332">
        <f>IF(K332="","",IF(AND(N(N332)&gt;0,L332=0),"Jobber visit, no hours logged",IF(AND(L332&gt;0,N332=""),"Enter Jobber visits",IF(AND(L332&gt;0,N(N332)=0),"Hours logged, no Jobber visit",IF(AND(O332&lt;&gt;"",ABS(N(P332))&gt;0.5),"Hours differ from Jobber","")))))</f>
        <v/>
      </c>
    </row>
    <row r="333">
      <c r="K333">
        <f>IF(Sites!A329="","",Sites!A329)</f>
        <v/>
      </c>
      <c r="L333">
        <f>IF(K333="","",COUNTIFS('Hours Log'!$C$2:$C$2001,K333,'Hours Log'!$I$2:$I$2001,$B$3))</f>
        <v/>
      </c>
      <c r="M333" s="18">
        <f>IF(K333="","",SUMIFS('Hours Log'!$G$2:$G$2001,'Hours Log'!$C$2:$C$2001,K333,'Hours Log'!$I$2:$I$2001,$B$3))</f>
        <v/>
      </c>
      <c r="N333" s="10" t="n"/>
      <c r="O333" s="10" t="n"/>
      <c r="P333" s="18">
        <f>IF(OR(K333="",O333=""),"",M333-O333)</f>
        <v/>
      </c>
      <c r="Q333">
        <f>IF(K333="","",IF(AND(N(N333)&gt;0,L333=0),"Jobber visit, no hours logged",IF(AND(L333&gt;0,N333=""),"Enter Jobber visits",IF(AND(L333&gt;0,N(N333)=0),"Hours logged, no Jobber visit",IF(AND(O333&lt;&gt;"",ABS(N(P333))&gt;0.5),"Hours differ from Jobber","")))))</f>
        <v/>
      </c>
    </row>
    <row r="334">
      <c r="K334">
        <f>IF(Sites!A330="","",Sites!A330)</f>
        <v/>
      </c>
      <c r="L334">
        <f>IF(K334="","",COUNTIFS('Hours Log'!$C$2:$C$2001,K334,'Hours Log'!$I$2:$I$2001,$B$3))</f>
        <v/>
      </c>
      <c r="M334" s="18">
        <f>IF(K334="","",SUMIFS('Hours Log'!$G$2:$G$2001,'Hours Log'!$C$2:$C$2001,K334,'Hours Log'!$I$2:$I$2001,$B$3))</f>
        <v/>
      </c>
      <c r="N334" s="10" t="n"/>
      <c r="O334" s="10" t="n"/>
      <c r="P334" s="18">
        <f>IF(OR(K334="",O334=""),"",M334-O334)</f>
        <v/>
      </c>
      <c r="Q334">
        <f>IF(K334="","",IF(AND(N(N334)&gt;0,L334=0),"Jobber visit, no hours logged",IF(AND(L334&gt;0,N334=""),"Enter Jobber visits",IF(AND(L334&gt;0,N(N334)=0),"Hours logged, no Jobber visit",IF(AND(O334&lt;&gt;"",ABS(N(P334))&gt;0.5),"Hours differ from Jobber","")))))</f>
        <v/>
      </c>
    </row>
    <row r="335">
      <c r="K335">
        <f>IF(Sites!A331="","",Sites!A331)</f>
        <v/>
      </c>
      <c r="L335">
        <f>IF(K335="","",COUNTIFS('Hours Log'!$C$2:$C$2001,K335,'Hours Log'!$I$2:$I$2001,$B$3))</f>
        <v/>
      </c>
      <c r="M335" s="18">
        <f>IF(K335="","",SUMIFS('Hours Log'!$G$2:$G$2001,'Hours Log'!$C$2:$C$2001,K335,'Hours Log'!$I$2:$I$2001,$B$3))</f>
        <v/>
      </c>
      <c r="N335" s="10" t="n"/>
      <c r="O335" s="10" t="n"/>
      <c r="P335" s="18">
        <f>IF(OR(K335="",O335=""),"",M335-O335)</f>
        <v/>
      </c>
      <c r="Q335">
        <f>IF(K335="","",IF(AND(N(N335)&gt;0,L335=0),"Jobber visit, no hours logged",IF(AND(L335&gt;0,N335=""),"Enter Jobber visits",IF(AND(L335&gt;0,N(N335)=0),"Hours logged, no Jobber visit",IF(AND(O335&lt;&gt;"",ABS(N(P335))&gt;0.5),"Hours differ from Jobber","")))))</f>
        <v/>
      </c>
    </row>
    <row r="336">
      <c r="K336">
        <f>IF(Sites!A332="","",Sites!A332)</f>
        <v/>
      </c>
      <c r="L336">
        <f>IF(K336="","",COUNTIFS('Hours Log'!$C$2:$C$2001,K336,'Hours Log'!$I$2:$I$2001,$B$3))</f>
        <v/>
      </c>
      <c r="M336" s="18">
        <f>IF(K336="","",SUMIFS('Hours Log'!$G$2:$G$2001,'Hours Log'!$C$2:$C$2001,K336,'Hours Log'!$I$2:$I$2001,$B$3))</f>
        <v/>
      </c>
      <c r="N336" s="10" t="n"/>
      <c r="O336" s="10" t="n"/>
      <c r="P336" s="18">
        <f>IF(OR(K336="",O336=""),"",M336-O336)</f>
        <v/>
      </c>
      <c r="Q336">
        <f>IF(K336="","",IF(AND(N(N336)&gt;0,L336=0),"Jobber visit, no hours logged",IF(AND(L336&gt;0,N336=""),"Enter Jobber visits",IF(AND(L336&gt;0,N(N336)=0),"Hours logged, no Jobber visit",IF(AND(O336&lt;&gt;"",ABS(N(P336))&gt;0.5),"Hours differ from Jobber","")))))</f>
        <v/>
      </c>
    </row>
    <row r="337">
      <c r="K337">
        <f>IF(Sites!A333="","",Sites!A333)</f>
        <v/>
      </c>
      <c r="L337">
        <f>IF(K337="","",COUNTIFS('Hours Log'!$C$2:$C$2001,K337,'Hours Log'!$I$2:$I$2001,$B$3))</f>
        <v/>
      </c>
      <c r="M337" s="18">
        <f>IF(K337="","",SUMIFS('Hours Log'!$G$2:$G$2001,'Hours Log'!$C$2:$C$2001,K337,'Hours Log'!$I$2:$I$2001,$B$3))</f>
        <v/>
      </c>
      <c r="N337" s="10" t="n"/>
      <c r="O337" s="10" t="n"/>
      <c r="P337" s="18">
        <f>IF(OR(K337="",O337=""),"",M337-O337)</f>
        <v/>
      </c>
      <c r="Q337">
        <f>IF(K337="","",IF(AND(N(N337)&gt;0,L337=0),"Jobber visit, no hours logged",IF(AND(L337&gt;0,N337=""),"Enter Jobber visits",IF(AND(L337&gt;0,N(N337)=0),"Hours logged, no Jobber visit",IF(AND(O337&lt;&gt;"",ABS(N(P337))&gt;0.5),"Hours differ from Jobber","")))))</f>
        <v/>
      </c>
    </row>
    <row r="338">
      <c r="K338">
        <f>IF(Sites!A334="","",Sites!A334)</f>
        <v/>
      </c>
      <c r="L338">
        <f>IF(K338="","",COUNTIFS('Hours Log'!$C$2:$C$2001,K338,'Hours Log'!$I$2:$I$2001,$B$3))</f>
        <v/>
      </c>
      <c r="M338" s="18">
        <f>IF(K338="","",SUMIFS('Hours Log'!$G$2:$G$2001,'Hours Log'!$C$2:$C$2001,K338,'Hours Log'!$I$2:$I$2001,$B$3))</f>
        <v/>
      </c>
      <c r="N338" s="10" t="n"/>
      <c r="O338" s="10" t="n"/>
      <c r="P338" s="18">
        <f>IF(OR(K338="",O338=""),"",M338-O338)</f>
        <v/>
      </c>
      <c r="Q338">
        <f>IF(K338="","",IF(AND(N(N338)&gt;0,L338=0),"Jobber visit, no hours logged",IF(AND(L338&gt;0,N338=""),"Enter Jobber visits",IF(AND(L338&gt;0,N(N338)=0),"Hours logged, no Jobber visit",IF(AND(O338&lt;&gt;"",ABS(N(P338))&gt;0.5),"Hours differ from Jobber","")))))</f>
        <v/>
      </c>
    </row>
    <row r="339">
      <c r="K339">
        <f>IF(Sites!A335="","",Sites!A335)</f>
        <v/>
      </c>
      <c r="L339">
        <f>IF(K339="","",COUNTIFS('Hours Log'!$C$2:$C$2001,K339,'Hours Log'!$I$2:$I$2001,$B$3))</f>
        <v/>
      </c>
      <c r="M339" s="18">
        <f>IF(K339="","",SUMIFS('Hours Log'!$G$2:$G$2001,'Hours Log'!$C$2:$C$2001,K339,'Hours Log'!$I$2:$I$2001,$B$3))</f>
        <v/>
      </c>
      <c r="N339" s="10" t="n"/>
      <c r="O339" s="10" t="n"/>
      <c r="P339" s="18">
        <f>IF(OR(K339="",O339=""),"",M339-O339)</f>
        <v/>
      </c>
      <c r="Q339">
        <f>IF(K339="","",IF(AND(N(N339)&gt;0,L339=0),"Jobber visit, no hours logged",IF(AND(L339&gt;0,N339=""),"Enter Jobber visits",IF(AND(L339&gt;0,N(N339)=0),"Hours logged, no Jobber visit",IF(AND(O339&lt;&gt;"",ABS(N(P339))&gt;0.5),"Hours differ from Jobber","")))))</f>
        <v/>
      </c>
    </row>
    <row r="340">
      <c r="K340">
        <f>IF(Sites!A336="","",Sites!A336)</f>
        <v/>
      </c>
      <c r="L340">
        <f>IF(K340="","",COUNTIFS('Hours Log'!$C$2:$C$2001,K340,'Hours Log'!$I$2:$I$2001,$B$3))</f>
        <v/>
      </c>
      <c r="M340" s="18">
        <f>IF(K340="","",SUMIFS('Hours Log'!$G$2:$G$2001,'Hours Log'!$C$2:$C$2001,K340,'Hours Log'!$I$2:$I$2001,$B$3))</f>
        <v/>
      </c>
      <c r="N340" s="10" t="n"/>
      <c r="O340" s="10" t="n"/>
      <c r="P340" s="18">
        <f>IF(OR(K340="",O340=""),"",M340-O340)</f>
        <v/>
      </c>
      <c r="Q340">
        <f>IF(K340="","",IF(AND(N(N340)&gt;0,L340=0),"Jobber visit, no hours logged",IF(AND(L340&gt;0,N340=""),"Enter Jobber visits",IF(AND(L340&gt;0,N(N340)=0),"Hours logged, no Jobber visit",IF(AND(O340&lt;&gt;"",ABS(N(P340))&gt;0.5),"Hours differ from Jobber","")))))</f>
        <v/>
      </c>
    </row>
    <row r="341">
      <c r="K341">
        <f>IF(Sites!A337="","",Sites!A337)</f>
        <v/>
      </c>
      <c r="L341">
        <f>IF(K341="","",COUNTIFS('Hours Log'!$C$2:$C$2001,K341,'Hours Log'!$I$2:$I$2001,$B$3))</f>
        <v/>
      </c>
      <c r="M341" s="18">
        <f>IF(K341="","",SUMIFS('Hours Log'!$G$2:$G$2001,'Hours Log'!$C$2:$C$2001,K341,'Hours Log'!$I$2:$I$2001,$B$3))</f>
        <v/>
      </c>
      <c r="N341" s="10" t="n"/>
      <c r="O341" s="10" t="n"/>
      <c r="P341" s="18">
        <f>IF(OR(K341="",O341=""),"",M341-O341)</f>
        <v/>
      </c>
      <c r="Q341">
        <f>IF(K341="","",IF(AND(N(N341)&gt;0,L341=0),"Jobber visit, no hours logged",IF(AND(L341&gt;0,N341=""),"Enter Jobber visits",IF(AND(L341&gt;0,N(N341)=0),"Hours logged, no Jobber visit",IF(AND(O341&lt;&gt;"",ABS(N(P341))&gt;0.5),"Hours differ from Jobber","")))))</f>
        <v/>
      </c>
    </row>
    <row r="342">
      <c r="K342">
        <f>IF(Sites!A338="","",Sites!A338)</f>
        <v/>
      </c>
      <c r="L342">
        <f>IF(K342="","",COUNTIFS('Hours Log'!$C$2:$C$2001,K342,'Hours Log'!$I$2:$I$2001,$B$3))</f>
        <v/>
      </c>
      <c r="M342" s="18">
        <f>IF(K342="","",SUMIFS('Hours Log'!$G$2:$G$2001,'Hours Log'!$C$2:$C$2001,K342,'Hours Log'!$I$2:$I$2001,$B$3))</f>
        <v/>
      </c>
      <c r="N342" s="10" t="n"/>
      <c r="O342" s="10" t="n"/>
      <c r="P342" s="18">
        <f>IF(OR(K342="",O342=""),"",M342-O342)</f>
        <v/>
      </c>
      <c r="Q342">
        <f>IF(K342="","",IF(AND(N(N342)&gt;0,L342=0),"Jobber visit, no hours logged",IF(AND(L342&gt;0,N342=""),"Enter Jobber visits",IF(AND(L342&gt;0,N(N342)=0),"Hours logged, no Jobber visit",IF(AND(O342&lt;&gt;"",ABS(N(P342))&gt;0.5),"Hours differ from Jobber","")))))</f>
        <v/>
      </c>
    </row>
    <row r="343">
      <c r="K343">
        <f>IF(Sites!A339="","",Sites!A339)</f>
        <v/>
      </c>
      <c r="L343">
        <f>IF(K343="","",COUNTIFS('Hours Log'!$C$2:$C$2001,K343,'Hours Log'!$I$2:$I$2001,$B$3))</f>
        <v/>
      </c>
      <c r="M343" s="18">
        <f>IF(K343="","",SUMIFS('Hours Log'!$G$2:$G$2001,'Hours Log'!$C$2:$C$2001,K343,'Hours Log'!$I$2:$I$2001,$B$3))</f>
        <v/>
      </c>
      <c r="N343" s="10" t="n"/>
      <c r="O343" s="10" t="n"/>
      <c r="P343" s="18">
        <f>IF(OR(K343="",O343=""),"",M343-O343)</f>
        <v/>
      </c>
      <c r="Q343">
        <f>IF(K343="","",IF(AND(N(N343)&gt;0,L343=0),"Jobber visit, no hours logged",IF(AND(L343&gt;0,N343=""),"Enter Jobber visits",IF(AND(L343&gt;0,N(N343)=0),"Hours logged, no Jobber visit",IF(AND(O343&lt;&gt;"",ABS(N(P343))&gt;0.5),"Hours differ from Jobber","")))))</f>
        <v/>
      </c>
    </row>
    <row r="344">
      <c r="K344">
        <f>IF(Sites!A340="","",Sites!A340)</f>
        <v/>
      </c>
      <c r="L344">
        <f>IF(K344="","",COUNTIFS('Hours Log'!$C$2:$C$2001,K344,'Hours Log'!$I$2:$I$2001,$B$3))</f>
        <v/>
      </c>
      <c r="M344" s="18">
        <f>IF(K344="","",SUMIFS('Hours Log'!$G$2:$G$2001,'Hours Log'!$C$2:$C$2001,K344,'Hours Log'!$I$2:$I$2001,$B$3))</f>
        <v/>
      </c>
      <c r="N344" s="10" t="n"/>
      <c r="O344" s="10" t="n"/>
      <c r="P344" s="18">
        <f>IF(OR(K344="",O344=""),"",M344-O344)</f>
        <v/>
      </c>
      <c r="Q344">
        <f>IF(K344="","",IF(AND(N(N344)&gt;0,L344=0),"Jobber visit, no hours logged",IF(AND(L344&gt;0,N344=""),"Enter Jobber visits",IF(AND(L344&gt;0,N(N344)=0),"Hours logged, no Jobber visit",IF(AND(O344&lt;&gt;"",ABS(N(P344))&gt;0.5),"Hours differ from Jobber","")))))</f>
        <v/>
      </c>
    </row>
    <row r="345">
      <c r="K345">
        <f>IF(Sites!A341="","",Sites!A341)</f>
        <v/>
      </c>
      <c r="L345">
        <f>IF(K345="","",COUNTIFS('Hours Log'!$C$2:$C$2001,K345,'Hours Log'!$I$2:$I$2001,$B$3))</f>
        <v/>
      </c>
      <c r="M345" s="18">
        <f>IF(K345="","",SUMIFS('Hours Log'!$G$2:$G$2001,'Hours Log'!$C$2:$C$2001,K345,'Hours Log'!$I$2:$I$2001,$B$3))</f>
        <v/>
      </c>
      <c r="N345" s="10" t="n"/>
      <c r="O345" s="10" t="n"/>
      <c r="P345" s="18">
        <f>IF(OR(K345="",O345=""),"",M345-O345)</f>
        <v/>
      </c>
      <c r="Q345">
        <f>IF(K345="","",IF(AND(N(N345)&gt;0,L345=0),"Jobber visit, no hours logged",IF(AND(L345&gt;0,N345=""),"Enter Jobber visits",IF(AND(L345&gt;0,N(N345)=0),"Hours logged, no Jobber visit",IF(AND(O345&lt;&gt;"",ABS(N(P345))&gt;0.5),"Hours differ from Jobber","")))))</f>
        <v/>
      </c>
    </row>
    <row r="346">
      <c r="K346">
        <f>IF(Sites!A342="","",Sites!A342)</f>
        <v/>
      </c>
      <c r="L346">
        <f>IF(K346="","",COUNTIFS('Hours Log'!$C$2:$C$2001,K346,'Hours Log'!$I$2:$I$2001,$B$3))</f>
        <v/>
      </c>
      <c r="M346" s="18">
        <f>IF(K346="","",SUMIFS('Hours Log'!$G$2:$G$2001,'Hours Log'!$C$2:$C$2001,K346,'Hours Log'!$I$2:$I$2001,$B$3))</f>
        <v/>
      </c>
      <c r="N346" s="10" t="n"/>
      <c r="O346" s="10" t="n"/>
      <c r="P346" s="18">
        <f>IF(OR(K346="",O346=""),"",M346-O346)</f>
        <v/>
      </c>
      <c r="Q346">
        <f>IF(K346="","",IF(AND(N(N346)&gt;0,L346=0),"Jobber visit, no hours logged",IF(AND(L346&gt;0,N346=""),"Enter Jobber visits",IF(AND(L346&gt;0,N(N346)=0),"Hours logged, no Jobber visit",IF(AND(O346&lt;&gt;"",ABS(N(P346))&gt;0.5),"Hours differ from Jobber","")))))</f>
        <v/>
      </c>
    </row>
    <row r="347">
      <c r="K347">
        <f>IF(Sites!A343="","",Sites!A343)</f>
        <v/>
      </c>
      <c r="L347">
        <f>IF(K347="","",COUNTIFS('Hours Log'!$C$2:$C$2001,K347,'Hours Log'!$I$2:$I$2001,$B$3))</f>
        <v/>
      </c>
      <c r="M347" s="18">
        <f>IF(K347="","",SUMIFS('Hours Log'!$G$2:$G$2001,'Hours Log'!$C$2:$C$2001,K347,'Hours Log'!$I$2:$I$2001,$B$3))</f>
        <v/>
      </c>
      <c r="N347" s="10" t="n"/>
      <c r="O347" s="10" t="n"/>
      <c r="P347" s="18">
        <f>IF(OR(K347="",O347=""),"",M347-O347)</f>
        <v/>
      </c>
      <c r="Q347">
        <f>IF(K347="","",IF(AND(N(N347)&gt;0,L347=0),"Jobber visit, no hours logged",IF(AND(L347&gt;0,N347=""),"Enter Jobber visits",IF(AND(L347&gt;0,N(N347)=0),"Hours logged, no Jobber visit",IF(AND(O347&lt;&gt;"",ABS(N(P347))&gt;0.5),"Hours differ from Jobber","")))))</f>
        <v/>
      </c>
    </row>
    <row r="348">
      <c r="K348">
        <f>IF(Sites!A344="","",Sites!A344)</f>
        <v/>
      </c>
      <c r="L348">
        <f>IF(K348="","",COUNTIFS('Hours Log'!$C$2:$C$2001,K348,'Hours Log'!$I$2:$I$2001,$B$3))</f>
        <v/>
      </c>
      <c r="M348" s="18">
        <f>IF(K348="","",SUMIFS('Hours Log'!$G$2:$G$2001,'Hours Log'!$C$2:$C$2001,K348,'Hours Log'!$I$2:$I$2001,$B$3))</f>
        <v/>
      </c>
      <c r="N348" s="10" t="n"/>
      <c r="O348" s="10" t="n"/>
      <c r="P348" s="18">
        <f>IF(OR(K348="",O348=""),"",M348-O348)</f>
        <v/>
      </c>
      <c r="Q348">
        <f>IF(K348="","",IF(AND(N(N348)&gt;0,L348=0),"Jobber visit, no hours logged",IF(AND(L348&gt;0,N348=""),"Enter Jobber visits",IF(AND(L348&gt;0,N(N348)=0),"Hours logged, no Jobber visit",IF(AND(O348&lt;&gt;"",ABS(N(P348))&gt;0.5),"Hours differ from Jobber","")))))</f>
        <v/>
      </c>
    </row>
    <row r="349">
      <c r="K349">
        <f>IF(Sites!A345="","",Sites!A345)</f>
        <v/>
      </c>
      <c r="L349">
        <f>IF(K349="","",COUNTIFS('Hours Log'!$C$2:$C$2001,K349,'Hours Log'!$I$2:$I$2001,$B$3))</f>
        <v/>
      </c>
      <c r="M349" s="18">
        <f>IF(K349="","",SUMIFS('Hours Log'!$G$2:$G$2001,'Hours Log'!$C$2:$C$2001,K349,'Hours Log'!$I$2:$I$2001,$B$3))</f>
        <v/>
      </c>
      <c r="N349" s="10" t="n"/>
      <c r="O349" s="10" t="n"/>
      <c r="P349" s="18">
        <f>IF(OR(K349="",O349=""),"",M349-O349)</f>
        <v/>
      </c>
      <c r="Q349">
        <f>IF(K349="","",IF(AND(N(N349)&gt;0,L349=0),"Jobber visit, no hours logged",IF(AND(L349&gt;0,N349=""),"Enter Jobber visits",IF(AND(L349&gt;0,N(N349)=0),"Hours logged, no Jobber visit",IF(AND(O349&lt;&gt;"",ABS(N(P349))&gt;0.5),"Hours differ from Jobber","")))))</f>
        <v/>
      </c>
    </row>
    <row r="350">
      <c r="K350">
        <f>IF(Sites!A346="","",Sites!A346)</f>
        <v/>
      </c>
      <c r="L350">
        <f>IF(K350="","",COUNTIFS('Hours Log'!$C$2:$C$2001,K350,'Hours Log'!$I$2:$I$2001,$B$3))</f>
        <v/>
      </c>
      <c r="M350" s="18">
        <f>IF(K350="","",SUMIFS('Hours Log'!$G$2:$G$2001,'Hours Log'!$C$2:$C$2001,K350,'Hours Log'!$I$2:$I$2001,$B$3))</f>
        <v/>
      </c>
      <c r="N350" s="10" t="n"/>
      <c r="O350" s="10" t="n"/>
      <c r="P350" s="18">
        <f>IF(OR(K350="",O350=""),"",M350-O350)</f>
        <v/>
      </c>
      <c r="Q350">
        <f>IF(K350="","",IF(AND(N(N350)&gt;0,L350=0),"Jobber visit, no hours logged",IF(AND(L350&gt;0,N350=""),"Enter Jobber visits",IF(AND(L350&gt;0,N(N350)=0),"Hours logged, no Jobber visit",IF(AND(O350&lt;&gt;"",ABS(N(P350))&gt;0.5),"Hours differ from Jobber","")))))</f>
        <v/>
      </c>
    </row>
    <row r="351">
      <c r="K351">
        <f>IF(Sites!A347="","",Sites!A347)</f>
        <v/>
      </c>
      <c r="L351">
        <f>IF(K351="","",COUNTIFS('Hours Log'!$C$2:$C$2001,K351,'Hours Log'!$I$2:$I$2001,$B$3))</f>
        <v/>
      </c>
      <c r="M351" s="18">
        <f>IF(K351="","",SUMIFS('Hours Log'!$G$2:$G$2001,'Hours Log'!$C$2:$C$2001,K351,'Hours Log'!$I$2:$I$2001,$B$3))</f>
        <v/>
      </c>
      <c r="N351" s="10" t="n"/>
      <c r="O351" s="10" t="n"/>
      <c r="P351" s="18">
        <f>IF(OR(K351="",O351=""),"",M351-O351)</f>
        <v/>
      </c>
      <c r="Q351">
        <f>IF(K351="","",IF(AND(N(N351)&gt;0,L351=0),"Jobber visit, no hours logged",IF(AND(L351&gt;0,N351=""),"Enter Jobber visits",IF(AND(L351&gt;0,N(N351)=0),"Hours logged, no Jobber visit",IF(AND(O351&lt;&gt;"",ABS(N(P351))&gt;0.5),"Hours differ from Jobber","")))))</f>
        <v/>
      </c>
    </row>
    <row r="352">
      <c r="K352">
        <f>IF(Sites!A348="","",Sites!A348)</f>
        <v/>
      </c>
      <c r="L352">
        <f>IF(K352="","",COUNTIFS('Hours Log'!$C$2:$C$2001,K352,'Hours Log'!$I$2:$I$2001,$B$3))</f>
        <v/>
      </c>
      <c r="M352" s="18">
        <f>IF(K352="","",SUMIFS('Hours Log'!$G$2:$G$2001,'Hours Log'!$C$2:$C$2001,K352,'Hours Log'!$I$2:$I$2001,$B$3))</f>
        <v/>
      </c>
      <c r="N352" s="10" t="n"/>
      <c r="O352" s="10" t="n"/>
      <c r="P352" s="18">
        <f>IF(OR(K352="",O352=""),"",M352-O352)</f>
        <v/>
      </c>
      <c r="Q352">
        <f>IF(K352="","",IF(AND(N(N352)&gt;0,L352=0),"Jobber visit, no hours logged",IF(AND(L352&gt;0,N352=""),"Enter Jobber visits",IF(AND(L352&gt;0,N(N352)=0),"Hours logged, no Jobber visit",IF(AND(O352&lt;&gt;"",ABS(N(P352))&gt;0.5),"Hours differ from Jobber","")))))</f>
        <v/>
      </c>
    </row>
    <row r="353">
      <c r="K353">
        <f>IF(Sites!A349="","",Sites!A349)</f>
        <v/>
      </c>
      <c r="L353">
        <f>IF(K353="","",COUNTIFS('Hours Log'!$C$2:$C$2001,K353,'Hours Log'!$I$2:$I$2001,$B$3))</f>
        <v/>
      </c>
      <c r="M353" s="18">
        <f>IF(K353="","",SUMIFS('Hours Log'!$G$2:$G$2001,'Hours Log'!$C$2:$C$2001,K353,'Hours Log'!$I$2:$I$2001,$B$3))</f>
        <v/>
      </c>
      <c r="N353" s="10" t="n"/>
      <c r="O353" s="10" t="n"/>
      <c r="P353" s="18">
        <f>IF(OR(K353="",O353=""),"",M353-O353)</f>
        <v/>
      </c>
      <c r="Q353">
        <f>IF(K353="","",IF(AND(N(N353)&gt;0,L353=0),"Jobber visit, no hours logged",IF(AND(L353&gt;0,N353=""),"Enter Jobber visits",IF(AND(L353&gt;0,N(N353)=0),"Hours logged, no Jobber visit",IF(AND(O353&lt;&gt;"",ABS(N(P353))&gt;0.5),"Hours differ from Jobber","")))))</f>
        <v/>
      </c>
    </row>
    <row r="354">
      <c r="K354">
        <f>IF(Sites!A350="","",Sites!A350)</f>
        <v/>
      </c>
      <c r="L354">
        <f>IF(K354="","",COUNTIFS('Hours Log'!$C$2:$C$2001,K354,'Hours Log'!$I$2:$I$2001,$B$3))</f>
        <v/>
      </c>
      <c r="M354" s="18">
        <f>IF(K354="","",SUMIFS('Hours Log'!$G$2:$G$2001,'Hours Log'!$C$2:$C$2001,K354,'Hours Log'!$I$2:$I$2001,$B$3))</f>
        <v/>
      </c>
      <c r="N354" s="10" t="n"/>
      <c r="O354" s="10" t="n"/>
      <c r="P354" s="18">
        <f>IF(OR(K354="",O354=""),"",M354-O354)</f>
        <v/>
      </c>
      <c r="Q354">
        <f>IF(K354="","",IF(AND(N(N354)&gt;0,L354=0),"Jobber visit, no hours logged",IF(AND(L354&gt;0,N354=""),"Enter Jobber visits",IF(AND(L354&gt;0,N(N354)=0),"Hours logged, no Jobber visit",IF(AND(O354&lt;&gt;"",ABS(N(P354))&gt;0.5),"Hours differ from Jobber","")))))</f>
        <v/>
      </c>
    </row>
    <row r="355">
      <c r="K355">
        <f>IF(Sites!A351="","",Sites!A351)</f>
        <v/>
      </c>
      <c r="L355">
        <f>IF(K355="","",COUNTIFS('Hours Log'!$C$2:$C$2001,K355,'Hours Log'!$I$2:$I$2001,$B$3))</f>
        <v/>
      </c>
      <c r="M355" s="18">
        <f>IF(K355="","",SUMIFS('Hours Log'!$G$2:$G$2001,'Hours Log'!$C$2:$C$2001,K355,'Hours Log'!$I$2:$I$2001,$B$3))</f>
        <v/>
      </c>
      <c r="N355" s="10" t="n"/>
      <c r="O355" s="10" t="n"/>
      <c r="P355" s="18">
        <f>IF(OR(K355="",O355=""),"",M355-O355)</f>
        <v/>
      </c>
      <c r="Q355">
        <f>IF(K355="","",IF(AND(N(N355)&gt;0,L355=0),"Jobber visit, no hours logged",IF(AND(L355&gt;0,N355=""),"Enter Jobber visits",IF(AND(L355&gt;0,N(N355)=0),"Hours logged, no Jobber visit",IF(AND(O355&lt;&gt;"",ABS(N(P355))&gt;0.5),"Hours differ from Jobber","")))))</f>
        <v/>
      </c>
    </row>
    <row r="356">
      <c r="K356">
        <f>IF(Sites!A352="","",Sites!A352)</f>
        <v/>
      </c>
      <c r="L356">
        <f>IF(K356="","",COUNTIFS('Hours Log'!$C$2:$C$2001,K356,'Hours Log'!$I$2:$I$2001,$B$3))</f>
        <v/>
      </c>
      <c r="M356" s="18">
        <f>IF(K356="","",SUMIFS('Hours Log'!$G$2:$G$2001,'Hours Log'!$C$2:$C$2001,K356,'Hours Log'!$I$2:$I$2001,$B$3))</f>
        <v/>
      </c>
      <c r="N356" s="10" t="n"/>
      <c r="O356" s="10" t="n"/>
      <c r="P356" s="18">
        <f>IF(OR(K356="",O356=""),"",M356-O356)</f>
        <v/>
      </c>
      <c r="Q356">
        <f>IF(K356="","",IF(AND(N(N356)&gt;0,L356=0),"Jobber visit, no hours logged",IF(AND(L356&gt;0,N356=""),"Enter Jobber visits",IF(AND(L356&gt;0,N(N356)=0),"Hours logged, no Jobber visit",IF(AND(O356&lt;&gt;"",ABS(N(P356))&gt;0.5),"Hours differ from Jobber","")))))</f>
        <v/>
      </c>
    </row>
    <row r="357">
      <c r="K357">
        <f>IF(Sites!A353="","",Sites!A353)</f>
        <v/>
      </c>
      <c r="L357">
        <f>IF(K357="","",COUNTIFS('Hours Log'!$C$2:$C$2001,K357,'Hours Log'!$I$2:$I$2001,$B$3))</f>
        <v/>
      </c>
      <c r="M357" s="18">
        <f>IF(K357="","",SUMIFS('Hours Log'!$G$2:$G$2001,'Hours Log'!$C$2:$C$2001,K357,'Hours Log'!$I$2:$I$2001,$B$3))</f>
        <v/>
      </c>
      <c r="N357" s="10" t="n"/>
      <c r="O357" s="10" t="n"/>
      <c r="P357" s="18">
        <f>IF(OR(K357="",O357=""),"",M357-O357)</f>
        <v/>
      </c>
      <c r="Q357">
        <f>IF(K357="","",IF(AND(N(N357)&gt;0,L357=0),"Jobber visit, no hours logged",IF(AND(L357&gt;0,N357=""),"Enter Jobber visits",IF(AND(L357&gt;0,N(N357)=0),"Hours logged, no Jobber visit",IF(AND(O357&lt;&gt;"",ABS(N(P357))&gt;0.5),"Hours differ from Jobber","")))))</f>
        <v/>
      </c>
    </row>
    <row r="358">
      <c r="K358">
        <f>IF(Sites!A354="","",Sites!A354)</f>
        <v/>
      </c>
      <c r="L358">
        <f>IF(K358="","",COUNTIFS('Hours Log'!$C$2:$C$2001,K358,'Hours Log'!$I$2:$I$2001,$B$3))</f>
        <v/>
      </c>
      <c r="M358" s="18">
        <f>IF(K358="","",SUMIFS('Hours Log'!$G$2:$G$2001,'Hours Log'!$C$2:$C$2001,K358,'Hours Log'!$I$2:$I$2001,$B$3))</f>
        <v/>
      </c>
      <c r="N358" s="10" t="n"/>
      <c r="O358" s="10" t="n"/>
      <c r="P358" s="18">
        <f>IF(OR(K358="",O358=""),"",M358-O358)</f>
        <v/>
      </c>
      <c r="Q358">
        <f>IF(K358="","",IF(AND(N(N358)&gt;0,L358=0),"Jobber visit, no hours logged",IF(AND(L358&gt;0,N358=""),"Enter Jobber visits",IF(AND(L358&gt;0,N(N358)=0),"Hours logged, no Jobber visit",IF(AND(O358&lt;&gt;"",ABS(N(P358))&gt;0.5),"Hours differ from Jobber","")))))</f>
        <v/>
      </c>
    </row>
    <row r="359">
      <c r="K359">
        <f>IF(Sites!A355="","",Sites!A355)</f>
        <v/>
      </c>
      <c r="L359">
        <f>IF(K359="","",COUNTIFS('Hours Log'!$C$2:$C$2001,K359,'Hours Log'!$I$2:$I$2001,$B$3))</f>
        <v/>
      </c>
      <c r="M359" s="18">
        <f>IF(K359="","",SUMIFS('Hours Log'!$G$2:$G$2001,'Hours Log'!$C$2:$C$2001,K359,'Hours Log'!$I$2:$I$2001,$B$3))</f>
        <v/>
      </c>
      <c r="N359" s="10" t="n"/>
      <c r="O359" s="10" t="n"/>
      <c r="P359" s="18">
        <f>IF(OR(K359="",O359=""),"",M359-O359)</f>
        <v/>
      </c>
      <c r="Q359">
        <f>IF(K359="","",IF(AND(N(N359)&gt;0,L359=0),"Jobber visit, no hours logged",IF(AND(L359&gt;0,N359=""),"Enter Jobber visits",IF(AND(L359&gt;0,N(N359)=0),"Hours logged, no Jobber visit",IF(AND(O359&lt;&gt;"",ABS(N(P359))&gt;0.5),"Hours differ from Jobber","")))))</f>
        <v/>
      </c>
    </row>
    <row r="360">
      <c r="K360">
        <f>IF(Sites!A356="","",Sites!A356)</f>
        <v/>
      </c>
      <c r="L360">
        <f>IF(K360="","",COUNTIFS('Hours Log'!$C$2:$C$2001,K360,'Hours Log'!$I$2:$I$2001,$B$3))</f>
        <v/>
      </c>
      <c r="M360" s="18">
        <f>IF(K360="","",SUMIFS('Hours Log'!$G$2:$G$2001,'Hours Log'!$C$2:$C$2001,K360,'Hours Log'!$I$2:$I$2001,$B$3))</f>
        <v/>
      </c>
      <c r="N360" s="10" t="n"/>
      <c r="O360" s="10" t="n"/>
      <c r="P360" s="18">
        <f>IF(OR(K360="",O360=""),"",M360-O360)</f>
        <v/>
      </c>
      <c r="Q360">
        <f>IF(K360="","",IF(AND(N(N360)&gt;0,L360=0),"Jobber visit, no hours logged",IF(AND(L360&gt;0,N360=""),"Enter Jobber visits",IF(AND(L360&gt;0,N(N360)=0),"Hours logged, no Jobber visit",IF(AND(O360&lt;&gt;"",ABS(N(P360))&gt;0.5),"Hours differ from Jobber","")))))</f>
        <v/>
      </c>
    </row>
    <row r="361">
      <c r="K361">
        <f>IF(Sites!A357="","",Sites!A357)</f>
        <v/>
      </c>
      <c r="L361">
        <f>IF(K361="","",COUNTIFS('Hours Log'!$C$2:$C$2001,K361,'Hours Log'!$I$2:$I$2001,$B$3))</f>
        <v/>
      </c>
      <c r="M361" s="18">
        <f>IF(K361="","",SUMIFS('Hours Log'!$G$2:$G$2001,'Hours Log'!$C$2:$C$2001,K361,'Hours Log'!$I$2:$I$2001,$B$3))</f>
        <v/>
      </c>
      <c r="N361" s="10" t="n"/>
      <c r="O361" s="10" t="n"/>
      <c r="P361" s="18">
        <f>IF(OR(K361="",O361=""),"",M361-O361)</f>
        <v/>
      </c>
      <c r="Q361">
        <f>IF(K361="","",IF(AND(N(N361)&gt;0,L361=0),"Jobber visit, no hours logged",IF(AND(L361&gt;0,N361=""),"Enter Jobber visits",IF(AND(L361&gt;0,N(N361)=0),"Hours logged, no Jobber visit",IF(AND(O361&lt;&gt;"",ABS(N(P361))&gt;0.5),"Hours differ from Jobber","")))))</f>
        <v/>
      </c>
    </row>
    <row r="362">
      <c r="K362">
        <f>IF(Sites!A358="","",Sites!A358)</f>
        <v/>
      </c>
      <c r="L362">
        <f>IF(K362="","",COUNTIFS('Hours Log'!$C$2:$C$2001,K362,'Hours Log'!$I$2:$I$2001,$B$3))</f>
        <v/>
      </c>
      <c r="M362" s="18">
        <f>IF(K362="","",SUMIFS('Hours Log'!$G$2:$G$2001,'Hours Log'!$C$2:$C$2001,K362,'Hours Log'!$I$2:$I$2001,$B$3))</f>
        <v/>
      </c>
      <c r="N362" s="10" t="n"/>
      <c r="O362" s="10" t="n"/>
      <c r="P362" s="18">
        <f>IF(OR(K362="",O362=""),"",M362-O362)</f>
        <v/>
      </c>
      <c r="Q362">
        <f>IF(K362="","",IF(AND(N(N362)&gt;0,L362=0),"Jobber visit, no hours logged",IF(AND(L362&gt;0,N362=""),"Enter Jobber visits",IF(AND(L362&gt;0,N(N362)=0),"Hours logged, no Jobber visit",IF(AND(O362&lt;&gt;"",ABS(N(P362))&gt;0.5),"Hours differ from Jobber","")))))</f>
        <v/>
      </c>
    </row>
    <row r="363">
      <c r="K363">
        <f>IF(Sites!A359="","",Sites!A359)</f>
        <v/>
      </c>
      <c r="L363">
        <f>IF(K363="","",COUNTIFS('Hours Log'!$C$2:$C$2001,K363,'Hours Log'!$I$2:$I$2001,$B$3))</f>
        <v/>
      </c>
      <c r="M363" s="18">
        <f>IF(K363="","",SUMIFS('Hours Log'!$G$2:$G$2001,'Hours Log'!$C$2:$C$2001,K363,'Hours Log'!$I$2:$I$2001,$B$3))</f>
        <v/>
      </c>
      <c r="N363" s="10" t="n"/>
      <c r="O363" s="10" t="n"/>
      <c r="P363" s="18">
        <f>IF(OR(K363="",O363=""),"",M363-O363)</f>
        <v/>
      </c>
      <c r="Q363">
        <f>IF(K363="","",IF(AND(N(N363)&gt;0,L363=0),"Jobber visit, no hours logged",IF(AND(L363&gt;0,N363=""),"Enter Jobber visits",IF(AND(L363&gt;0,N(N363)=0),"Hours logged, no Jobber visit",IF(AND(O363&lt;&gt;"",ABS(N(P363))&gt;0.5),"Hours differ from Jobber","")))))</f>
        <v/>
      </c>
    </row>
    <row r="364">
      <c r="K364">
        <f>IF(Sites!A360="","",Sites!A360)</f>
        <v/>
      </c>
      <c r="L364">
        <f>IF(K364="","",COUNTIFS('Hours Log'!$C$2:$C$2001,K364,'Hours Log'!$I$2:$I$2001,$B$3))</f>
        <v/>
      </c>
      <c r="M364" s="18">
        <f>IF(K364="","",SUMIFS('Hours Log'!$G$2:$G$2001,'Hours Log'!$C$2:$C$2001,K364,'Hours Log'!$I$2:$I$2001,$B$3))</f>
        <v/>
      </c>
      <c r="N364" s="10" t="n"/>
      <c r="O364" s="10" t="n"/>
      <c r="P364" s="18">
        <f>IF(OR(K364="",O364=""),"",M364-O364)</f>
        <v/>
      </c>
      <c r="Q364">
        <f>IF(K364="","",IF(AND(N(N364)&gt;0,L364=0),"Jobber visit, no hours logged",IF(AND(L364&gt;0,N364=""),"Enter Jobber visits",IF(AND(L364&gt;0,N(N364)=0),"Hours logged, no Jobber visit",IF(AND(O364&lt;&gt;"",ABS(N(P364))&gt;0.5),"Hours differ from Jobber","")))))</f>
        <v/>
      </c>
    </row>
    <row r="365">
      <c r="K365">
        <f>IF(Sites!A361="","",Sites!A361)</f>
        <v/>
      </c>
      <c r="L365">
        <f>IF(K365="","",COUNTIFS('Hours Log'!$C$2:$C$2001,K365,'Hours Log'!$I$2:$I$2001,$B$3))</f>
        <v/>
      </c>
      <c r="M365" s="18">
        <f>IF(K365="","",SUMIFS('Hours Log'!$G$2:$G$2001,'Hours Log'!$C$2:$C$2001,K365,'Hours Log'!$I$2:$I$2001,$B$3))</f>
        <v/>
      </c>
      <c r="N365" s="10" t="n"/>
      <c r="O365" s="10" t="n"/>
      <c r="P365" s="18">
        <f>IF(OR(K365="",O365=""),"",M365-O365)</f>
        <v/>
      </c>
      <c r="Q365">
        <f>IF(K365="","",IF(AND(N(N365)&gt;0,L365=0),"Jobber visit, no hours logged",IF(AND(L365&gt;0,N365=""),"Enter Jobber visits",IF(AND(L365&gt;0,N(N365)=0),"Hours logged, no Jobber visit",IF(AND(O365&lt;&gt;"",ABS(N(P365))&gt;0.5),"Hours differ from Jobber","")))))</f>
        <v/>
      </c>
    </row>
    <row r="366">
      <c r="K366">
        <f>IF(Sites!A362="","",Sites!A362)</f>
        <v/>
      </c>
      <c r="L366">
        <f>IF(K366="","",COUNTIFS('Hours Log'!$C$2:$C$2001,K366,'Hours Log'!$I$2:$I$2001,$B$3))</f>
        <v/>
      </c>
      <c r="M366" s="18">
        <f>IF(K366="","",SUMIFS('Hours Log'!$G$2:$G$2001,'Hours Log'!$C$2:$C$2001,K366,'Hours Log'!$I$2:$I$2001,$B$3))</f>
        <v/>
      </c>
      <c r="N366" s="10" t="n"/>
      <c r="O366" s="10" t="n"/>
      <c r="P366" s="18">
        <f>IF(OR(K366="",O366=""),"",M366-O366)</f>
        <v/>
      </c>
      <c r="Q366">
        <f>IF(K366="","",IF(AND(N(N366)&gt;0,L366=0),"Jobber visit, no hours logged",IF(AND(L366&gt;0,N366=""),"Enter Jobber visits",IF(AND(L366&gt;0,N(N366)=0),"Hours logged, no Jobber visit",IF(AND(O366&lt;&gt;"",ABS(N(P366))&gt;0.5),"Hours differ from Jobber","")))))</f>
        <v/>
      </c>
    </row>
    <row r="367">
      <c r="K367">
        <f>IF(Sites!A363="","",Sites!A363)</f>
        <v/>
      </c>
      <c r="L367">
        <f>IF(K367="","",COUNTIFS('Hours Log'!$C$2:$C$2001,K367,'Hours Log'!$I$2:$I$2001,$B$3))</f>
        <v/>
      </c>
      <c r="M367" s="18">
        <f>IF(K367="","",SUMIFS('Hours Log'!$G$2:$G$2001,'Hours Log'!$C$2:$C$2001,K367,'Hours Log'!$I$2:$I$2001,$B$3))</f>
        <v/>
      </c>
      <c r="N367" s="10" t="n"/>
      <c r="O367" s="10" t="n"/>
      <c r="P367" s="18">
        <f>IF(OR(K367="",O367=""),"",M367-O367)</f>
        <v/>
      </c>
      <c r="Q367">
        <f>IF(K367="","",IF(AND(N(N367)&gt;0,L367=0),"Jobber visit, no hours logged",IF(AND(L367&gt;0,N367=""),"Enter Jobber visits",IF(AND(L367&gt;0,N(N367)=0),"Hours logged, no Jobber visit",IF(AND(O367&lt;&gt;"",ABS(N(P367))&gt;0.5),"Hours differ from Jobber","")))))</f>
        <v/>
      </c>
    </row>
    <row r="368">
      <c r="K368">
        <f>IF(Sites!A364="","",Sites!A364)</f>
        <v/>
      </c>
      <c r="L368">
        <f>IF(K368="","",COUNTIFS('Hours Log'!$C$2:$C$2001,K368,'Hours Log'!$I$2:$I$2001,$B$3))</f>
        <v/>
      </c>
      <c r="M368" s="18">
        <f>IF(K368="","",SUMIFS('Hours Log'!$G$2:$G$2001,'Hours Log'!$C$2:$C$2001,K368,'Hours Log'!$I$2:$I$2001,$B$3))</f>
        <v/>
      </c>
      <c r="N368" s="10" t="n"/>
      <c r="O368" s="10" t="n"/>
      <c r="P368" s="18">
        <f>IF(OR(K368="",O368=""),"",M368-O368)</f>
        <v/>
      </c>
      <c r="Q368">
        <f>IF(K368="","",IF(AND(N(N368)&gt;0,L368=0),"Jobber visit, no hours logged",IF(AND(L368&gt;0,N368=""),"Enter Jobber visits",IF(AND(L368&gt;0,N(N368)=0),"Hours logged, no Jobber visit",IF(AND(O368&lt;&gt;"",ABS(N(P368))&gt;0.5),"Hours differ from Jobber","")))))</f>
        <v/>
      </c>
    </row>
    <row r="369">
      <c r="K369">
        <f>IF(Sites!A365="","",Sites!A365)</f>
        <v/>
      </c>
      <c r="L369">
        <f>IF(K369="","",COUNTIFS('Hours Log'!$C$2:$C$2001,K369,'Hours Log'!$I$2:$I$2001,$B$3))</f>
        <v/>
      </c>
      <c r="M369" s="18">
        <f>IF(K369="","",SUMIFS('Hours Log'!$G$2:$G$2001,'Hours Log'!$C$2:$C$2001,K369,'Hours Log'!$I$2:$I$2001,$B$3))</f>
        <v/>
      </c>
      <c r="N369" s="10" t="n"/>
      <c r="O369" s="10" t="n"/>
      <c r="P369" s="18">
        <f>IF(OR(K369="",O369=""),"",M369-O369)</f>
        <v/>
      </c>
      <c r="Q369">
        <f>IF(K369="","",IF(AND(N(N369)&gt;0,L369=0),"Jobber visit, no hours logged",IF(AND(L369&gt;0,N369=""),"Enter Jobber visits",IF(AND(L369&gt;0,N(N369)=0),"Hours logged, no Jobber visit",IF(AND(O369&lt;&gt;"",ABS(N(P369))&gt;0.5),"Hours differ from Jobber","")))))</f>
        <v/>
      </c>
    </row>
    <row r="370">
      <c r="K370">
        <f>IF(Sites!A366="","",Sites!A366)</f>
        <v/>
      </c>
      <c r="L370">
        <f>IF(K370="","",COUNTIFS('Hours Log'!$C$2:$C$2001,K370,'Hours Log'!$I$2:$I$2001,$B$3))</f>
        <v/>
      </c>
      <c r="M370" s="18">
        <f>IF(K370="","",SUMIFS('Hours Log'!$G$2:$G$2001,'Hours Log'!$C$2:$C$2001,K370,'Hours Log'!$I$2:$I$2001,$B$3))</f>
        <v/>
      </c>
      <c r="N370" s="10" t="n"/>
      <c r="O370" s="10" t="n"/>
      <c r="P370" s="18">
        <f>IF(OR(K370="",O370=""),"",M370-O370)</f>
        <v/>
      </c>
      <c r="Q370">
        <f>IF(K370="","",IF(AND(N(N370)&gt;0,L370=0),"Jobber visit, no hours logged",IF(AND(L370&gt;0,N370=""),"Enter Jobber visits",IF(AND(L370&gt;0,N(N370)=0),"Hours logged, no Jobber visit",IF(AND(O370&lt;&gt;"",ABS(N(P370))&gt;0.5),"Hours differ from Jobber","")))))</f>
        <v/>
      </c>
    </row>
    <row r="371">
      <c r="K371">
        <f>IF(Sites!A367="","",Sites!A367)</f>
        <v/>
      </c>
      <c r="L371">
        <f>IF(K371="","",COUNTIFS('Hours Log'!$C$2:$C$2001,K371,'Hours Log'!$I$2:$I$2001,$B$3))</f>
        <v/>
      </c>
      <c r="M371" s="18">
        <f>IF(K371="","",SUMIFS('Hours Log'!$G$2:$G$2001,'Hours Log'!$C$2:$C$2001,K371,'Hours Log'!$I$2:$I$2001,$B$3))</f>
        <v/>
      </c>
      <c r="N371" s="10" t="n"/>
      <c r="O371" s="10" t="n"/>
      <c r="P371" s="18">
        <f>IF(OR(K371="",O371=""),"",M371-O371)</f>
        <v/>
      </c>
      <c r="Q371">
        <f>IF(K371="","",IF(AND(N(N371)&gt;0,L371=0),"Jobber visit, no hours logged",IF(AND(L371&gt;0,N371=""),"Enter Jobber visits",IF(AND(L371&gt;0,N(N371)=0),"Hours logged, no Jobber visit",IF(AND(O371&lt;&gt;"",ABS(N(P371))&gt;0.5),"Hours differ from Jobber","")))))</f>
        <v/>
      </c>
    </row>
    <row r="372">
      <c r="K372">
        <f>IF(Sites!A368="","",Sites!A368)</f>
        <v/>
      </c>
      <c r="L372">
        <f>IF(K372="","",COUNTIFS('Hours Log'!$C$2:$C$2001,K372,'Hours Log'!$I$2:$I$2001,$B$3))</f>
        <v/>
      </c>
      <c r="M372" s="18">
        <f>IF(K372="","",SUMIFS('Hours Log'!$G$2:$G$2001,'Hours Log'!$C$2:$C$2001,K372,'Hours Log'!$I$2:$I$2001,$B$3))</f>
        <v/>
      </c>
      <c r="N372" s="10" t="n"/>
      <c r="O372" s="10" t="n"/>
      <c r="P372" s="18">
        <f>IF(OR(K372="",O372=""),"",M372-O372)</f>
        <v/>
      </c>
      <c r="Q372">
        <f>IF(K372="","",IF(AND(N(N372)&gt;0,L372=0),"Jobber visit, no hours logged",IF(AND(L372&gt;0,N372=""),"Enter Jobber visits",IF(AND(L372&gt;0,N(N372)=0),"Hours logged, no Jobber visit",IF(AND(O372&lt;&gt;"",ABS(N(P372))&gt;0.5),"Hours differ from Jobber","")))))</f>
        <v/>
      </c>
    </row>
    <row r="373">
      <c r="K373">
        <f>IF(Sites!A369="","",Sites!A369)</f>
        <v/>
      </c>
      <c r="L373">
        <f>IF(K373="","",COUNTIFS('Hours Log'!$C$2:$C$2001,K373,'Hours Log'!$I$2:$I$2001,$B$3))</f>
        <v/>
      </c>
      <c r="M373" s="18">
        <f>IF(K373="","",SUMIFS('Hours Log'!$G$2:$G$2001,'Hours Log'!$C$2:$C$2001,K373,'Hours Log'!$I$2:$I$2001,$B$3))</f>
        <v/>
      </c>
      <c r="N373" s="10" t="n"/>
      <c r="O373" s="10" t="n"/>
      <c r="P373" s="18">
        <f>IF(OR(K373="",O373=""),"",M373-O373)</f>
        <v/>
      </c>
      <c r="Q373">
        <f>IF(K373="","",IF(AND(N(N373)&gt;0,L373=0),"Jobber visit, no hours logged",IF(AND(L373&gt;0,N373=""),"Enter Jobber visits",IF(AND(L373&gt;0,N(N373)=0),"Hours logged, no Jobber visit",IF(AND(O373&lt;&gt;"",ABS(N(P373))&gt;0.5),"Hours differ from Jobber","")))))</f>
        <v/>
      </c>
    </row>
    <row r="374">
      <c r="K374">
        <f>IF(Sites!A370="","",Sites!A370)</f>
        <v/>
      </c>
      <c r="L374">
        <f>IF(K374="","",COUNTIFS('Hours Log'!$C$2:$C$2001,K374,'Hours Log'!$I$2:$I$2001,$B$3))</f>
        <v/>
      </c>
      <c r="M374" s="18">
        <f>IF(K374="","",SUMIFS('Hours Log'!$G$2:$G$2001,'Hours Log'!$C$2:$C$2001,K374,'Hours Log'!$I$2:$I$2001,$B$3))</f>
        <v/>
      </c>
      <c r="N374" s="10" t="n"/>
      <c r="O374" s="10" t="n"/>
      <c r="P374" s="18">
        <f>IF(OR(K374="",O374=""),"",M374-O374)</f>
        <v/>
      </c>
      <c r="Q374">
        <f>IF(K374="","",IF(AND(N(N374)&gt;0,L374=0),"Jobber visit, no hours logged",IF(AND(L374&gt;0,N374=""),"Enter Jobber visits",IF(AND(L374&gt;0,N(N374)=0),"Hours logged, no Jobber visit",IF(AND(O374&lt;&gt;"",ABS(N(P374))&gt;0.5),"Hours differ from Jobber","")))))</f>
        <v/>
      </c>
    </row>
    <row r="375">
      <c r="K375">
        <f>IF(Sites!A371="","",Sites!A371)</f>
        <v/>
      </c>
      <c r="L375">
        <f>IF(K375="","",COUNTIFS('Hours Log'!$C$2:$C$2001,K375,'Hours Log'!$I$2:$I$2001,$B$3))</f>
        <v/>
      </c>
      <c r="M375" s="18">
        <f>IF(K375="","",SUMIFS('Hours Log'!$G$2:$G$2001,'Hours Log'!$C$2:$C$2001,K375,'Hours Log'!$I$2:$I$2001,$B$3))</f>
        <v/>
      </c>
      <c r="N375" s="10" t="n"/>
      <c r="O375" s="10" t="n"/>
      <c r="P375" s="18">
        <f>IF(OR(K375="",O375=""),"",M375-O375)</f>
        <v/>
      </c>
      <c r="Q375">
        <f>IF(K375="","",IF(AND(N(N375)&gt;0,L375=0),"Jobber visit, no hours logged",IF(AND(L375&gt;0,N375=""),"Enter Jobber visits",IF(AND(L375&gt;0,N(N375)=0),"Hours logged, no Jobber visit",IF(AND(O375&lt;&gt;"",ABS(N(P375))&gt;0.5),"Hours differ from Jobber","")))))</f>
        <v/>
      </c>
    </row>
    <row r="376">
      <c r="K376">
        <f>IF(Sites!A372="","",Sites!A372)</f>
        <v/>
      </c>
      <c r="L376">
        <f>IF(K376="","",COUNTIFS('Hours Log'!$C$2:$C$2001,K376,'Hours Log'!$I$2:$I$2001,$B$3))</f>
        <v/>
      </c>
      <c r="M376" s="18">
        <f>IF(K376="","",SUMIFS('Hours Log'!$G$2:$G$2001,'Hours Log'!$C$2:$C$2001,K376,'Hours Log'!$I$2:$I$2001,$B$3))</f>
        <v/>
      </c>
      <c r="N376" s="10" t="n"/>
      <c r="O376" s="10" t="n"/>
      <c r="P376" s="18">
        <f>IF(OR(K376="",O376=""),"",M376-O376)</f>
        <v/>
      </c>
      <c r="Q376">
        <f>IF(K376="","",IF(AND(N(N376)&gt;0,L376=0),"Jobber visit, no hours logged",IF(AND(L376&gt;0,N376=""),"Enter Jobber visits",IF(AND(L376&gt;0,N(N376)=0),"Hours logged, no Jobber visit",IF(AND(O376&lt;&gt;"",ABS(N(P376))&gt;0.5),"Hours differ from Jobber","")))))</f>
        <v/>
      </c>
    </row>
    <row r="377">
      <c r="K377">
        <f>IF(Sites!A373="","",Sites!A373)</f>
        <v/>
      </c>
      <c r="L377">
        <f>IF(K377="","",COUNTIFS('Hours Log'!$C$2:$C$2001,K377,'Hours Log'!$I$2:$I$2001,$B$3))</f>
        <v/>
      </c>
      <c r="M377" s="18">
        <f>IF(K377="","",SUMIFS('Hours Log'!$G$2:$G$2001,'Hours Log'!$C$2:$C$2001,K377,'Hours Log'!$I$2:$I$2001,$B$3))</f>
        <v/>
      </c>
      <c r="N377" s="10" t="n"/>
      <c r="O377" s="10" t="n"/>
      <c r="P377" s="18">
        <f>IF(OR(K377="",O377=""),"",M377-O377)</f>
        <v/>
      </c>
      <c r="Q377">
        <f>IF(K377="","",IF(AND(N(N377)&gt;0,L377=0),"Jobber visit, no hours logged",IF(AND(L377&gt;0,N377=""),"Enter Jobber visits",IF(AND(L377&gt;0,N(N377)=0),"Hours logged, no Jobber visit",IF(AND(O377&lt;&gt;"",ABS(N(P377))&gt;0.5),"Hours differ from Jobber","")))))</f>
        <v/>
      </c>
    </row>
    <row r="378">
      <c r="K378">
        <f>IF(Sites!A374="","",Sites!A374)</f>
        <v/>
      </c>
      <c r="L378">
        <f>IF(K378="","",COUNTIFS('Hours Log'!$C$2:$C$2001,K378,'Hours Log'!$I$2:$I$2001,$B$3))</f>
        <v/>
      </c>
      <c r="M378" s="18">
        <f>IF(K378="","",SUMIFS('Hours Log'!$G$2:$G$2001,'Hours Log'!$C$2:$C$2001,K378,'Hours Log'!$I$2:$I$2001,$B$3))</f>
        <v/>
      </c>
      <c r="N378" s="10" t="n"/>
      <c r="O378" s="10" t="n"/>
      <c r="P378" s="18">
        <f>IF(OR(K378="",O378=""),"",M378-O378)</f>
        <v/>
      </c>
      <c r="Q378">
        <f>IF(K378="","",IF(AND(N(N378)&gt;0,L378=0),"Jobber visit, no hours logged",IF(AND(L378&gt;0,N378=""),"Enter Jobber visits",IF(AND(L378&gt;0,N(N378)=0),"Hours logged, no Jobber visit",IF(AND(O378&lt;&gt;"",ABS(N(P378))&gt;0.5),"Hours differ from Jobber","")))))</f>
        <v/>
      </c>
    </row>
    <row r="379">
      <c r="K379">
        <f>IF(Sites!A375="","",Sites!A375)</f>
        <v/>
      </c>
      <c r="L379">
        <f>IF(K379="","",COUNTIFS('Hours Log'!$C$2:$C$2001,K379,'Hours Log'!$I$2:$I$2001,$B$3))</f>
        <v/>
      </c>
      <c r="M379" s="18">
        <f>IF(K379="","",SUMIFS('Hours Log'!$G$2:$G$2001,'Hours Log'!$C$2:$C$2001,K379,'Hours Log'!$I$2:$I$2001,$B$3))</f>
        <v/>
      </c>
      <c r="N379" s="10" t="n"/>
      <c r="O379" s="10" t="n"/>
      <c r="P379" s="18">
        <f>IF(OR(K379="",O379=""),"",M379-O379)</f>
        <v/>
      </c>
      <c r="Q379">
        <f>IF(K379="","",IF(AND(N(N379)&gt;0,L379=0),"Jobber visit, no hours logged",IF(AND(L379&gt;0,N379=""),"Enter Jobber visits",IF(AND(L379&gt;0,N(N379)=0),"Hours logged, no Jobber visit",IF(AND(O379&lt;&gt;"",ABS(N(P379))&gt;0.5),"Hours differ from Jobber","")))))</f>
        <v/>
      </c>
    </row>
    <row r="380">
      <c r="K380">
        <f>IF(Sites!A376="","",Sites!A376)</f>
        <v/>
      </c>
      <c r="L380">
        <f>IF(K380="","",COUNTIFS('Hours Log'!$C$2:$C$2001,K380,'Hours Log'!$I$2:$I$2001,$B$3))</f>
        <v/>
      </c>
      <c r="M380" s="18">
        <f>IF(K380="","",SUMIFS('Hours Log'!$G$2:$G$2001,'Hours Log'!$C$2:$C$2001,K380,'Hours Log'!$I$2:$I$2001,$B$3))</f>
        <v/>
      </c>
      <c r="N380" s="10" t="n"/>
      <c r="O380" s="10" t="n"/>
      <c r="P380" s="18">
        <f>IF(OR(K380="",O380=""),"",M380-O380)</f>
        <v/>
      </c>
      <c r="Q380">
        <f>IF(K380="","",IF(AND(N(N380)&gt;0,L380=0),"Jobber visit, no hours logged",IF(AND(L380&gt;0,N380=""),"Enter Jobber visits",IF(AND(L380&gt;0,N(N380)=0),"Hours logged, no Jobber visit",IF(AND(O380&lt;&gt;"",ABS(N(P380))&gt;0.5),"Hours differ from Jobber","")))))</f>
        <v/>
      </c>
    </row>
    <row r="381">
      <c r="K381">
        <f>IF(Sites!A377="","",Sites!A377)</f>
        <v/>
      </c>
      <c r="L381">
        <f>IF(K381="","",COUNTIFS('Hours Log'!$C$2:$C$2001,K381,'Hours Log'!$I$2:$I$2001,$B$3))</f>
        <v/>
      </c>
      <c r="M381" s="18">
        <f>IF(K381="","",SUMIFS('Hours Log'!$G$2:$G$2001,'Hours Log'!$C$2:$C$2001,K381,'Hours Log'!$I$2:$I$2001,$B$3))</f>
        <v/>
      </c>
      <c r="N381" s="10" t="n"/>
      <c r="O381" s="10" t="n"/>
      <c r="P381" s="18">
        <f>IF(OR(K381="",O381=""),"",M381-O381)</f>
        <v/>
      </c>
      <c r="Q381">
        <f>IF(K381="","",IF(AND(N(N381)&gt;0,L381=0),"Jobber visit, no hours logged",IF(AND(L381&gt;0,N381=""),"Enter Jobber visits",IF(AND(L381&gt;0,N(N381)=0),"Hours logged, no Jobber visit",IF(AND(O381&lt;&gt;"",ABS(N(P381))&gt;0.5),"Hours differ from Jobber","")))))</f>
        <v/>
      </c>
    </row>
    <row r="382">
      <c r="K382">
        <f>IF(Sites!A378="","",Sites!A378)</f>
        <v/>
      </c>
      <c r="L382">
        <f>IF(K382="","",COUNTIFS('Hours Log'!$C$2:$C$2001,K382,'Hours Log'!$I$2:$I$2001,$B$3))</f>
        <v/>
      </c>
      <c r="M382" s="18">
        <f>IF(K382="","",SUMIFS('Hours Log'!$G$2:$G$2001,'Hours Log'!$C$2:$C$2001,K382,'Hours Log'!$I$2:$I$2001,$B$3))</f>
        <v/>
      </c>
      <c r="N382" s="10" t="n"/>
      <c r="O382" s="10" t="n"/>
      <c r="P382" s="18">
        <f>IF(OR(K382="",O382=""),"",M382-O382)</f>
        <v/>
      </c>
      <c r="Q382">
        <f>IF(K382="","",IF(AND(N(N382)&gt;0,L382=0),"Jobber visit, no hours logged",IF(AND(L382&gt;0,N382=""),"Enter Jobber visits",IF(AND(L382&gt;0,N(N382)=0),"Hours logged, no Jobber visit",IF(AND(O382&lt;&gt;"",ABS(N(P382))&gt;0.5),"Hours differ from Jobber","")))))</f>
        <v/>
      </c>
    </row>
    <row r="383">
      <c r="K383">
        <f>IF(Sites!A379="","",Sites!A379)</f>
        <v/>
      </c>
      <c r="L383">
        <f>IF(K383="","",COUNTIFS('Hours Log'!$C$2:$C$2001,K383,'Hours Log'!$I$2:$I$2001,$B$3))</f>
        <v/>
      </c>
      <c r="M383" s="18">
        <f>IF(K383="","",SUMIFS('Hours Log'!$G$2:$G$2001,'Hours Log'!$C$2:$C$2001,K383,'Hours Log'!$I$2:$I$2001,$B$3))</f>
        <v/>
      </c>
      <c r="N383" s="10" t="n"/>
      <c r="O383" s="10" t="n"/>
      <c r="P383" s="18">
        <f>IF(OR(K383="",O383=""),"",M383-O383)</f>
        <v/>
      </c>
      <c r="Q383">
        <f>IF(K383="","",IF(AND(N(N383)&gt;0,L383=0),"Jobber visit, no hours logged",IF(AND(L383&gt;0,N383=""),"Enter Jobber visits",IF(AND(L383&gt;0,N(N383)=0),"Hours logged, no Jobber visit",IF(AND(O383&lt;&gt;"",ABS(N(P383))&gt;0.5),"Hours differ from Jobber","")))))</f>
        <v/>
      </c>
    </row>
    <row r="384">
      <c r="K384">
        <f>IF(Sites!A380="","",Sites!A380)</f>
        <v/>
      </c>
      <c r="L384">
        <f>IF(K384="","",COUNTIFS('Hours Log'!$C$2:$C$2001,K384,'Hours Log'!$I$2:$I$2001,$B$3))</f>
        <v/>
      </c>
      <c r="M384" s="18">
        <f>IF(K384="","",SUMIFS('Hours Log'!$G$2:$G$2001,'Hours Log'!$C$2:$C$2001,K384,'Hours Log'!$I$2:$I$2001,$B$3))</f>
        <v/>
      </c>
      <c r="N384" s="10" t="n"/>
      <c r="O384" s="10" t="n"/>
      <c r="P384" s="18">
        <f>IF(OR(K384="",O384=""),"",M384-O384)</f>
        <v/>
      </c>
      <c r="Q384">
        <f>IF(K384="","",IF(AND(N(N384)&gt;0,L384=0),"Jobber visit, no hours logged",IF(AND(L384&gt;0,N384=""),"Enter Jobber visits",IF(AND(L384&gt;0,N(N384)=0),"Hours logged, no Jobber visit",IF(AND(O384&lt;&gt;"",ABS(N(P384))&gt;0.5),"Hours differ from Jobber","")))))</f>
        <v/>
      </c>
    </row>
    <row r="385">
      <c r="K385">
        <f>IF(Sites!A381="","",Sites!A381)</f>
        <v/>
      </c>
      <c r="L385">
        <f>IF(K385="","",COUNTIFS('Hours Log'!$C$2:$C$2001,K385,'Hours Log'!$I$2:$I$2001,$B$3))</f>
        <v/>
      </c>
      <c r="M385" s="18">
        <f>IF(K385="","",SUMIFS('Hours Log'!$G$2:$G$2001,'Hours Log'!$C$2:$C$2001,K385,'Hours Log'!$I$2:$I$2001,$B$3))</f>
        <v/>
      </c>
      <c r="N385" s="10" t="n"/>
      <c r="O385" s="10" t="n"/>
      <c r="P385" s="18">
        <f>IF(OR(K385="",O385=""),"",M385-O385)</f>
        <v/>
      </c>
      <c r="Q385">
        <f>IF(K385="","",IF(AND(N(N385)&gt;0,L385=0),"Jobber visit, no hours logged",IF(AND(L385&gt;0,N385=""),"Enter Jobber visits",IF(AND(L385&gt;0,N(N385)=0),"Hours logged, no Jobber visit",IF(AND(O385&lt;&gt;"",ABS(N(P385))&gt;0.5),"Hours differ from Jobber","")))))</f>
        <v/>
      </c>
    </row>
    <row r="386">
      <c r="K386">
        <f>IF(Sites!A382="","",Sites!A382)</f>
        <v/>
      </c>
      <c r="L386">
        <f>IF(K386="","",COUNTIFS('Hours Log'!$C$2:$C$2001,K386,'Hours Log'!$I$2:$I$2001,$B$3))</f>
        <v/>
      </c>
      <c r="M386" s="18">
        <f>IF(K386="","",SUMIFS('Hours Log'!$G$2:$G$2001,'Hours Log'!$C$2:$C$2001,K386,'Hours Log'!$I$2:$I$2001,$B$3))</f>
        <v/>
      </c>
      <c r="N386" s="10" t="n"/>
      <c r="O386" s="10" t="n"/>
      <c r="P386" s="18">
        <f>IF(OR(K386="",O386=""),"",M386-O386)</f>
        <v/>
      </c>
      <c r="Q386">
        <f>IF(K386="","",IF(AND(N(N386)&gt;0,L386=0),"Jobber visit, no hours logged",IF(AND(L386&gt;0,N386=""),"Enter Jobber visits",IF(AND(L386&gt;0,N(N386)=0),"Hours logged, no Jobber visit",IF(AND(O386&lt;&gt;"",ABS(N(P386))&gt;0.5),"Hours differ from Jobber","")))))</f>
        <v/>
      </c>
    </row>
    <row r="387">
      <c r="K387">
        <f>IF(Sites!A383="","",Sites!A383)</f>
        <v/>
      </c>
      <c r="L387">
        <f>IF(K387="","",COUNTIFS('Hours Log'!$C$2:$C$2001,K387,'Hours Log'!$I$2:$I$2001,$B$3))</f>
        <v/>
      </c>
      <c r="M387" s="18">
        <f>IF(K387="","",SUMIFS('Hours Log'!$G$2:$G$2001,'Hours Log'!$C$2:$C$2001,K387,'Hours Log'!$I$2:$I$2001,$B$3))</f>
        <v/>
      </c>
      <c r="N387" s="10" t="n"/>
      <c r="O387" s="10" t="n"/>
      <c r="P387" s="18">
        <f>IF(OR(K387="",O387=""),"",M387-O387)</f>
        <v/>
      </c>
      <c r="Q387">
        <f>IF(K387="","",IF(AND(N(N387)&gt;0,L387=0),"Jobber visit, no hours logged",IF(AND(L387&gt;0,N387=""),"Enter Jobber visits",IF(AND(L387&gt;0,N(N387)=0),"Hours logged, no Jobber visit",IF(AND(O387&lt;&gt;"",ABS(N(P387))&gt;0.5),"Hours differ from Jobber","")))))</f>
        <v/>
      </c>
    </row>
    <row r="388">
      <c r="K388">
        <f>IF(Sites!A384="","",Sites!A384)</f>
        <v/>
      </c>
      <c r="L388">
        <f>IF(K388="","",COUNTIFS('Hours Log'!$C$2:$C$2001,K388,'Hours Log'!$I$2:$I$2001,$B$3))</f>
        <v/>
      </c>
      <c r="M388" s="18">
        <f>IF(K388="","",SUMIFS('Hours Log'!$G$2:$G$2001,'Hours Log'!$C$2:$C$2001,K388,'Hours Log'!$I$2:$I$2001,$B$3))</f>
        <v/>
      </c>
      <c r="N388" s="10" t="n"/>
      <c r="O388" s="10" t="n"/>
      <c r="P388" s="18">
        <f>IF(OR(K388="",O388=""),"",M388-O388)</f>
        <v/>
      </c>
      <c r="Q388">
        <f>IF(K388="","",IF(AND(N(N388)&gt;0,L388=0),"Jobber visit, no hours logged",IF(AND(L388&gt;0,N388=""),"Enter Jobber visits",IF(AND(L388&gt;0,N(N388)=0),"Hours logged, no Jobber visit",IF(AND(O388&lt;&gt;"",ABS(N(P388))&gt;0.5),"Hours differ from Jobber","")))))</f>
        <v/>
      </c>
    </row>
    <row r="389">
      <c r="K389">
        <f>IF(Sites!A385="","",Sites!A385)</f>
        <v/>
      </c>
      <c r="L389">
        <f>IF(K389="","",COUNTIFS('Hours Log'!$C$2:$C$2001,K389,'Hours Log'!$I$2:$I$2001,$B$3))</f>
        <v/>
      </c>
      <c r="M389" s="18">
        <f>IF(K389="","",SUMIFS('Hours Log'!$G$2:$G$2001,'Hours Log'!$C$2:$C$2001,K389,'Hours Log'!$I$2:$I$2001,$B$3))</f>
        <v/>
      </c>
      <c r="N389" s="10" t="n"/>
      <c r="O389" s="10" t="n"/>
      <c r="P389" s="18">
        <f>IF(OR(K389="",O389=""),"",M389-O389)</f>
        <v/>
      </c>
      <c r="Q389">
        <f>IF(K389="","",IF(AND(N(N389)&gt;0,L389=0),"Jobber visit, no hours logged",IF(AND(L389&gt;0,N389=""),"Enter Jobber visits",IF(AND(L389&gt;0,N(N389)=0),"Hours logged, no Jobber visit",IF(AND(O389&lt;&gt;"",ABS(N(P389))&gt;0.5),"Hours differ from Jobber","")))))</f>
        <v/>
      </c>
    </row>
    <row r="390">
      <c r="K390">
        <f>IF(Sites!A386="","",Sites!A386)</f>
        <v/>
      </c>
      <c r="L390">
        <f>IF(K390="","",COUNTIFS('Hours Log'!$C$2:$C$2001,K390,'Hours Log'!$I$2:$I$2001,$B$3))</f>
        <v/>
      </c>
      <c r="M390" s="18">
        <f>IF(K390="","",SUMIFS('Hours Log'!$G$2:$G$2001,'Hours Log'!$C$2:$C$2001,K390,'Hours Log'!$I$2:$I$2001,$B$3))</f>
        <v/>
      </c>
      <c r="N390" s="10" t="n"/>
      <c r="O390" s="10" t="n"/>
      <c r="P390" s="18">
        <f>IF(OR(K390="",O390=""),"",M390-O390)</f>
        <v/>
      </c>
      <c r="Q390">
        <f>IF(K390="","",IF(AND(N(N390)&gt;0,L390=0),"Jobber visit, no hours logged",IF(AND(L390&gt;0,N390=""),"Enter Jobber visits",IF(AND(L390&gt;0,N(N390)=0),"Hours logged, no Jobber visit",IF(AND(O390&lt;&gt;"",ABS(N(P390))&gt;0.5),"Hours differ from Jobber","")))))</f>
        <v/>
      </c>
    </row>
    <row r="391">
      <c r="K391">
        <f>IF(Sites!A387="","",Sites!A387)</f>
        <v/>
      </c>
      <c r="L391">
        <f>IF(K391="","",COUNTIFS('Hours Log'!$C$2:$C$2001,K391,'Hours Log'!$I$2:$I$2001,$B$3))</f>
        <v/>
      </c>
      <c r="M391" s="18">
        <f>IF(K391="","",SUMIFS('Hours Log'!$G$2:$G$2001,'Hours Log'!$C$2:$C$2001,K391,'Hours Log'!$I$2:$I$2001,$B$3))</f>
        <v/>
      </c>
      <c r="N391" s="10" t="n"/>
      <c r="O391" s="10" t="n"/>
      <c r="P391" s="18">
        <f>IF(OR(K391="",O391=""),"",M391-O391)</f>
        <v/>
      </c>
      <c r="Q391">
        <f>IF(K391="","",IF(AND(N(N391)&gt;0,L391=0),"Jobber visit, no hours logged",IF(AND(L391&gt;0,N391=""),"Enter Jobber visits",IF(AND(L391&gt;0,N(N391)=0),"Hours logged, no Jobber visit",IF(AND(O391&lt;&gt;"",ABS(N(P391))&gt;0.5),"Hours differ from Jobber","")))))</f>
        <v/>
      </c>
    </row>
    <row r="392">
      <c r="K392">
        <f>IF(Sites!A388="","",Sites!A388)</f>
        <v/>
      </c>
      <c r="L392">
        <f>IF(K392="","",COUNTIFS('Hours Log'!$C$2:$C$2001,K392,'Hours Log'!$I$2:$I$2001,$B$3))</f>
        <v/>
      </c>
      <c r="M392" s="18">
        <f>IF(K392="","",SUMIFS('Hours Log'!$G$2:$G$2001,'Hours Log'!$C$2:$C$2001,K392,'Hours Log'!$I$2:$I$2001,$B$3))</f>
        <v/>
      </c>
      <c r="N392" s="10" t="n"/>
      <c r="O392" s="10" t="n"/>
      <c r="P392" s="18">
        <f>IF(OR(K392="",O392=""),"",M392-O392)</f>
        <v/>
      </c>
      <c r="Q392">
        <f>IF(K392="","",IF(AND(N(N392)&gt;0,L392=0),"Jobber visit, no hours logged",IF(AND(L392&gt;0,N392=""),"Enter Jobber visits",IF(AND(L392&gt;0,N(N392)=0),"Hours logged, no Jobber visit",IF(AND(O392&lt;&gt;"",ABS(N(P392))&gt;0.5),"Hours differ from Jobber","")))))</f>
        <v/>
      </c>
    </row>
    <row r="393">
      <c r="K393">
        <f>IF(Sites!A389="","",Sites!A389)</f>
        <v/>
      </c>
      <c r="L393">
        <f>IF(K393="","",COUNTIFS('Hours Log'!$C$2:$C$2001,K393,'Hours Log'!$I$2:$I$2001,$B$3))</f>
        <v/>
      </c>
      <c r="M393" s="18">
        <f>IF(K393="","",SUMIFS('Hours Log'!$G$2:$G$2001,'Hours Log'!$C$2:$C$2001,K393,'Hours Log'!$I$2:$I$2001,$B$3))</f>
        <v/>
      </c>
      <c r="N393" s="10" t="n"/>
      <c r="O393" s="10" t="n"/>
      <c r="P393" s="18">
        <f>IF(OR(K393="",O393=""),"",M393-O393)</f>
        <v/>
      </c>
      <c r="Q393">
        <f>IF(K393="","",IF(AND(N(N393)&gt;0,L393=0),"Jobber visit, no hours logged",IF(AND(L393&gt;0,N393=""),"Enter Jobber visits",IF(AND(L393&gt;0,N(N393)=0),"Hours logged, no Jobber visit",IF(AND(O393&lt;&gt;"",ABS(N(P393))&gt;0.5),"Hours differ from Jobber","")))))</f>
        <v/>
      </c>
    </row>
    <row r="394">
      <c r="K394">
        <f>IF(Sites!A390="","",Sites!A390)</f>
        <v/>
      </c>
      <c r="L394">
        <f>IF(K394="","",COUNTIFS('Hours Log'!$C$2:$C$2001,K394,'Hours Log'!$I$2:$I$2001,$B$3))</f>
        <v/>
      </c>
      <c r="M394" s="18">
        <f>IF(K394="","",SUMIFS('Hours Log'!$G$2:$G$2001,'Hours Log'!$C$2:$C$2001,K394,'Hours Log'!$I$2:$I$2001,$B$3))</f>
        <v/>
      </c>
      <c r="N394" s="10" t="n"/>
      <c r="O394" s="10" t="n"/>
      <c r="P394" s="18">
        <f>IF(OR(K394="",O394=""),"",M394-O394)</f>
        <v/>
      </c>
      <c r="Q394">
        <f>IF(K394="","",IF(AND(N(N394)&gt;0,L394=0),"Jobber visit, no hours logged",IF(AND(L394&gt;0,N394=""),"Enter Jobber visits",IF(AND(L394&gt;0,N(N394)=0),"Hours logged, no Jobber visit",IF(AND(O394&lt;&gt;"",ABS(N(P394))&gt;0.5),"Hours differ from Jobber","")))))</f>
        <v/>
      </c>
    </row>
    <row r="395">
      <c r="K395">
        <f>IF(Sites!A391="","",Sites!A391)</f>
        <v/>
      </c>
      <c r="L395">
        <f>IF(K395="","",COUNTIFS('Hours Log'!$C$2:$C$2001,K395,'Hours Log'!$I$2:$I$2001,$B$3))</f>
        <v/>
      </c>
      <c r="M395" s="18">
        <f>IF(K395="","",SUMIFS('Hours Log'!$G$2:$G$2001,'Hours Log'!$C$2:$C$2001,K395,'Hours Log'!$I$2:$I$2001,$B$3))</f>
        <v/>
      </c>
      <c r="N395" s="10" t="n"/>
      <c r="O395" s="10" t="n"/>
      <c r="P395" s="18">
        <f>IF(OR(K395="",O395=""),"",M395-O395)</f>
        <v/>
      </c>
      <c r="Q395">
        <f>IF(K395="","",IF(AND(N(N395)&gt;0,L395=0),"Jobber visit, no hours logged",IF(AND(L395&gt;0,N395=""),"Enter Jobber visits",IF(AND(L395&gt;0,N(N395)=0),"Hours logged, no Jobber visit",IF(AND(O395&lt;&gt;"",ABS(N(P395))&gt;0.5),"Hours differ from Jobber","")))))</f>
        <v/>
      </c>
    </row>
    <row r="396">
      <c r="K396">
        <f>IF(Sites!A392="","",Sites!A392)</f>
        <v/>
      </c>
      <c r="L396">
        <f>IF(K396="","",COUNTIFS('Hours Log'!$C$2:$C$2001,K396,'Hours Log'!$I$2:$I$2001,$B$3))</f>
        <v/>
      </c>
      <c r="M396" s="18">
        <f>IF(K396="","",SUMIFS('Hours Log'!$G$2:$G$2001,'Hours Log'!$C$2:$C$2001,K396,'Hours Log'!$I$2:$I$2001,$B$3))</f>
        <v/>
      </c>
      <c r="N396" s="10" t="n"/>
      <c r="O396" s="10" t="n"/>
      <c r="P396" s="18">
        <f>IF(OR(K396="",O396=""),"",M396-O396)</f>
        <v/>
      </c>
      <c r="Q396">
        <f>IF(K396="","",IF(AND(N(N396)&gt;0,L396=0),"Jobber visit, no hours logged",IF(AND(L396&gt;0,N396=""),"Enter Jobber visits",IF(AND(L396&gt;0,N(N396)=0),"Hours logged, no Jobber visit",IF(AND(O396&lt;&gt;"",ABS(N(P396))&gt;0.5),"Hours differ from Jobber","")))))</f>
        <v/>
      </c>
    </row>
    <row r="397">
      <c r="K397">
        <f>IF(Sites!A393="","",Sites!A393)</f>
        <v/>
      </c>
      <c r="L397">
        <f>IF(K397="","",COUNTIFS('Hours Log'!$C$2:$C$2001,K397,'Hours Log'!$I$2:$I$2001,$B$3))</f>
        <v/>
      </c>
      <c r="M397" s="18">
        <f>IF(K397="","",SUMIFS('Hours Log'!$G$2:$G$2001,'Hours Log'!$C$2:$C$2001,K397,'Hours Log'!$I$2:$I$2001,$B$3))</f>
        <v/>
      </c>
      <c r="N397" s="10" t="n"/>
      <c r="O397" s="10" t="n"/>
      <c r="P397" s="18">
        <f>IF(OR(K397="",O397=""),"",M397-O397)</f>
        <v/>
      </c>
      <c r="Q397">
        <f>IF(K397="","",IF(AND(N(N397)&gt;0,L397=0),"Jobber visit, no hours logged",IF(AND(L397&gt;0,N397=""),"Enter Jobber visits",IF(AND(L397&gt;0,N(N397)=0),"Hours logged, no Jobber visit",IF(AND(O397&lt;&gt;"",ABS(N(P397))&gt;0.5),"Hours differ from Jobber","")))))</f>
        <v/>
      </c>
    </row>
    <row r="398">
      <c r="K398">
        <f>IF(Sites!A394="","",Sites!A394)</f>
        <v/>
      </c>
      <c r="L398">
        <f>IF(K398="","",COUNTIFS('Hours Log'!$C$2:$C$2001,K398,'Hours Log'!$I$2:$I$2001,$B$3))</f>
        <v/>
      </c>
      <c r="M398" s="18">
        <f>IF(K398="","",SUMIFS('Hours Log'!$G$2:$G$2001,'Hours Log'!$C$2:$C$2001,K398,'Hours Log'!$I$2:$I$2001,$B$3))</f>
        <v/>
      </c>
      <c r="N398" s="10" t="n"/>
      <c r="O398" s="10" t="n"/>
      <c r="P398" s="18">
        <f>IF(OR(K398="",O398=""),"",M398-O398)</f>
        <v/>
      </c>
      <c r="Q398">
        <f>IF(K398="","",IF(AND(N(N398)&gt;0,L398=0),"Jobber visit, no hours logged",IF(AND(L398&gt;0,N398=""),"Enter Jobber visits",IF(AND(L398&gt;0,N(N398)=0),"Hours logged, no Jobber visit",IF(AND(O398&lt;&gt;"",ABS(N(P398))&gt;0.5),"Hours differ from Jobber","")))))</f>
        <v/>
      </c>
    </row>
    <row r="399">
      <c r="K399">
        <f>IF(Sites!A395="","",Sites!A395)</f>
        <v/>
      </c>
      <c r="L399">
        <f>IF(K399="","",COUNTIFS('Hours Log'!$C$2:$C$2001,K399,'Hours Log'!$I$2:$I$2001,$B$3))</f>
        <v/>
      </c>
      <c r="M399" s="18">
        <f>IF(K399="","",SUMIFS('Hours Log'!$G$2:$G$2001,'Hours Log'!$C$2:$C$2001,K399,'Hours Log'!$I$2:$I$2001,$B$3))</f>
        <v/>
      </c>
      <c r="N399" s="10" t="n"/>
      <c r="O399" s="10" t="n"/>
      <c r="P399" s="18">
        <f>IF(OR(K399="",O399=""),"",M399-O399)</f>
        <v/>
      </c>
      <c r="Q399">
        <f>IF(K399="","",IF(AND(N(N399)&gt;0,L399=0),"Jobber visit, no hours logged",IF(AND(L399&gt;0,N399=""),"Enter Jobber visits",IF(AND(L399&gt;0,N(N399)=0),"Hours logged, no Jobber visit",IF(AND(O399&lt;&gt;"",ABS(N(P399))&gt;0.5),"Hours differ from Jobber","")))))</f>
        <v/>
      </c>
    </row>
    <row r="400">
      <c r="K400">
        <f>IF(Sites!A396="","",Sites!A396)</f>
        <v/>
      </c>
      <c r="L400">
        <f>IF(K400="","",COUNTIFS('Hours Log'!$C$2:$C$2001,K400,'Hours Log'!$I$2:$I$2001,$B$3))</f>
        <v/>
      </c>
      <c r="M400" s="18">
        <f>IF(K400="","",SUMIFS('Hours Log'!$G$2:$G$2001,'Hours Log'!$C$2:$C$2001,K400,'Hours Log'!$I$2:$I$2001,$B$3))</f>
        <v/>
      </c>
      <c r="N400" s="10" t="n"/>
      <c r="O400" s="10" t="n"/>
      <c r="P400" s="18">
        <f>IF(OR(K400="",O400=""),"",M400-O400)</f>
        <v/>
      </c>
      <c r="Q400">
        <f>IF(K400="","",IF(AND(N(N400)&gt;0,L400=0),"Jobber visit, no hours logged",IF(AND(L400&gt;0,N400=""),"Enter Jobber visits",IF(AND(L400&gt;0,N(N400)=0),"Hours logged, no Jobber visit",IF(AND(O400&lt;&gt;"",ABS(N(P400))&gt;0.5),"Hours differ from Jobber","")))))</f>
        <v/>
      </c>
    </row>
    <row r="401">
      <c r="K401">
        <f>IF(Sites!A397="","",Sites!A397)</f>
        <v/>
      </c>
      <c r="L401">
        <f>IF(K401="","",COUNTIFS('Hours Log'!$C$2:$C$2001,K401,'Hours Log'!$I$2:$I$2001,$B$3))</f>
        <v/>
      </c>
      <c r="M401" s="18">
        <f>IF(K401="","",SUMIFS('Hours Log'!$G$2:$G$2001,'Hours Log'!$C$2:$C$2001,K401,'Hours Log'!$I$2:$I$2001,$B$3))</f>
        <v/>
      </c>
      <c r="N401" s="10" t="n"/>
      <c r="O401" s="10" t="n"/>
      <c r="P401" s="18">
        <f>IF(OR(K401="",O401=""),"",M401-O401)</f>
        <v/>
      </c>
      <c r="Q401">
        <f>IF(K401="","",IF(AND(N(N401)&gt;0,L401=0),"Jobber visit, no hours logged",IF(AND(L401&gt;0,N401=""),"Enter Jobber visits",IF(AND(L401&gt;0,N(N401)=0),"Hours logged, no Jobber visit",IF(AND(O401&lt;&gt;"",ABS(N(P401))&gt;0.5),"Hours differ from Jobber","")))))</f>
        <v/>
      </c>
    </row>
    <row r="402">
      <c r="K402">
        <f>IF(Sites!A398="","",Sites!A398)</f>
        <v/>
      </c>
      <c r="L402">
        <f>IF(K402="","",COUNTIFS('Hours Log'!$C$2:$C$2001,K402,'Hours Log'!$I$2:$I$2001,$B$3))</f>
        <v/>
      </c>
      <c r="M402" s="18">
        <f>IF(K402="","",SUMIFS('Hours Log'!$G$2:$G$2001,'Hours Log'!$C$2:$C$2001,K402,'Hours Log'!$I$2:$I$2001,$B$3))</f>
        <v/>
      </c>
      <c r="N402" s="10" t="n"/>
      <c r="O402" s="10" t="n"/>
      <c r="P402" s="18">
        <f>IF(OR(K402="",O402=""),"",M402-O402)</f>
        <v/>
      </c>
      <c r="Q402">
        <f>IF(K402="","",IF(AND(N(N402)&gt;0,L402=0),"Jobber visit, no hours logged",IF(AND(L402&gt;0,N402=""),"Enter Jobber visits",IF(AND(L402&gt;0,N(N402)=0),"Hours logged, no Jobber visit",IF(AND(O402&lt;&gt;"",ABS(N(P402))&gt;0.5),"Hours differ from Jobber","")))))</f>
        <v/>
      </c>
    </row>
    <row r="403">
      <c r="K403">
        <f>IF(Sites!A399="","",Sites!A399)</f>
        <v/>
      </c>
      <c r="L403">
        <f>IF(K403="","",COUNTIFS('Hours Log'!$C$2:$C$2001,K403,'Hours Log'!$I$2:$I$2001,$B$3))</f>
        <v/>
      </c>
      <c r="M403" s="18">
        <f>IF(K403="","",SUMIFS('Hours Log'!$G$2:$G$2001,'Hours Log'!$C$2:$C$2001,K403,'Hours Log'!$I$2:$I$2001,$B$3))</f>
        <v/>
      </c>
      <c r="N403" s="10" t="n"/>
      <c r="O403" s="10" t="n"/>
      <c r="P403" s="18">
        <f>IF(OR(K403="",O403=""),"",M403-O403)</f>
        <v/>
      </c>
      <c r="Q403">
        <f>IF(K403="","",IF(AND(N(N403)&gt;0,L403=0),"Jobber visit, no hours logged",IF(AND(L403&gt;0,N403=""),"Enter Jobber visits",IF(AND(L403&gt;0,N(N403)=0),"Hours logged, no Jobber visit",IF(AND(O403&lt;&gt;"",ABS(N(P403))&gt;0.5),"Hours differ from Jobber","")))))</f>
        <v/>
      </c>
    </row>
    <row r="404">
      <c r="K404">
        <f>IF(Sites!A400="","",Sites!A400)</f>
        <v/>
      </c>
      <c r="L404">
        <f>IF(K404="","",COUNTIFS('Hours Log'!$C$2:$C$2001,K404,'Hours Log'!$I$2:$I$2001,$B$3))</f>
        <v/>
      </c>
      <c r="M404" s="18">
        <f>IF(K404="","",SUMIFS('Hours Log'!$G$2:$G$2001,'Hours Log'!$C$2:$C$2001,K404,'Hours Log'!$I$2:$I$2001,$B$3))</f>
        <v/>
      </c>
      <c r="N404" s="10" t="n"/>
      <c r="O404" s="10" t="n"/>
      <c r="P404" s="18">
        <f>IF(OR(K404="",O404=""),"",M404-O404)</f>
        <v/>
      </c>
      <c r="Q404">
        <f>IF(K404="","",IF(AND(N(N404)&gt;0,L404=0),"Jobber visit, no hours logged",IF(AND(L404&gt;0,N404=""),"Enter Jobber visits",IF(AND(L404&gt;0,N(N404)=0),"Hours logged, no Jobber visit",IF(AND(O404&lt;&gt;"",ABS(N(P404))&gt;0.5),"Hours differ from Jobber","")))))</f>
        <v/>
      </c>
    </row>
    <row r="405">
      <c r="K405">
        <f>IF(Sites!A401="","",Sites!A401)</f>
        <v/>
      </c>
      <c r="L405">
        <f>IF(K405="","",COUNTIFS('Hours Log'!$C$2:$C$2001,K405,'Hours Log'!$I$2:$I$2001,$B$3))</f>
        <v/>
      </c>
      <c r="M405" s="18">
        <f>IF(K405="","",SUMIFS('Hours Log'!$G$2:$G$2001,'Hours Log'!$C$2:$C$2001,K405,'Hours Log'!$I$2:$I$2001,$B$3))</f>
        <v/>
      </c>
      <c r="N405" s="10" t="n"/>
      <c r="O405" s="10" t="n"/>
      <c r="P405" s="18">
        <f>IF(OR(K405="",O405=""),"",M405-O405)</f>
        <v/>
      </c>
      <c r="Q405">
        <f>IF(K405="","",IF(AND(N(N405)&gt;0,L405=0),"Jobber visit, no hours logged",IF(AND(L405&gt;0,N405=""),"Enter Jobber visits",IF(AND(L405&gt;0,N(N405)=0),"Hours logged, no Jobber visit",IF(AND(O405&lt;&gt;"",ABS(N(P405))&gt;0.5),"Hours differ from Jobber","")))))</f>
        <v/>
      </c>
    </row>
    <row r="406">
      <c r="K406">
        <f>IF(Sites!A402="","",Sites!A402)</f>
        <v/>
      </c>
      <c r="L406">
        <f>IF(K406="","",COUNTIFS('Hours Log'!$C$2:$C$2001,K406,'Hours Log'!$I$2:$I$2001,$B$3))</f>
        <v/>
      </c>
      <c r="M406" s="18">
        <f>IF(K406="","",SUMIFS('Hours Log'!$G$2:$G$2001,'Hours Log'!$C$2:$C$2001,K406,'Hours Log'!$I$2:$I$2001,$B$3))</f>
        <v/>
      </c>
      <c r="N406" s="10" t="n"/>
      <c r="O406" s="10" t="n"/>
      <c r="P406" s="18">
        <f>IF(OR(K406="",O406=""),"",M406-O406)</f>
        <v/>
      </c>
      <c r="Q406">
        <f>IF(K406="","",IF(AND(N(N406)&gt;0,L406=0),"Jobber visit, no hours logged",IF(AND(L406&gt;0,N406=""),"Enter Jobber visits",IF(AND(L406&gt;0,N(N406)=0),"Hours logged, no Jobber visit",IF(AND(O406&lt;&gt;"",ABS(N(P406))&gt;0.5),"Hours differ from Jobber","")))))</f>
        <v/>
      </c>
    </row>
    <row r="407">
      <c r="K407">
        <f>IF(Sites!A403="","",Sites!A403)</f>
        <v/>
      </c>
      <c r="L407">
        <f>IF(K407="","",COUNTIFS('Hours Log'!$C$2:$C$2001,K407,'Hours Log'!$I$2:$I$2001,$B$3))</f>
        <v/>
      </c>
      <c r="M407" s="18">
        <f>IF(K407="","",SUMIFS('Hours Log'!$G$2:$G$2001,'Hours Log'!$C$2:$C$2001,K407,'Hours Log'!$I$2:$I$2001,$B$3))</f>
        <v/>
      </c>
      <c r="N407" s="10" t="n"/>
      <c r="O407" s="10" t="n"/>
      <c r="P407" s="18">
        <f>IF(OR(K407="",O407=""),"",M407-O407)</f>
        <v/>
      </c>
      <c r="Q407">
        <f>IF(K407="","",IF(AND(N(N407)&gt;0,L407=0),"Jobber visit, no hours logged",IF(AND(L407&gt;0,N407=""),"Enter Jobber visits",IF(AND(L407&gt;0,N(N407)=0),"Hours logged, no Jobber visit",IF(AND(O407&lt;&gt;"",ABS(N(P407))&gt;0.5),"Hours differ from Jobber","")))))</f>
        <v/>
      </c>
    </row>
    <row r="408">
      <c r="K408">
        <f>IF(Sites!A404="","",Sites!A404)</f>
        <v/>
      </c>
      <c r="L408">
        <f>IF(K408="","",COUNTIFS('Hours Log'!$C$2:$C$2001,K408,'Hours Log'!$I$2:$I$2001,$B$3))</f>
        <v/>
      </c>
      <c r="M408" s="18">
        <f>IF(K408="","",SUMIFS('Hours Log'!$G$2:$G$2001,'Hours Log'!$C$2:$C$2001,K408,'Hours Log'!$I$2:$I$2001,$B$3))</f>
        <v/>
      </c>
      <c r="N408" s="10" t="n"/>
      <c r="O408" s="10" t="n"/>
      <c r="P408" s="18">
        <f>IF(OR(K408="",O408=""),"",M408-O408)</f>
        <v/>
      </c>
      <c r="Q408">
        <f>IF(K408="","",IF(AND(N(N408)&gt;0,L408=0),"Jobber visit, no hours logged",IF(AND(L408&gt;0,N408=""),"Enter Jobber visits",IF(AND(L408&gt;0,N(N408)=0),"Hours logged, no Jobber visit",IF(AND(O408&lt;&gt;"",ABS(N(P408))&gt;0.5),"Hours differ from Jobber","")))))</f>
        <v/>
      </c>
    </row>
    <row r="409">
      <c r="K409">
        <f>IF(Sites!A405="","",Sites!A405)</f>
        <v/>
      </c>
      <c r="L409">
        <f>IF(K409="","",COUNTIFS('Hours Log'!$C$2:$C$2001,K409,'Hours Log'!$I$2:$I$2001,$B$3))</f>
        <v/>
      </c>
      <c r="M409" s="18">
        <f>IF(K409="","",SUMIFS('Hours Log'!$G$2:$G$2001,'Hours Log'!$C$2:$C$2001,K409,'Hours Log'!$I$2:$I$2001,$B$3))</f>
        <v/>
      </c>
      <c r="N409" s="10" t="n"/>
      <c r="O409" s="10" t="n"/>
      <c r="P409" s="18">
        <f>IF(OR(K409="",O409=""),"",M409-O409)</f>
        <v/>
      </c>
      <c r="Q409">
        <f>IF(K409="","",IF(AND(N(N409)&gt;0,L409=0),"Jobber visit, no hours logged",IF(AND(L409&gt;0,N409=""),"Enter Jobber visits",IF(AND(L409&gt;0,N(N409)=0),"Hours logged, no Jobber visit",IF(AND(O409&lt;&gt;"",ABS(N(P409))&gt;0.5),"Hours differ from Jobber","")))))</f>
        <v/>
      </c>
    </row>
    <row r="410">
      <c r="K410">
        <f>IF(Sites!A406="","",Sites!A406)</f>
        <v/>
      </c>
      <c r="L410">
        <f>IF(K410="","",COUNTIFS('Hours Log'!$C$2:$C$2001,K410,'Hours Log'!$I$2:$I$2001,$B$3))</f>
        <v/>
      </c>
      <c r="M410" s="18">
        <f>IF(K410="","",SUMIFS('Hours Log'!$G$2:$G$2001,'Hours Log'!$C$2:$C$2001,K410,'Hours Log'!$I$2:$I$2001,$B$3))</f>
        <v/>
      </c>
      <c r="N410" s="10" t="n"/>
      <c r="O410" s="10" t="n"/>
      <c r="P410" s="18">
        <f>IF(OR(K410="",O410=""),"",M410-O410)</f>
        <v/>
      </c>
      <c r="Q410">
        <f>IF(K410="","",IF(AND(N(N410)&gt;0,L410=0),"Jobber visit, no hours logged",IF(AND(L410&gt;0,N410=""),"Enter Jobber visits",IF(AND(L410&gt;0,N(N410)=0),"Hours logged, no Jobber visit",IF(AND(O410&lt;&gt;"",ABS(N(P410))&gt;0.5),"Hours differ from Jobber","")))))</f>
        <v/>
      </c>
    </row>
    <row r="411">
      <c r="K411">
        <f>IF(Sites!A407="","",Sites!A407)</f>
        <v/>
      </c>
      <c r="L411">
        <f>IF(K411="","",COUNTIFS('Hours Log'!$C$2:$C$2001,K411,'Hours Log'!$I$2:$I$2001,$B$3))</f>
        <v/>
      </c>
      <c r="M411" s="18">
        <f>IF(K411="","",SUMIFS('Hours Log'!$G$2:$G$2001,'Hours Log'!$C$2:$C$2001,K411,'Hours Log'!$I$2:$I$2001,$B$3))</f>
        <v/>
      </c>
      <c r="N411" s="10" t="n"/>
      <c r="O411" s="10" t="n"/>
      <c r="P411" s="18">
        <f>IF(OR(K411="",O411=""),"",M411-O411)</f>
        <v/>
      </c>
      <c r="Q411">
        <f>IF(K411="","",IF(AND(N(N411)&gt;0,L411=0),"Jobber visit, no hours logged",IF(AND(L411&gt;0,N411=""),"Enter Jobber visits",IF(AND(L411&gt;0,N(N411)=0),"Hours logged, no Jobber visit",IF(AND(O411&lt;&gt;"",ABS(N(P411))&gt;0.5),"Hours differ from Jobber","")))))</f>
        <v/>
      </c>
    </row>
    <row r="412">
      <c r="K412">
        <f>IF(Sites!A408="","",Sites!A408)</f>
        <v/>
      </c>
      <c r="L412">
        <f>IF(K412="","",COUNTIFS('Hours Log'!$C$2:$C$2001,K412,'Hours Log'!$I$2:$I$2001,$B$3))</f>
        <v/>
      </c>
      <c r="M412" s="18">
        <f>IF(K412="","",SUMIFS('Hours Log'!$G$2:$G$2001,'Hours Log'!$C$2:$C$2001,K412,'Hours Log'!$I$2:$I$2001,$B$3))</f>
        <v/>
      </c>
      <c r="N412" s="10" t="n"/>
      <c r="O412" s="10" t="n"/>
      <c r="P412" s="18">
        <f>IF(OR(K412="",O412=""),"",M412-O412)</f>
        <v/>
      </c>
      <c r="Q412">
        <f>IF(K412="","",IF(AND(N(N412)&gt;0,L412=0),"Jobber visit, no hours logged",IF(AND(L412&gt;0,N412=""),"Enter Jobber visits",IF(AND(L412&gt;0,N(N412)=0),"Hours logged, no Jobber visit",IF(AND(O412&lt;&gt;"",ABS(N(P412))&gt;0.5),"Hours differ from Jobber","")))))</f>
        <v/>
      </c>
    </row>
    <row r="413">
      <c r="K413">
        <f>IF(Sites!A409="","",Sites!A409)</f>
        <v/>
      </c>
      <c r="L413">
        <f>IF(K413="","",COUNTIFS('Hours Log'!$C$2:$C$2001,K413,'Hours Log'!$I$2:$I$2001,$B$3))</f>
        <v/>
      </c>
      <c r="M413" s="18">
        <f>IF(K413="","",SUMIFS('Hours Log'!$G$2:$G$2001,'Hours Log'!$C$2:$C$2001,K413,'Hours Log'!$I$2:$I$2001,$B$3))</f>
        <v/>
      </c>
      <c r="N413" s="10" t="n"/>
      <c r="O413" s="10" t="n"/>
      <c r="P413" s="18">
        <f>IF(OR(K413="",O413=""),"",M413-O413)</f>
        <v/>
      </c>
      <c r="Q413">
        <f>IF(K413="","",IF(AND(N(N413)&gt;0,L413=0),"Jobber visit, no hours logged",IF(AND(L413&gt;0,N413=""),"Enter Jobber visits",IF(AND(L413&gt;0,N(N413)=0),"Hours logged, no Jobber visit",IF(AND(O413&lt;&gt;"",ABS(N(P413))&gt;0.5),"Hours differ from Jobber","")))))</f>
        <v/>
      </c>
    </row>
    <row r="414">
      <c r="K414">
        <f>IF(Sites!A410="","",Sites!A410)</f>
        <v/>
      </c>
      <c r="L414">
        <f>IF(K414="","",COUNTIFS('Hours Log'!$C$2:$C$2001,K414,'Hours Log'!$I$2:$I$2001,$B$3))</f>
        <v/>
      </c>
      <c r="M414" s="18">
        <f>IF(K414="","",SUMIFS('Hours Log'!$G$2:$G$2001,'Hours Log'!$C$2:$C$2001,K414,'Hours Log'!$I$2:$I$2001,$B$3))</f>
        <v/>
      </c>
      <c r="N414" s="10" t="n"/>
      <c r="O414" s="10" t="n"/>
      <c r="P414" s="18">
        <f>IF(OR(K414="",O414=""),"",M414-O414)</f>
        <v/>
      </c>
      <c r="Q414">
        <f>IF(K414="","",IF(AND(N(N414)&gt;0,L414=0),"Jobber visit, no hours logged",IF(AND(L414&gt;0,N414=""),"Enter Jobber visits",IF(AND(L414&gt;0,N(N414)=0),"Hours logged, no Jobber visit",IF(AND(O414&lt;&gt;"",ABS(N(P414))&gt;0.5),"Hours differ from Jobber","")))))</f>
        <v/>
      </c>
    </row>
    <row r="415">
      <c r="K415">
        <f>IF(Sites!A411="","",Sites!A411)</f>
        <v/>
      </c>
      <c r="L415">
        <f>IF(K415="","",COUNTIFS('Hours Log'!$C$2:$C$2001,K415,'Hours Log'!$I$2:$I$2001,$B$3))</f>
        <v/>
      </c>
      <c r="M415" s="18">
        <f>IF(K415="","",SUMIFS('Hours Log'!$G$2:$G$2001,'Hours Log'!$C$2:$C$2001,K415,'Hours Log'!$I$2:$I$2001,$B$3))</f>
        <v/>
      </c>
      <c r="N415" s="10" t="n"/>
      <c r="O415" s="10" t="n"/>
      <c r="P415" s="18">
        <f>IF(OR(K415="",O415=""),"",M415-O415)</f>
        <v/>
      </c>
      <c r="Q415">
        <f>IF(K415="","",IF(AND(N(N415)&gt;0,L415=0),"Jobber visit, no hours logged",IF(AND(L415&gt;0,N415=""),"Enter Jobber visits",IF(AND(L415&gt;0,N(N415)=0),"Hours logged, no Jobber visit",IF(AND(O415&lt;&gt;"",ABS(N(P415))&gt;0.5),"Hours differ from Jobber","")))))</f>
        <v/>
      </c>
    </row>
    <row r="416">
      <c r="K416">
        <f>IF(Sites!A412="","",Sites!A412)</f>
        <v/>
      </c>
      <c r="L416">
        <f>IF(K416="","",COUNTIFS('Hours Log'!$C$2:$C$2001,K416,'Hours Log'!$I$2:$I$2001,$B$3))</f>
        <v/>
      </c>
      <c r="M416" s="18">
        <f>IF(K416="","",SUMIFS('Hours Log'!$G$2:$G$2001,'Hours Log'!$C$2:$C$2001,K416,'Hours Log'!$I$2:$I$2001,$B$3))</f>
        <v/>
      </c>
      <c r="N416" s="10" t="n"/>
      <c r="O416" s="10" t="n"/>
      <c r="P416" s="18">
        <f>IF(OR(K416="",O416=""),"",M416-O416)</f>
        <v/>
      </c>
      <c r="Q416">
        <f>IF(K416="","",IF(AND(N(N416)&gt;0,L416=0),"Jobber visit, no hours logged",IF(AND(L416&gt;0,N416=""),"Enter Jobber visits",IF(AND(L416&gt;0,N(N416)=0),"Hours logged, no Jobber visit",IF(AND(O416&lt;&gt;"",ABS(N(P416))&gt;0.5),"Hours differ from Jobber","")))))</f>
        <v/>
      </c>
    </row>
    <row r="417">
      <c r="K417">
        <f>IF(Sites!A413="","",Sites!A413)</f>
        <v/>
      </c>
      <c r="L417">
        <f>IF(K417="","",COUNTIFS('Hours Log'!$C$2:$C$2001,K417,'Hours Log'!$I$2:$I$2001,$B$3))</f>
        <v/>
      </c>
      <c r="M417" s="18">
        <f>IF(K417="","",SUMIFS('Hours Log'!$G$2:$G$2001,'Hours Log'!$C$2:$C$2001,K417,'Hours Log'!$I$2:$I$2001,$B$3))</f>
        <v/>
      </c>
      <c r="N417" s="10" t="n"/>
      <c r="O417" s="10" t="n"/>
      <c r="P417" s="18">
        <f>IF(OR(K417="",O417=""),"",M417-O417)</f>
        <v/>
      </c>
      <c r="Q417">
        <f>IF(K417="","",IF(AND(N(N417)&gt;0,L417=0),"Jobber visit, no hours logged",IF(AND(L417&gt;0,N417=""),"Enter Jobber visits",IF(AND(L417&gt;0,N(N417)=0),"Hours logged, no Jobber visit",IF(AND(O417&lt;&gt;"",ABS(N(P417))&gt;0.5),"Hours differ from Jobber","")))))</f>
        <v/>
      </c>
    </row>
    <row r="418">
      <c r="K418">
        <f>IF(Sites!A414="","",Sites!A414)</f>
        <v/>
      </c>
      <c r="L418">
        <f>IF(K418="","",COUNTIFS('Hours Log'!$C$2:$C$2001,K418,'Hours Log'!$I$2:$I$2001,$B$3))</f>
        <v/>
      </c>
      <c r="M418" s="18">
        <f>IF(K418="","",SUMIFS('Hours Log'!$G$2:$G$2001,'Hours Log'!$C$2:$C$2001,K418,'Hours Log'!$I$2:$I$2001,$B$3))</f>
        <v/>
      </c>
      <c r="N418" s="10" t="n"/>
      <c r="O418" s="10" t="n"/>
      <c r="P418" s="18">
        <f>IF(OR(K418="",O418=""),"",M418-O418)</f>
        <v/>
      </c>
      <c r="Q418">
        <f>IF(K418="","",IF(AND(N(N418)&gt;0,L418=0),"Jobber visit, no hours logged",IF(AND(L418&gt;0,N418=""),"Enter Jobber visits",IF(AND(L418&gt;0,N(N418)=0),"Hours logged, no Jobber visit",IF(AND(O418&lt;&gt;"",ABS(N(P418))&gt;0.5),"Hours differ from Jobber","")))))</f>
        <v/>
      </c>
    </row>
    <row r="419">
      <c r="K419">
        <f>IF(Sites!A415="","",Sites!A415)</f>
        <v/>
      </c>
      <c r="L419">
        <f>IF(K419="","",COUNTIFS('Hours Log'!$C$2:$C$2001,K419,'Hours Log'!$I$2:$I$2001,$B$3))</f>
        <v/>
      </c>
      <c r="M419" s="18">
        <f>IF(K419="","",SUMIFS('Hours Log'!$G$2:$G$2001,'Hours Log'!$C$2:$C$2001,K419,'Hours Log'!$I$2:$I$2001,$B$3))</f>
        <v/>
      </c>
      <c r="N419" s="10" t="n"/>
      <c r="O419" s="10" t="n"/>
      <c r="P419" s="18">
        <f>IF(OR(K419="",O419=""),"",M419-O419)</f>
        <v/>
      </c>
      <c r="Q419">
        <f>IF(K419="","",IF(AND(N(N419)&gt;0,L419=0),"Jobber visit, no hours logged",IF(AND(L419&gt;0,N419=""),"Enter Jobber visits",IF(AND(L419&gt;0,N(N419)=0),"Hours logged, no Jobber visit",IF(AND(O419&lt;&gt;"",ABS(N(P419))&gt;0.5),"Hours differ from Jobber","")))))</f>
        <v/>
      </c>
    </row>
    <row r="420">
      <c r="K420">
        <f>IF(Sites!A416="","",Sites!A416)</f>
        <v/>
      </c>
      <c r="L420">
        <f>IF(K420="","",COUNTIFS('Hours Log'!$C$2:$C$2001,K420,'Hours Log'!$I$2:$I$2001,$B$3))</f>
        <v/>
      </c>
      <c r="M420" s="18">
        <f>IF(K420="","",SUMIFS('Hours Log'!$G$2:$G$2001,'Hours Log'!$C$2:$C$2001,K420,'Hours Log'!$I$2:$I$2001,$B$3))</f>
        <v/>
      </c>
      <c r="N420" s="10" t="n"/>
      <c r="O420" s="10" t="n"/>
      <c r="P420" s="18">
        <f>IF(OR(K420="",O420=""),"",M420-O420)</f>
        <v/>
      </c>
      <c r="Q420">
        <f>IF(K420="","",IF(AND(N(N420)&gt;0,L420=0),"Jobber visit, no hours logged",IF(AND(L420&gt;0,N420=""),"Enter Jobber visits",IF(AND(L420&gt;0,N(N420)=0),"Hours logged, no Jobber visit",IF(AND(O420&lt;&gt;"",ABS(N(P420))&gt;0.5),"Hours differ from Jobber","")))))</f>
        <v/>
      </c>
    </row>
    <row r="421">
      <c r="K421">
        <f>IF(Sites!A417="","",Sites!A417)</f>
        <v/>
      </c>
      <c r="L421">
        <f>IF(K421="","",COUNTIFS('Hours Log'!$C$2:$C$2001,K421,'Hours Log'!$I$2:$I$2001,$B$3))</f>
        <v/>
      </c>
      <c r="M421" s="18">
        <f>IF(K421="","",SUMIFS('Hours Log'!$G$2:$G$2001,'Hours Log'!$C$2:$C$2001,K421,'Hours Log'!$I$2:$I$2001,$B$3))</f>
        <v/>
      </c>
      <c r="N421" s="10" t="n"/>
      <c r="O421" s="10" t="n"/>
      <c r="P421" s="18">
        <f>IF(OR(K421="",O421=""),"",M421-O421)</f>
        <v/>
      </c>
      <c r="Q421">
        <f>IF(K421="","",IF(AND(N(N421)&gt;0,L421=0),"Jobber visit, no hours logged",IF(AND(L421&gt;0,N421=""),"Enter Jobber visits",IF(AND(L421&gt;0,N(N421)=0),"Hours logged, no Jobber visit",IF(AND(O421&lt;&gt;"",ABS(N(P421))&gt;0.5),"Hours differ from Jobber","")))))</f>
        <v/>
      </c>
    </row>
    <row r="422">
      <c r="K422">
        <f>IF(Sites!A418="","",Sites!A418)</f>
        <v/>
      </c>
      <c r="L422">
        <f>IF(K422="","",COUNTIFS('Hours Log'!$C$2:$C$2001,K422,'Hours Log'!$I$2:$I$2001,$B$3))</f>
        <v/>
      </c>
      <c r="M422" s="18">
        <f>IF(K422="","",SUMIFS('Hours Log'!$G$2:$G$2001,'Hours Log'!$C$2:$C$2001,K422,'Hours Log'!$I$2:$I$2001,$B$3))</f>
        <v/>
      </c>
      <c r="N422" s="10" t="n"/>
      <c r="O422" s="10" t="n"/>
      <c r="P422" s="18">
        <f>IF(OR(K422="",O422=""),"",M422-O422)</f>
        <v/>
      </c>
      <c r="Q422">
        <f>IF(K422="","",IF(AND(N(N422)&gt;0,L422=0),"Jobber visit, no hours logged",IF(AND(L422&gt;0,N422=""),"Enter Jobber visits",IF(AND(L422&gt;0,N(N422)=0),"Hours logged, no Jobber visit",IF(AND(O422&lt;&gt;"",ABS(N(P422))&gt;0.5),"Hours differ from Jobber","")))))</f>
        <v/>
      </c>
    </row>
    <row r="423">
      <c r="K423">
        <f>IF(Sites!A419="","",Sites!A419)</f>
        <v/>
      </c>
      <c r="L423">
        <f>IF(K423="","",COUNTIFS('Hours Log'!$C$2:$C$2001,K423,'Hours Log'!$I$2:$I$2001,$B$3))</f>
        <v/>
      </c>
      <c r="M423" s="18">
        <f>IF(K423="","",SUMIFS('Hours Log'!$G$2:$G$2001,'Hours Log'!$C$2:$C$2001,K423,'Hours Log'!$I$2:$I$2001,$B$3))</f>
        <v/>
      </c>
      <c r="N423" s="10" t="n"/>
      <c r="O423" s="10" t="n"/>
      <c r="P423" s="18">
        <f>IF(OR(K423="",O423=""),"",M423-O423)</f>
        <v/>
      </c>
      <c r="Q423">
        <f>IF(K423="","",IF(AND(N(N423)&gt;0,L423=0),"Jobber visit, no hours logged",IF(AND(L423&gt;0,N423=""),"Enter Jobber visits",IF(AND(L423&gt;0,N(N423)=0),"Hours logged, no Jobber visit",IF(AND(O423&lt;&gt;"",ABS(N(P423))&gt;0.5),"Hours differ from Jobber","")))))</f>
        <v/>
      </c>
    </row>
    <row r="424">
      <c r="K424">
        <f>IF(Sites!A420="","",Sites!A420)</f>
        <v/>
      </c>
      <c r="L424">
        <f>IF(K424="","",COUNTIFS('Hours Log'!$C$2:$C$2001,K424,'Hours Log'!$I$2:$I$2001,$B$3))</f>
        <v/>
      </c>
      <c r="M424" s="18">
        <f>IF(K424="","",SUMIFS('Hours Log'!$G$2:$G$2001,'Hours Log'!$C$2:$C$2001,K424,'Hours Log'!$I$2:$I$2001,$B$3))</f>
        <v/>
      </c>
      <c r="N424" s="10" t="n"/>
      <c r="O424" s="10" t="n"/>
      <c r="P424" s="18">
        <f>IF(OR(K424="",O424=""),"",M424-O424)</f>
        <v/>
      </c>
      <c r="Q424">
        <f>IF(K424="","",IF(AND(N(N424)&gt;0,L424=0),"Jobber visit, no hours logged",IF(AND(L424&gt;0,N424=""),"Enter Jobber visits",IF(AND(L424&gt;0,N(N424)=0),"Hours logged, no Jobber visit",IF(AND(O424&lt;&gt;"",ABS(N(P424))&gt;0.5),"Hours differ from Jobber","")))))</f>
        <v/>
      </c>
    </row>
    <row r="425">
      <c r="K425">
        <f>IF(Sites!A421="","",Sites!A421)</f>
        <v/>
      </c>
      <c r="L425">
        <f>IF(K425="","",COUNTIFS('Hours Log'!$C$2:$C$2001,K425,'Hours Log'!$I$2:$I$2001,$B$3))</f>
        <v/>
      </c>
      <c r="M425" s="18">
        <f>IF(K425="","",SUMIFS('Hours Log'!$G$2:$G$2001,'Hours Log'!$C$2:$C$2001,K425,'Hours Log'!$I$2:$I$2001,$B$3))</f>
        <v/>
      </c>
      <c r="N425" s="10" t="n"/>
      <c r="O425" s="10" t="n"/>
      <c r="P425" s="18">
        <f>IF(OR(K425="",O425=""),"",M425-O425)</f>
        <v/>
      </c>
      <c r="Q425">
        <f>IF(K425="","",IF(AND(N(N425)&gt;0,L425=0),"Jobber visit, no hours logged",IF(AND(L425&gt;0,N425=""),"Enter Jobber visits",IF(AND(L425&gt;0,N(N425)=0),"Hours logged, no Jobber visit",IF(AND(O425&lt;&gt;"",ABS(N(P425))&gt;0.5),"Hours differ from Jobber","")))))</f>
        <v/>
      </c>
    </row>
    <row r="426">
      <c r="K426">
        <f>IF(Sites!A422="","",Sites!A422)</f>
        <v/>
      </c>
      <c r="L426">
        <f>IF(K426="","",COUNTIFS('Hours Log'!$C$2:$C$2001,K426,'Hours Log'!$I$2:$I$2001,$B$3))</f>
        <v/>
      </c>
      <c r="M426" s="18">
        <f>IF(K426="","",SUMIFS('Hours Log'!$G$2:$G$2001,'Hours Log'!$C$2:$C$2001,K426,'Hours Log'!$I$2:$I$2001,$B$3))</f>
        <v/>
      </c>
      <c r="N426" s="10" t="n"/>
      <c r="O426" s="10" t="n"/>
      <c r="P426" s="18">
        <f>IF(OR(K426="",O426=""),"",M426-O426)</f>
        <v/>
      </c>
      <c r="Q426">
        <f>IF(K426="","",IF(AND(N(N426)&gt;0,L426=0),"Jobber visit, no hours logged",IF(AND(L426&gt;0,N426=""),"Enter Jobber visits",IF(AND(L426&gt;0,N(N426)=0),"Hours logged, no Jobber visit",IF(AND(O426&lt;&gt;"",ABS(N(P426))&gt;0.5),"Hours differ from Jobber","")))))</f>
        <v/>
      </c>
    </row>
    <row r="427">
      <c r="K427">
        <f>IF(Sites!A423="","",Sites!A423)</f>
        <v/>
      </c>
      <c r="L427">
        <f>IF(K427="","",COUNTIFS('Hours Log'!$C$2:$C$2001,K427,'Hours Log'!$I$2:$I$2001,$B$3))</f>
        <v/>
      </c>
      <c r="M427" s="18">
        <f>IF(K427="","",SUMIFS('Hours Log'!$G$2:$G$2001,'Hours Log'!$C$2:$C$2001,K427,'Hours Log'!$I$2:$I$2001,$B$3))</f>
        <v/>
      </c>
      <c r="N427" s="10" t="n"/>
      <c r="O427" s="10" t="n"/>
      <c r="P427" s="18">
        <f>IF(OR(K427="",O427=""),"",M427-O427)</f>
        <v/>
      </c>
      <c r="Q427">
        <f>IF(K427="","",IF(AND(N(N427)&gt;0,L427=0),"Jobber visit, no hours logged",IF(AND(L427&gt;0,N427=""),"Enter Jobber visits",IF(AND(L427&gt;0,N(N427)=0),"Hours logged, no Jobber visit",IF(AND(O427&lt;&gt;"",ABS(N(P427))&gt;0.5),"Hours differ from Jobber","")))))</f>
        <v/>
      </c>
    </row>
    <row r="428">
      <c r="K428">
        <f>IF(Sites!A424="","",Sites!A424)</f>
        <v/>
      </c>
      <c r="L428">
        <f>IF(K428="","",COUNTIFS('Hours Log'!$C$2:$C$2001,K428,'Hours Log'!$I$2:$I$2001,$B$3))</f>
        <v/>
      </c>
      <c r="M428" s="18">
        <f>IF(K428="","",SUMIFS('Hours Log'!$G$2:$G$2001,'Hours Log'!$C$2:$C$2001,K428,'Hours Log'!$I$2:$I$2001,$B$3))</f>
        <v/>
      </c>
      <c r="N428" s="10" t="n"/>
      <c r="O428" s="10" t="n"/>
      <c r="P428" s="18">
        <f>IF(OR(K428="",O428=""),"",M428-O428)</f>
        <v/>
      </c>
      <c r="Q428">
        <f>IF(K428="","",IF(AND(N(N428)&gt;0,L428=0),"Jobber visit, no hours logged",IF(AND(L428&gt;0,N428=""),"Enter Jobber visits",IF(AND(L428&gt;0,N(N428)=0),"Hours logged, no Jobber visit",IF(AND(O428&lt;&gt;"",ABS(N(P428))&gt;0.5),"Hours differ from Jobber","")))))</f>
        <v/>
      </c>
    </row>
    <row r="429">
      <c r="K429">
        <f>IF(Sites!A425="","",Sites!A425)</f>
        <v/>
      </c>
      <c r="L429">
        <f>IF(K429="","",COUNTIFS('Hours Log'!$C$2:$C$2001,K429,'Hours Log'!$I$2:$I$2001,$B$3))</f>
        <v/>
      </c>
      <c r="M429" s="18">
        <f>IF(K429="","",SUMIFS('Hours Log'!$G$2:$G$2001,'Hours Log'!$C$2:$C$2001,K429,'Hours Log'!$I$2:$I$2001,$B$3))</f>
        <v/>
      </c>
      <c r="N429" s="10" t="n"/>
      <c r="O429" s="10" t="n"/>
      <c r="P429" s="18">
        <f>IF(OR(K429="",O429=""),"",M429-O429)</f>
        <v/>
      </c>
      <c r="Q429">
        <f>IF(K429="","",IF(AND(N(N429)&gt;0,L429=0),"Jobber visit, no hours logged",IF(AND(L429&gt;0,N429=""),"Enter Jobber visits",IF(AND(L429&gt;0,N(N429)=0),"Hours logged, no Jobber visit",IF(AND(O429&lt;&gt;"",ABS(N(P429))&gt;0.5),"Hours differ from Jobber","")))))</f>
        <v/>
      </c>
    </row>
    <row r="430">
      <c r="K430">
        <f>IF(Sites!A426="","",Sites!A426)</f>
        <v/>
      </c>
      <c r="L430">
        <f>IF(K430="","",COUNTIFS('Hours Log'!$C$2:$C$2001,K430,'Hours Log'!$I$2:$I$2001,$B$3))</f>
        <v/>
      </c>
      <c r="M430" s="18">
        <f>IF(K430="","",SUMIFS('Hours Log'!$G$2:$G$2001,'Hours Log'!$C$2:$C$2001,K430,'Hours Log'!$I$2:$I$2001,$B$3))</f>
        <v/>
      </c>
      <c r="N430" s="10" t="n"/>
      <c r="O430" s="10" t="n"/>
      <c r="P430" s="18">
        <f>IF(OR(K430="",O430=""),"",M430-O430)</f>
        <v/>
      </c>
      <c r="Q430">
        <f>IF(K430="","",IF(AND(N(N430)&gt;0,L430=0),"Jobber visit, no hours logged",IF(AND(L430&gt;0,N430=""),"Enter Jobber visits",IF(AND(L430&gt;0,N(N430)=0),"Hours logged, no Jobber visit",IF(AND(O430&lt;&gt;"",ABS(N(P430))&gt;0.5),"Hours differ from Jobber","")))))</f>
        <v/>
      </c>
    </row>
    <row r="431">
      <c r="K431">
        <f>IF(Sites!A427="","",Sites!A427)</f>
        <v/>
      </c>
      <c r="L431">
        <f>IF(K431="","",COUNTIFS('Hours Log'!$C$2:$C$2001,K431,'Hours Log'!$I$2:$I$2001,$B$3))</f>
        <v/>
      </c>
      <c r="M431" s="18">
        <f>IF(K431="","",SUMIFS('Hours Log'!$G$2:$G$2001,'Hours Log'!$C$2:$C$2001,K431,'Hours Log'!$I$2:$I$2001,$B$3))</f>
        <v/>
      </c>
      <c r="N431" s="10" t="n"/>
      <c r="O431" s="10" t="n"/>
      <c r="P431" s="18">
        <f>IF(OR(K431="",O431=""),"",M431-O431)</f>
        <v/>
      </c>
      <c r="Q431">
        <f>IF(K431="","",IF(AND(N(N431)&gt;0,L431=0),"Jobber visit, no hours logged",IF(AND(L431&gt;0,N431=""),"Enter Jobber visits",IF(AND(L431&gt;0,N(N431)=0),"Hours logged, no Jobber visit",IF(AND(O431&lt;&gt;"",ABS(N(P431))&gt;0.5),"Hours differ from Jobber","")))))</f>
        <v/>
      </c>
    </row>
    <row r="432">
      <c r="K432">
        <f>IF(Sites!A428="","",Sites!A428)</f>
        <v/>
      </c>
      <c r="L432">
        <f>IF(K432="","",COUNTIFS('Hours Log'!$C$2:$C$2001,K432,'Hours Log'!$I$2:$I$2001,$B$3))</f>
        <v/>
      </c>
      <c r="M432" s="18">
        <f>IF(K432="","",SUMIFS('Hours Log'!$G$2:$G$2001,'Hours Log'!$C$2:$C$2001,K432,'Hours Log'!$I$2:$I$2001,$B$3))</f>
        <v/>
      </c>
      <c r="N432" s="10" t="n"/>
      <c r="O432" s="10" t="n"/>
      <c r="P432" s="18">
        <f>IF(OR(K432="",O432=""),"",M432-O432)</f>
        <v/>
      </c>
      <c r="Q432">
        <f>IF(K432="","",IF(AND(N(N432)&gt;0,L432=0),"Jobber visit, no hours logged",IF(AND(L432&gt;0,N432=""),"Enter Jobber visits",IF(AND(L432&gt;0,N(N432)=0),"Hours logged, no Jobber visit",IF(AND(O432&lt;&gt;"",ABS(N(P432))&gt;0.5),"Hours differ from Jobber","")))))</f>
        <v/>
      </c>
    </row>
    <row r="433">
      <c r="K433">
        <f>IF(Sites!A429="","",Sites!A429)</f>
        <v/>
      </c>
      <c r="L433">
        <f>IF(K433="","",COUNTIFS('Hours Log'!$C$2:$C$2001,K433,'Hours Log'!$I$2:$I$2001,$B$3))</f>
        <v/>
      </c>
      <c r="M433" s="18">
        <f>IF(K433="","",SUMIFS('Hours Log'!$G$2:$G$2001,'Hours Log'!$C$2:$C$2001,K433,'Hours Log'!$I$2:$I$2001,$B$3))</f>
        <v/>
      </c>
      <c r="N433" s="10" t="n"/>
      <c r="O433" s="10" t="n"/>
      <c r="P433" s="18">
        <f>IF(OR(K433="",O433=""),"",M433-O433)</f>
        <v/>
      </c>
      <c r="Q433">
        <f>IF(K433="","",IF(AND(N(N433)&gt;0,L433=0),"Jobber visit, no hours logged",IF(AND(L433&gt;0,N433=""),"Enter Jobber visits",IF(AND(L433&gt;0,N(N433)=0),"Hours logged, no Jobber visit",IF(AND(O433&lt;&gt;"",ABS(N(P433))&gt;0.5),"Hours differ from Jobber","")))))</f>
        <v/>
      </c>
    </row>
    <row r="434">
      <c r="K434">
        <f>IF(Sites!A430="","",Sites!A430)</f>
        <v/>
      </c>
      <c r="L434">
        <f>IF(K434="","",COUNTIFS('Hours Log'!$C$2:$C$2001,K434,'Hours Log'!$I$2:$I$2001,$B$3))</f>
        <v/>
      </c>
      <c r="M434" s="18">
        <f>IF(K434="","",SUMIFS('Hours Log'!$G$2:$G$2001,'Hours Log'!$C$2:$C$2001,K434,'Hours Log'!$I$2:$I$2001,$B$3))</f>
        <v/>
      </c>
      <c r="N434" s="10" t="n"/>
      <c r="O434" s="10" t="n"/>
      <c r="P434" s="18">
        <f>IF(OR(K434="",O434=""),"",M434-O434)</f>
        <v/>
      </c>
      <c r="Q434">
        <f>IF(K434="","",IF(AND(N(N434)&gt;0,L434=0),"Jobber visit, no hours logged",IF(AND(L434&gt;0,N434=""),"Enter Jobber visits",IF(AND(L434&gt;0,N(N434)=0),"Hours logged, no Jobber visit",IF(AND(O434&lt;&gt;"",ABS(N(P434))&gt;0.5),"Hours differ from Jobber","")))))</f>
        <v/>
      </c>
    </row>
    <row r="435">
      <c r="K435">
        <f>IF(Sites!A431="","",Sites!A431)</f>
        <v/>
      </c>
      <c r="L435">
        <f>IF(K435="","",COUNTIFS('Hours Log'!$C$2:$C$2001,K435,'Hours Log'!$I$2:$I$2001,$B$3))</f>
        <v/>
      </c>
      <c r="M435" s="18">
        <f>IF(K435="","",SUMIFS('Hours Log'!$G$2:$G$2001,'Hours Log'!$C$2:$C$2001,K435,'Hours Log'!$I$2:$I$2001,$B$3))</f>
        <v/>
      </c>
      <c r="N435" s="10" t="n"/>
      <c r="O435" s="10" t="n"/>
      <c r="P435" s="18">
        <f>IF(OR(K435="",O435=""),"",M435-O435)</f>
        <v/>
      </c>
      <c r="Q435">
        <f>IF(K435="","",IF(AND(N(N435)&gt;0,L435=0),"Jobber visit, no hours logged",IF(AND(L435&gt;0,N435=""),"Enter Jobber visits",IF(AND(L435&gt;0,N(N435)=0),"Hours logged, no Jobber visit",IF(AND(O435&lt;&gt;"",ABS(N(P435))&gt;0.5),"Hours differ from Jobber","")))))</f>
        <v/>
      </c>
    </row>
    <row r="436">
      <c r="K436">
        <f>IF(Sites!A432="","",Sites!A432)</f>
        <v/>
      </c>
      <c r="L436">
        <f>IF(K436="","",COUNTIFS('Hours Log'!$C$2:$C$2001,K436,'Hours Log'!$I$2:$I$2001,$B$3))</f>
        <v/>
      </c>
      <c r="M436" s="18">
        <f>IF(K436="","",SUMIFS('Hours Log'!$G$2:$G$2001,'Hours Log'!$C$2:$C$2001,K436,'Hours Log'!$I$2:$I$2001,$B$3))</f>
        <v/>
      </c>
      <c r="N436" s="10" t="n"/>
      <c r="O436" s="10" t="n"/>
      <c r="P436" s="18">
        <f>IF(OR(K436="",O436=""),"",M436-O436)</f>
        <v/>
      </c>
      <c r="Q436">
        <f>IF(K436="","",IF(AND(N(N436)&gt;0,L436=0),"Jobber visit, no hours logged",IF(AND(L436&gt;0,N436=""),"Enter Jobber visits",IF(AND(L436&gt;0,N(N436)=0),"Hours logged, no Jobber visit",IF(AND(O436&lt;&gt;"",ABS(N(P436))&gt;0.5),"Hours differ from Jobber","")))))</f>
        <v/>
      </c>
    </row>
    <row r="437">
      <c r="K437">
        <f>IF(Sites!A433="","",Sites!A433)</f>
        <v/>
      </c>
      <c r="L437">
        <f>IF(K437="","",COUNTIFS('Hours Log'!$C$2:$C$2001,K437,'Hours Log'!$I$2:$I$2001,$B$3))</f>
        <v/>
      </c>
      <c r="M437" s="18">
        <f>IF(K437="","",SUMIFS('Hours Log'!$G$2:$G$2001,'Hours Log'!$C$2:$C$2001,K437,'Hours Log'!$I$2:$I$2001,$B$3))</f>
        <v/>
      </c>
      <c r="N437" s="10" t="n"/>
      <c r="O437" s="10" t="n"/>
      <c r="P437" s="18">
        <f>IF(OR(K437="",O437=""),"",M437-O437)</f>
        <v/>
      </c>
      <c r="Q437">
        <f>IF(K437="","",IF(AND(N(N437)&gt;0,L437=0),"Jobber visit, no hours logged",IF(AND(L437&gt;0,N437=""),"Enter Jobber visits",IF(AND(L437&gt;0,N(N437)=0),"Hours logged, no Jobber visit",IF(AND(O437&lt;&gt;"",ABS(N(P437))&gt;0.5),"Hours differ from Jobber","")))))</f>
        <v/>
      </c>
    </row>
    <row r="438">
      <c r="K438">
        <f>IF(Sites!A434="","",Sites!A434)</f>
        <v/>
      </c>
      <c r="L438">
        <f>IF(K438="","",COUNTIFS('Hours Log'!$C$2:$C$2001,K438,'Hours Log'!$I$2:$I$2001,$B$3))</f>
        <v/>
      </c>
      <c r="M438" s="18">
        <f>IF(K438="","",SUMIFS('Hours Log'!$G$2:$G$2001,'Hours Log'!$C$2:$C$2001,K438,'Hours Log'!$I$2:$I$2001,$B$3))</f>
        <v/>
      </c>
      <c r="N438" s="10" t="n"/>
      <c r="O438" s="10" t="n"/>
      <c r="P438" s="18">
        <f>IF(OR(K438="",O438=""),"",M438-O438)</f>
        <v/>
      </c>
      <c r="Q438">
        <f>IF(K438="","",IF(AND(N(N438)&gt;0,L438=0),"Jobber visit, no hours logged",IF(AND(L438&gt;0,N438=""),"Enter Jobber visits",IF(AND(L438&gt;0,N(N438)=0),"Hours logged, no Jobber visit",IF(AND(O438&lt;&gt;"",ABS(N(P438))&gt;0.5),"Hours differ from Jobber","")))))</f>
        <v/>
      </c>
    </row>
    <row r="439">
      <c r="K439">
        <f>IF(Sites!A435="","",Sites!A435)</f>
        <v/>
      </c>
      <c r="L439">
        <f>IF(K439="","",COUNTIFS('Hours Log'!$C$2:$C$2001,K439,'Hours Log'!$I$2:$I$2001,$B$3))</f>
        <v/>
      </c>
      <c r="M439" s="18">
        <f>IF(K439="","",SUMIFS('Hours Log'!$G$2:$G$2001,'Hours Log'!$C$2:$C$2001,K439,'Hours Log'!$I$2:$I$2001,$B$3))</f>
        <v/>
      </c>
      <c r="N439" s="10" t="n"/>
      <c r="O439" s="10" t="n"/>
      <c r="P439" s="18">
        <f>IF(OR(K439="",O439=""),"",M439-O439)</f>
        <v/>
      </c>
      <c r="Q439">
        <f>IF(K439="","",IF(AND(N(N439)&gt;0,L439=0),"Jobber visit, no hours logged",IF(AND(L439&gt;0,N439=""),"Enter Jobber visits",IF(AND(L439&gt;0,N(N439)=0),"Hours logged, no Jobber visit",IF(AND(O439&lt;&gt;"",ABS(N(P439))&gt;0.5),"Hours differ from Jobber","")))))</f>
        <v/>
      </c>
    </row>
    <row r="440">
      <c r="K440">
        <f>IF(Sites!A436="","",Sites!A436)</f>
        <v/>
      </c>
      <c r="L440">
        <f>IF(K440="","",COUNTIFS('Hours Log'!$C$2:$C$2001,K440,'Hours Log'!$I$2:$I$2001,$B$3))</f>
        <v/>
      </c>
      <c r="M440" s="18">
        <f>IF(K440="","",SUMIFS('Hours Log'!$G$2:$G$2001,'Hours Log'!$C$2:$C$2001,K440,'Hours Log'!$I$2:$I$2001,$B$3))</f>
        <v/>
      </c>
      <c r="N440" s="10" t="n"/>
      <c r="O440" s="10" t="n"/>
      <c r="P440" s="18">
        <f>IF(OR(K440="",O440=""),"",M440-O440)</f>
        <v/>
      </c>
      <c r="Q440">
        <f>IF(K440="","",IF(AND(N(N440)&gt;0,L440=0),"Jobber visit, no hours logged",IF(AND(L440&gt;0,N440=""),"Enter Jobber visits",IF(AND(L440&gt;0,N(N440)=0),"Hours logged, no Jobber visit",IF(AND(O440&lt;&gt;"",ABS(N(P440))&gt;0.5),"Hours differ from Jobber","")))))</f>
        <v/>
      </c>
    </row>
    <row r="441">
      <c r="K441">
        <f>IF(Sites!A437="","",Sites!A437)</f>
        <v/>
      </c>
      <c r="L441">
        <f>IF(K441="","",COUNTIFS('Hours Log'!$C$2:$C$2001,K441,'Hours Log'!$I$2:$I$2001,$B$3))</f>
        <v/>
      </c>
      <c r="M441" s="18">
        <f>IF(K441="","",SUMIFS('Hours Log'!$G$2:$G$2001,'Hours Log'!$C$2:$C$2001,K441,'Hours Log'!$I$2:$I$2001,$B$3))</f>
        <v/>
      </c>
      <c r="N441" s="10" t="n"/>
      <c r="O441" s="10" t="n"/>
      <c r="P441" s="18">
        <f>IF(OR(K441="",O441=""),"",M441-O441)</f>
        <v/>
      </c>
      <c r="Q441">
        <f>IF(K441="","",IF(AND(N(N441)&gt;0,L441=0),"Jobber visit, no hours logged",IF(AND(L441&gt;0,N441=""),"Enter Jobber visits",IF(AND(L441&gt;0,N(N441)=0),"Hours logged, no Jobber visit",IF(AND(O441&lt;&gt;"",ABS(N(P441))&gt;0.5),"Hours differ from Jobber","")))))</f>
        <v/>
      </c>
    </row>
    <row r="442">
      <c r="K442">
        <f>IF(Sites!A438="","",Sites!A438)</f>
        <v/>
      </c>
      <c r="L442">
        <f>IF(K442="","",COUNTIFS('Hours Log'!$C$2:$C$2001,K442,'Hours Log'!$I$2:$I$2001,$B$3))</f>
        <v/>
      </c>
      <c r="M442" s="18">
        <f>IF(K442="","",SUMIFS('Hours Log'!$G$2:$G$2001,'Hours Log'!$C$2:$C$2001,K442,'Hours Log'!$I$2:$I$2001,$B$3))</f>
        <v/>
      </c>
      <c r="N442" s="10" t="n"/>
      <c r="O442" s="10" t="n"/>
      <c r="P442" s="18">
        <f>IF(OR(K442="",O442=""),"",M442-O442)</f>
        <v/>
      </c>
      <c r="Q442">
        <f>IF(K442="","",IF(AND(N(N442)&gt;0,L442=0),"Jobber visit, no hours logged",IF(AND(L442&gt;0,N442=""),"Enter Jobber visits",IF(AND(L442&gt;0,N(N442)=0),"Hours logged, no Jobber visit",IF(AND(O442&lt;&gt;"",ABS(N(P442))&gt;0.5),"Hours differ from Jobber","")))))</f>
        <v/>
      </c>
    </row>
    <row r="443">
      <c r="K443">
        <f>IF(Sites!A439="","",Sites!A439)</f>
        <v/>
      </c>
      <c r="L443">
        <f>IF(K443="","",COUNTIFS('Hours Log'!$C$2:$C$2001,K443,'Hours Log'!$I$2:$I$2001,$B$3))</f>
        <v/>
      </c>
      <c r="M443" s="18">
        <f>IF(K443="","",SUMIFS('Hours Log'!$G$2:$G$2001,'Hours Log'!$C$2:$C$2001,K443,'Hours Log'!$I$2:$I$2001,$B$3))</f>
        <v/>
      </c>
      <c r="N443" s="10" t="n"/>
      <c r="O443" s="10" t="n"/>
      <c r="P443" s="18">
        <f>IF(OR(K443="",O443=""),"",M443-O443)</f>
        <v/>
      </c>
      <c r="Q443">
        <f>IF(K443="","",IF(AND(N(N443)&gt;0,L443=0),"Jobber visit, no hours logged",IF(AND(L443&gt;0,N443=""),"Enter Jobber visits",IF(AND(L443&gt;0,N(N443)=0),"Hours logged, no Jobber visit",IF(AND(O443&lt;&gt;"",ABS(N(P443))&gt;0.5),"Hours differ from Jobber","")))))</f>
        <v/>
      </c>
    </row>
    <row r="444">
      <c r="K444">
        <f>IF(Sites!A440="","",Sites!A440)</f>
        <v/>
      </c>
      <c r="L444">
        <f>IF(K444="","",COUNTIFS('Hours Log'!$C$2:$C$2001,K444,'Hours Log'!$I$2:$I$2001,$B$3))</f>
        <v/>
      </c>
      <c r="M444" s="18">
        <f>IF(K444="","",SUMIFS('Hours Log'!$G$2:$G$2001,'Hours Log'!$C$2:$C$2001,K444,'Hours Log'!$I$2:$I$2001,$B$3))</f>
        <v/>
      </c>
      <c r="N444" s="10" t="n"/>
      <c r="O444" s="10" t="n"/>
      <c r="P444" s="18">
        <f>IF(OR(K444="",O444=""),"",M444-O444)</f>
        <v/>
      </c>
      <c r="Q444">
        <f>IF(K444="","",IF(AND(N(N444)&gt;0,L444=0),"Jobber visit, no hours logged",IF(AND(L444&gt;0,N444=""),"Enter Jobber visits",IF(AND(L444&gt;0,N(N444)=0),"Hours logged, no Jobber visit",IF(AND(O444&lt;&gt;"",ABS(N(P444))&gt;0.5),"Hours differ from Jobber","")))))</f>
        <v/>
      </c>
    </row>
    <row r="445">
      <c r="K445">
        <f>IF(Sites!A441="","",Sites!A441)</f>
        <v/>
      </c>
      <c r="L445">
        <f>IF(K445="","",COUNTIFS('Hours Log'!$C$2:$C$2001,K445,'Hours Log'!$I$2:$I$2001,$B$3))</f>
        <v/>
      </c>
      <c r="M445" s="18">
        <f>IF(K445="","",SUMIFS('Hours Log'!$G$2:$G$2001,'Hours Log'!$C$2:$C$2001,K445,'Hours Log'!$I$2:$I$2001,$B$3))</f>
        <v/>
      </c>
      <c r="N445" s="10" t="n"/>
      <c r="O445" s="10" t="n"/>
      <c r="P445" s="18">
        <f>IF(OR(K445="",O445=""),"",M445-O445)</f>
        <v/>
      </c>
      <c r="Q445">
        <f>IF(K445="","",IF(AND(N(N445)&gt;0,L445=0),"Jobber visit, no hours logged",IF(AND(L445&gt;0,N445=""),"Enter Jobber visits",IF(AND(L445&gt;0,N(N445)=0),"Hours logged, no Jobber visit",IF(AND(O445&lt;&gt;"",ABS(N(P445))&gt;0.5),"Hours differ from Jobber","")))))</f>
        <v/>
      </c>
    </row>
    <row r="446">
      <c r="K446">
        <f>IF(Sites!A442="","",Sites!A442)</f>
        <v/>
      </c>
      <c r="L446">
        <f>IF(K446="","",COUNTIFS('Hours Log'!$C$2:$C$2001,K446,'Hours Log'!$I$2:$I$2001,$B$3))</f>
        <v/>
      </c>
      <c r="M446" s="18">
        <f>IF(K446="","",SUMIFS('Hours Log'!$G$2:$G$2001,'Hours Log'!$C$2:$C$2001,K446,'Hours Log'!$I$2:$I$2001,$B$3))</f>
        <v/>
      </c>
      <c r="N446" s="10" t="n"/>
      <c r="O446" s="10" t="n"/>
      <c r="P446" s="18">
        <f>IF(OR(K446="",O446=""),"",M446-O446)</f>
        <v/>
      </c>
      <c r="Q446">
        <f>IF(K446="","",IF(AND(N(N446)&gt;0,L446=0),"Jobber visit, no hours logged",IF(AND(L446&gt;0,N446=""),"Enter Jobber visits",IF(AND(L446&gt;0,N(N446)=0),"Hours logged, no Jobber visit",IF(AND(O446&lt;&gt;"",ABS(N(P446))&gt;0.5),"Hours differ from Jobber","")))))</f>
        <v/>
      </c>
    </row>
    <row r="447">
      <c r="K447">
        <f>IF(Sites!A443="","",Sites!A443)</f>
        <v/>
      </c>
      <c r="L447">
        <f>IF(K447="","",COUNTIFS('Hours Log'!$C$2:$C$2001,K447,'Hours Log'!$I$2:$I$2001,$B$3))</f>
        <v/>
      </c>
      <c r="M447" s="18">
        <f>IF(K447="","",SUMIFS('Hours Log'!$G$2:$G$2001,'Hours Log'!$C$2:$C$2001,K447,'Hours Log'!$I$2:$I$2001,$B$3))</f>
        <v/>
      </c>
      <c r="N447" s="10" t="n"/>
      <c r="O447" s="10" t="n"/>
      <c r="P447" s="18">
        <f>IF(OR(K447="",O447=""),"",M447-O447)</f>
        <v/>
      </c>
      <c r="Q447">
        <f>IF(K447="","",IF(AND(N(N447)&gt;0,L447=0),"Jobber visit, no hours logged",IF(AND(L447&gt;0,N447=""),"Enter Jobber visits",IF(AND(L447&gt;0,N(N447)=0),"Hours logged, no Jobber visit",IF(AND(O447&lt;&gt;"",ABS(N(P447))&gt;0.5),"Hours differ from Jobber","")))))</f>
        <v/>
      </c>
    </row>
    <row r="448">
      <c r="K448">
        <f>IF(Sites!A444="","",Sites!A444)</f>
        <v/>
      </c>
      <c r="L448">
        <f>IF(K448="","",COUNTIFS('Hours Log'!$C$2:$C$2001,K448,'Hours Log'!$I$2:$I$2001,$B$3))</f>
        <v/>
      </c>
      <c r="M448" s="18">
        <f>IF(K448="","",SUMIFS('Hours Log'!$G$2:$G$2001,'Hours Log'!$C$2:$C$2001,K448,'Hours Log'!$I$2:$I$2001,$B$3))</f>
        <v/>
      </c>
      <c r="N448" s="10" t="n"/>
      <c r="O448" s="10" t="n"/>
      <c r="P448" s="18">
        <f>IF(OR(K448="",O448=""),"",M448-O448)</f>
        <v/>
      </c>
      <c r="Q448">
        <f>IF(K448="","",IF(AND(N(N448)&gt;0,L448=0),"Jobber visit, no hours logged",IF(AND(L448&gt;0,N448=""),"Enter Jobber visits",IF(AND(L448&gt;0,N(N448)=0),"Hours logged, no Jobber visit",IF(AND(O448&lt;&gt;"",ABS(N(P448))&gt;0.5),"Hours differ from Jobber","")))))</f>
        <v/>
      </c>
    </row>
    <row r="449">
      <c r="K449">
        <f>IF(Sites!A445="","",Sites!A445)</f>
        <v/>
      </c>
      <c r="L449">
        <f>IF(K449="","",COUNTIFS('Hours Log'!$C$2:$C$2001,K449,'Hours Log'!$I$2:$I$2001,$B$3))</f>
        <v/>
      </c>
      <c r="M449" s="18">
        <f>IF(K449="","",SUMIFS('Hours Log'!$G$2:$G$2001,'Hours Log'!$C$2:$C$2001,K449,'Hours Log'!$I$2:$I$2001,$B$3))</f>
        <v/>
      </c>
      <c r="N449" s="10" t="n"/>
      <c r="O449" s="10" t="n"/>
      <c r="P449" s="18">
        <f>IF(OR(K449="",O449=""),"",M449-O449)</f>
        <v/>
      </c>
      <c r="Q449">
        <f>IF(K449="","",IF(AND(N(N449)&gt;0,L449=0),"Jobber visit, no hours logged",IF(AND(L449&gt;0,N449=""),"Enter Jobber visits",IF(AND(L449&gt;0,N(N449)=0),"Hours logged, no Jobber visit",IF(AND(O449&lt;&gt;"",ABS(N(P449))&gt;0.5),"Hours differ from Jobber","")))))</f>
        <v/>
      </c>
    </row>
    <row r="450">
      <c r="K450">
        <f>IF(Sites!A446="","",Sites!A446)</f>
        <v/>
      </c>
      <c r="L450">
        <f>IF(K450="","",COUNTIFS('Hours Log'!$C$2:$C$2001,K450,'Hours Log'!$I$2:$I$2001,$B$3))</f>
        <v/>
      </c>
      <c r="M450" s="18">
        <f>IF(K450="","",SUMIFS('Hours Log'!$G$2:$G$2001,'Hours Log'!$C$2:$C$2001,K450,'Hours Log'!$I$2:$I$2001,$B$3))</f>
        <v/>
      </c>
      <c r="N450" s="10" t="n"/>
      <c r="O450" s="10" t="n"/>
      <c r="P450" s="18">
        <f>IF(OR(K450="",O450=""),"",M450-O450)</f>
        <v/>
      </c>
      <c r="Q450">
        <f>IF(K450="","",IF(AND(N(N450)&gt;0,L450=0),"Jobber visit, no hours logged",IF(AND(L450&gt;0,N450=""),"Enter Jobber visits",IF(AND(L450&gt;0,N(N450)=0),"Hours logged, no Jobber visit",IF(AND(O450&lt;&gt;"",ABS(N(P450))&gt;0.5),"Hours differ from Jobber","")))))</f>
        <v/>
      </c>
    </row>
    <row r="451">
      <c r="K451">
        <f>IF(Sites!A447="","",Sites!A447)</f>
        <v/>
      </c>
      <c r="L451">
        <f>IF(K451="","",COUNTIFS('Hours Log'!$C$2:$C$2001,K451,'Hours Log'!$I$2:$I$2001,$B$3))</f>
        <v/>
      </c>
      <c r="M451" s="18">
        <f>IF(K451="","",SUMIFS('Hours Log'!$G$2:$G$2001,'Hours Log'!$C$2:$C$2001,K451,'Hours Log'!$I$2:$I$2001,$B$3))</f>
        <v/>
      </c>
      <c r="N451" s="10" t="n"/>
      <c r="O451" s="10" t="n"/>
      <c r="P451" s="18">
        <f>IF(OR(K451="",O451=""),"",M451-O451)</f>
        <v/>
      </c>
      <c r="Q451">
        <f>IF(K451="","",IF(AND(N(N451)&gt;0,L451=0),"Jobber visit, no hours logged",IF(AND(L451&gt;0,N451=""),"Enter Jobber visits",IF(AND(L451&gt;0,N(N451)=0),"Hours logged, no Jobber visit",IF(AND(O451&lt;&gt;"",ABS(N(P451))&gt;0.5),"Hours differ from Jobber","")))))</f>
        <v/>
      </c>
    </row>
    <row r="452">
      <c r="K452">
        <f>IF(Sites!A448="","",Sites!A448)</f>
        <v/>
      </c>
      <c r="L452">
        <f>IF(K452="","",COUNTIFS('Hours Log'!$C$2:$C$2001,K452,'Hours Log'!$I$2:$I$2001,$B$3))</f>
        <v/>
      </c>
      <c r="M452" s="18">
        <f>IF(K452="","",SUMIFS('Hours Log'!$G$2:$G$2001,'Hours Log'!$C$2:$C$2001,K452,'Hours Log'!$I$2:$I$2001,$B$3))</f>
        <v/>
      </c>
      <c r="N452" s="10" t="n"/>
      <c r="O452" s="10" t="n"/>
      <c r="P452" s="18">
        <f>IF(OR(K452="",O452=""),"",M452-O452)</f>
        <v/>
      </c>
      <c r="Q452">
        <f>IF(K452="","",IF(AND(N(N452)&gt;0,L452=0),"Jobber visit, no hours logged",IF(AND(L452&gt;0,N452=""),"Enter Jobber visits",IF(AND(L452&gt;0,N(N452)=0),"Hours logged, no Jobber visit",IF(AND(O452&lt;&gt;"",ABS(N(P452))&gt;0.5),"Hours differ from Jobber","")))))</f>
        <v/>
      </c>
    </row>
    <row r="453">
      <c r="K453">
        <f>IF(Sites!A449="","",Sites!A449)</f>
        <v/>
      </c>
      <c r="L453">
        <f>IF(K453="","",COUNTIFS('Hours Log'!$C$2:$C$2001,K453,'Hours Log'!$I$2:$I$2001,$B$3))</f>
        <v/>
      </c>
      <c r="M453" s="18">
        <f>IF(K453="","",SUMIFS('Hours Log'!$G$2:$G$2001,'Hours Log'!$C$2:$C$2001,K453,'Hours Log'!$I$2:$I$2001,$B$3))</f>
        <v/>
      </c>
      <c r="N453" s="10" t="n"/>
      <c r="O453" s="10" t="n"/>
      <c r="P453" s="18">
        <f>IF(OR(K453="",O453=""),"",M453-O453)</f>
        <v/>
      </c>
      <c r="Q453">
        <f>IF(K453="","",IF(AND(N(N453)&gt;0,L453=0),"Jobber visit, no hours logged",IF(AND(L453&gt;0,N453=""),"Enter Jobber visits",IF(AND(L453&gt;0,N(N453)=0),"Hours logged, no Jobber visit",IF(AND(O453&lt;&gt;"",ABS(N(P453))&gt;0.5),"Hours differ from Jobber","")))))</f>
        <v/>
      </c>
    </row>
    <row r="454">
      <c r="K454">
        <f>IF(Sites!A450="","",Sites!A450)</f>
        <v/>
      </c>
      <c r="L454">
        <f>IF(K454="","",COUNTIFS('Hours Log'!$C$2:$C$2001,K454,'Hours Log'!$I$2:$I$2001,$B$3))</f>
        <v/>
      </c>
      <c r="M454" s="18">
        <f>IF(K454="","",SUMIFS('Hours Log'!$G$2:$G$2001,'Hours Log'!$C$2:$C$2001,K454,'Hours Log'!$I$2:$I$2001,$B$3))</f>
        <v/>
      </c>
      <c r="N454" s="10" t="n"/>
      <c r="O454" s="10" t="n"/>
      <c r="P454" s="18">
        <f>IF(OR(K454="",O454=""),"",M454-O454)</f>
        <v/>
      </c>
      <c r="Q454">
        <f>IF(K454="","",IF(AND(N(N454)&gt;0,L454=0),"Jobber visit, no hours logged",IF(AND(L454&gt;0,N454=""),"Enter Jobber visits",IF(AND(L454&gt;0,N(N454)=0),"Hours logged, no Jobber visit",IF(AND(O454&lt;&gt;"",ABS(N(P454))&gt;0.5),"Hours differ from Jobber","")))))</f>
        <v/>
      </c>
    </row>
    <row r="455">
      <c r="K455">
        <f>IF(Sites!A451="","",Sites!A451)</f>
        <v/>
      </c>
      <c r="L455">
        <f>IF(K455="","",COUNTIFS('Hours Log'!$C$2:$C$2001,K455,'Hours Log'!$I$2:$I$2001,$B$3))</f>
        <v/>
      </c>
      <c r="M455" s="18">
        <f>IF(K455="","",SUMIFS('Hours Log'!$G$2:$G$2001,'Hours Log'!$C$2:$C$2001,K455,'Hours Log'!$I$2:$I$2001,$B$3))</f>
        <v/>
      </c>
      <c r="N455" s="10" t="n"/>
      <c r="O455" s="10" t="n"/>
      <c r="P455" s="18">
        <f>IF(OR(K455="",O455=""),"",M455-O455)</f>
        <v/>
      </c>
      <c r="Q455">
        <f>IF(K455="","",IF(AND(N(N455)&gt;0,L455=0),"Jobber visit, no hours logged",IF(AND(L455&gt;0,N455=""),"Enter Jobber visits",IF(AND(L455&gt;0,N(N455)=0),"Hours logged, no Jobber visit",IF(AND(O455&lt;&gt;"",ABS(N(P455))&gt;0.5),"Hours differ from Jobber","")))))</f>
        <v/>
      </c>
    </row>
    <row r="456">
      <c r="K456">
        <f>IF(Sites!A452="","",Sites!A452)</f>
        <v/>
      </c>
      <c r="L456">
        <f>IF(K456="","",COUNTIFS('Hours Log'!$C$2:$C$2001,K456,'Hours Log'!$I$2:$I$2001,$B$3))</f>
        <v/>
      </c>
      <c r="M456" s="18">
        <f>IF(K456="","",SUMIFS('Hours Log'!$G$2:$G$2001,'Hours Log'!$C$2:$C$2001,K456,'Hours Log'!$I$2:$I$2001,$B$3))</f>
        <v/>
      </c>
      <c r="N456" s="10" t="n"/>
      <c r="O456" s="10" t="n"/>
      <c r="P456" s="18">
        <f>IF(OR(K456="",O456=""),"",M456-O456)</f>
        <v/>
      </c>
      <c r="Q456">
        <f>IF(K456="","",IF(AND(N(N456)&gt;0,L456=0),"Jobber visit, no hours logged",IF(AND(L456&gt;0,N456=""),"Enter Jobber visits",IF(AND(L456&gt;0,N(N456)=0),"Hours logged, no Jobber visit",IF(AND(O456&lt;&gt;"",ABS(N(P456))&gt;0.5),"Hours differ from Jobber","")))))</f>
        <v/>
      </c>
    </row>
    <row r="457">
      <c r="K457">
        <f>IF(Sites!A453="","",Sites!A453)</f>
        <v/>
      </c>
      <c r="L457">
        <f>IF(K457="","",COUNTIFS('Hours Log'!$C$2:$C$2001,K457,'Hours Log'!$I$2:$I$2001,$B$3))</f>
        <v/>
      </c>
      <c r="M457" s="18">
        <f>IF(K457="","",SUMIFS('Hours Log'!$G$2:$G$2001,'Hours Log'!$C$2:$C$2001,K457,'Hours Log'!$I$2:$I$2001,$B$3))</f>
        <v/>
      </c>
      <c r="N457" s="10" t="n"/>
      <c r="O457" s="10" t="n"/>
      <c r="P457" s="18">
        <f>IF(OR(K457="",O457=""),"",M457-O457)</f>
        <v/>
      </c>
      <c r="Q457">
        <f>IF(K457="","",IF(AND(N(N457)&gt;0,L457=0),"Jobber visit, no hours logged",IF(AND(L457&gt;0,N457=""),"Enter Jobber visits",IF(AND(L457&gt;0,N(N457)=0),"Hours logged, no Jobber visit",IF(AND(O457&lt;&gt;"",ABS(N(P457))&gt;0.5),"Hours differ from Jobber","")))))</f>
        <v/>
      </c>
    </row>
    <row r="458">
      <c r="K458">
        <f>IF(Sites!A454="","",Sites!A454)</f>
        <v/>
      </c>
      <c r="L458">
        <f>IF(K458="","",COUNTIFS('Hours Log'!$C$2:$C$2001,K458,'Hours Log'!$I$2:$I$2001,$B$3))</f>
        <v/>
      </c>
      <c r="M458" s="18">
        <f>IF(K458="","",SUMIFS('Hours Log'!$G$2:$G$2001,'Hours Log'!$C$2:$C$2001,K458,'Hours Log'!$I$2:$I$2001,$B$3))</f>
        <v/>
      </c>
      <c r="N458" s="10" t="n"/>
      <c r="O458" s="10" t="n"/>
      <c r="P458" s="18">
        <f>IF(OR(K458="",O458=""),"",M458-O458)</f>
        <v/>
      </c>
      <c r="Q458">
        <f>IF(K458="","",IF(AND(N(N458)&gt;0,L458=0),"Jobber visit, no hours logged",IF(AND(L458&gt;0,N458=""),"Enter Jobber visits",IF(AND(L458&gt;0,N(N458)=0),"Hours logged, no Jobber visit",IF(AND(O458&lt;&gt;"",ABS(N(P458))&gt;0.5),"Hours differ from Jobber","")))))</f>
        <v/>
      </c>
    </row>
    <row r="459">
      <c r="K459">
        <f>IF(Sites!A455="","",Sites!A455)</f>
        <v/>
      </c>
      <c r="L459">
        <f>IF(K459="","",COUNTIFS('Hours Log'!$C$2:$C$2001,K459,'Hours Log'!$I$2:$I$2001,$B$3))</f>
        <v/>
      </c>
      <c r="M459" s="18">
        <f>IF(K459="","",SUMIFS('Hours Log'!$G$2:$G$2001,'Hours Log'!$C$2:$C$2001,K459,'Hours Log'!$I$2:$I$2001,$B$3))</f>
        <v/>
      </c>
      <c r="N459" s="10" t="n"/>
      <c r="O459" s="10" t="n"/>
      <c r="P459" s="18">
        <f>IF(OR(K459="",O459=""),"",M459-O459)</f>
        <v/>
      </c>
      <c r="Q459">
        <f>IF(K459="","",IF(AND(N(N459)&gt;0,L459=0),"Jobber visit, no hours logged",IF(AND(L459&gt;0,N459=""),"Enter Jobber visits",IF(AND(L459&gt;0,N(N459)=0),"Hours logged, no Jobber visit",IF(AND(O459&lt;&gt;"",ABS(N(P459))&gt;0.5),"Hours differ from Jobber","")))))</f>
        <v/>
      </c>
    </row>
    <row r="460">
      <c r="K460">
        <f>IF(Sites!A456="","",Sites!A456)</f>
        <v/>
      </c>
      <c r="L460">
        <f>IF(K460="","",COUNTIFS('Hours Log'!$C$2:$C$2001,K460,'Hours Log'!$I$2:$I$2001,$B$3))</f>
        <v/>
      </c>
      <c r="M460" s="18">
        <f>IF(K460="","",SUMIFS('Hours Log'!$G$2:$G$2001,'Hours Log'!$C$2:$C$2001,K460,'Hours Log'!$I$2:$I$2001,$B$3))</f>
        <v/>
      </c>
      <c r="N460" s="10" t="n"/>
      <c r="O460" s="10" t="n"/>
      <c r="P460" s="18">
        <f>IF(OR(K460="",O460=""),"",M460-O460)</f>
        <v/>
      </c>
      <c r="Q460">
        <f>IF(K460="","",IF(AND(N(N460)&gt;0,L460=0),"Jobber visit, no hours logged",IF(AND(L460&gt;0,N460=""),"Enter Jobber visits",IF(AND(L460&gt;0,N(N460)=0),"Hours logged, no Jobber visit",IF(AND(O460&lt;&gt;"",ABS(N(P460))&gt;0.5),"Hours differ from Jobber","")))))</f>
        <v/>
      </c>
    </row>
    <row r="461">
      <c r="K461">
        <f>IF(Sites!A457="","",Sites!A457)</f>
        <v/>
      </c>
      <c r="L461">
        <f>IF(K461="","",COUNTIFS('Hours Log'!$C$2:$C$2001,K461,'Hours Log'!$I$2:$I$2001,$B$3))</f>
        <v/>
      </c>
      <c r="M461" s="18">
        <f>IF(K461="","",SUMIFS('Hours Log'!$G$2:$G$2001,'Hours Log'!$C$2:$C$2001,K461,'Hours Log'!$I$2:$I$2001,$B$3))</f>
        <v/>
      </c>
      <c r="N461" s="10" t="n"/>
      <c r="O461" s="10" t="n"/>
      <c r="P461" s="18">
        <f>IF(OR(K461="",O461=""),"",M461-O461)</f>
        <v/>
      </c>
      <c r="Q461">
        <f>IF(K461="","",IF(AND(N(N461)&gt;0,L461=0),"Jobber visit, no hours logged",IF(AND(L461&gt;0,N461=""),"Enter Jobber visits",IF(AND(L461&gt;0,N(N461)=0),"Hours logged, no Jobber visit",IF(AND(O461&lt;&gt;"",ABS(N(P461))&gt;0.5),"Hours differ from Jobber","")))))</f>
        <v/>
      </c>
    </row>
    <row r="462">
      <c r="K462">
        <f>IF(Sites!A458="","",Sites!A458)</f>
        <v/>
      </c>
      <c r="L462">
        <f>IF(K462="","",COUNTIFS('Hours Log'!$C$2:$C$2001,K462,'Hours Log'!$I$2:$I$2001,$B$3))</f>
        <v/>
      </c>
      <c r="M462" s="18">
        <f>IF(K462="","",SUMIFS('Hours Log'!$G$2:$G$2001,'Hours Log'!$C$2:$C$2001,K462,'Hours Log'!$I$2:$I$2001,$B$3))</f>
        <v/>
      </c>
      <c r="N462" s="10" t="n"/>
      <c r="O462" s="10" t="n"/>
      <c r="P462" s="18">
        <f>IF(OR(K462="",O462=""),"",M462-O462)</f>
        <v/>
      </c>
      <c r="Q462">
        <f>IF(K462="","",IF(AND(N(N462)&gt;0,L462=0),"Jobber visit, no hours logged",IF(AND(L462&gt;0,N462=""),"Enter Jobber visits",IF(AND(L462&gt;0,N(N462)=0),"Hours logged, no Jobber visit",IF(AND(O462&lt;&gt;"",ABS(N(P462))&gt;0.5),"Hours differ from Jobber","")))))</f>
        <v/>
      </c>
    </row>
    <row r="463">
      <c r="K463">
        <f>IF(Sites!A459="","",Sites!A459)</f>
        <v/>
      </c>
      <c r="L463">
        <f>IF(K463="","",COUNTIFS('Hours Log'!$C$2:$C$2001,K463,'Hours Log'!$I$2:$I$2001,$B$3))</f>
        <v/>
      </c>
      <c r="M463" s="18">
        <f>IF(K463="","",SUMIFS('Hours Log'!$G$2:$G$2001,'Hours Log'!$C$2:$C$2001,K463,'Hours Log'!$I$2:$I$2001,$B$3))</f>
        <v/>
      </c>
      <c r="N463" s="10" t="n"/>
      <c r="O463" s="10" t="n"/>
      <c r="P463" s="18">
        <f>IF(OR(K463="",O463=""),"",M463-O463)</f>
        <v/>
      </c>
      <c r="Q463">
        <f>IF(K463="","",IF(AND(N(N463)&gt;0,L463=0),"Jobber visit, no hours logged",IF(AND(L463&gt;0,N463=""),"Enter Jobber visits",IF(AND(L463&gt;0,N(N463)=0),"Hours logged, no Jobber visit",IF(AND(O463&lt;&gt;"",ABS(N(P463))&gt;0.5),"Hours differ from Jobber","")))))</f>
        <v/>
      </c>
    </row>
    <row r="464">
      <c r="K464">
        <f>IF(Sites!A460="","",Sites!A460)</f>
        <v/>
      </c>
      <c r="L464">
        <f>IF(K464="","",COUNTIFS('Hours Log'!$C$2:$C$2001,K464,'Hours Log'!$I$2:$I$2001,$B$3))</f>
        <v/>
      </c>
      <c r="M464" s="18">
        <f>IF(K464="","",SUMIFS('Hours Log'!$G$2:$G$2001,'Hours Log'!$C$2:$C$2001,K464,'Hours Log'!$I$2:$I$2001,$B$3))</f>
        <v/>
      </c>
      <c r="N464" s="10" t="n"/>
      <c r="O464" s="10" t="n"/>
      <c r="P464" s="18">
        <f>IF(OR(K464="",O464=""),"",M464-O464)</f>
        <v/>
      </c>
      <c r="Q464">
        <f>IF(K464="","",IF(AND(N(N464)&gt;0,L464=0),"Jobber visit, no hours logged",IF(AND(L464&gt;0,N464=""),"Enter Jobber visits",IF(AND(L464&gt;0,N(N464)=0),"Hours logged, no Jobber visit",IF(AND(O464&lt;&gt;"",ABS(N(P464))&gt;0.5),"Hours differ from Jobber","")))))</f>
        <v/>
      </c>
    </row>
    <row r="465">
      <c r="K465">
        <f>IF(Sites!A461="","",Sites!A461)</f>
        <v/>
      </c>
      <c r="L465">
        <f>IF(K465="","",COUNTIFS('Hours Log'!$C$2:$C$2001,K465,'Hours Log'!$I$2:$I$2001,$B$3))</f>
        <v/>
      </c>
      <c r="M465" s="18">
        <f>IF(K465="","",SUMIFS('Hours Log'!$G$2:$G$2001,'Hours Log'!$C$2:$C$2001,K465,'Hours Log'!$I$2:$I$2001,$B$3))</f>
        <v/>
      </c>
      <c r="N465" s="10" t="n"/>
      <c r="O465" s="10" t="n"/>
      <c r="P465" s="18">
        <f>IF(OR(K465="",O465=""),"",M465-O465)</f>
        <v/>
      </c>
      <c r="Q465">
        <f>IF(K465="","",IF(AND(N(N465)&gt;0,L465=0),"Jobber visit, no hours logged",IF(AND(L465&gt;0,N465=""),"Enter Jobber visits",IF(AND(L465&gt;0,N(N465)=0),"Hours logged, no Jobber visit",IF(AND(O465&lt;&gt;"",ABS(N(P465))&gt;0.5),"Hours differ from Jobber","")))))</f>
        <v/>
      </c>
    </row>
    <row r="466">
      <c r="K466">
        <f>IF(Sites!A462="","",Sites!A462)</f>
        <v/>
      </c>
      <c r="L466">
        <f>IF(K466="","",COUNTIFS('Hours Log'!$C$2:$C$2001,K466,'Hours Log'!$I$2:$I$2001,$B$3))</f>
        <v/>
      </c>
      <c r="M466" s="18">
        <f>IF(K466="","",SUMIFS('Hours Log'!$G$2:$G$2001,'Hours Log'!$C$2:$C$2001,K466,'Hours Log'!$I$2:$I$2001,$B$3))</f>
        <v/>
      </c>
      <c r="N466" s="10" t="n"/>
      <c r="O466" s="10" t="n"/>
      <c r="P466" s="18">
        <f>IF(OR(K466="",O466=""),"",M466-O466)</f>
        <v/>
      </c>
      <c r="Q466">
        <f>IF(K466="","",IF(AND(N(N466)&gt;0,L466=0),"Jobber visit, no hours logged",IF(AND(L466&gt;0,N466=""),"Enter Jobber visits",IF(AND(L466&gt;0,N(N466)=0),"Hours logged, no Jobber visit",IF(AND(O466&lt;&gt;"",ABS(N(P466))&gt;0.5),"Hours differ from Jobber","")))))</f>
        <v/>
      </c>
    </row>
    <row r="467">
      <c r="K467">
        <f>IF(Sites!A463="","",Sites!A463)</f>
        <v/>
      </c>
      <c r="L467">
        <f>IF(K467="","",COUNTIFS('Hours Log'!$C$2:$C$2001,K467,'Hours Log'!$I$2:$I$2001,$B$3))</f>
        <v/>
      </c>
      <c r="M467" s="18">
        <f>IF(K467="","",SUMIFS('Hours Log'!$G$2:$G$2001,'Hours Log'!$C$2:$C$2001,K467,'Hours Log'!$I$2:$I$2001,$B$3))</f>
        <v/>
      </c>
      <c r="N467" s="10" t="n"/>
      <c r="O467" s="10" t="n"/>
      <c r="P467" s="18">
        <f>IF(OR(K467="",O467=""),"",M467-O467)</f>
        <v/>
      </c>
      <c r="Q467">
        <f>IF(K467="","",IF(AND(N(N467)&gt;0,L467=0),"Jobber visit, no hours logged",IF(AND(L467&gt;0,N467=""),"Enter Jobber visits",IF(AND(L467&gt;0,N(N467)=0),"Hours logged, no Jobber visit",IF(AND(O467&lt;&gt;"",ABS(N(P467))&gt;0.5),"Hours differ from Jobber","")))))</f>
        <v/>
      </c>
    </row>
    <row r="468">
      <c r="K468">
        <f>IF(Sites!A464="","",Sites!A464)</f>
        <v/>
      </c>
      <c r="L468">
        <f>IF(K468="","",COUNTIFS('Hours Log'!$C$2:$C$2001,K468,'Hours Log'!$I$2:$I$2001,$B$3))</f>
        <v/>
      </c>
      <c r="M468" s="18">
        <f>IF(K468="","",SUMIFS('Hours Log'!$G$2:$G$2001,'Hours Log'!$C$2:$C$2001,K468,'Hours Log'!$I$2:$I$2001,$B$3))</f>
        <v/>
      </c>
      <c r="N468" s="10" t="n"/>
      <c r="O468" s="10" t="n"/>
      <c r="P468" s="18">
        <f>IF(OR(K468="",O468=""),"",M468-O468)</f>
        <v/>
      </c>
      <c r="Q468">
        <f>IF(K468="","",IF(AND(N(N468)&gt;0,L468=0),"Jobber visit, no hours logged",IF(AND(L468&gt;0,N468=""),"Enter Jobber visits",IF(AND(L468&gt;0,N(N468)=0),"Hours logged, no Jobber visit",IF(AND(O468&lt;&gt;"",ABS(N(P468))&gt;0.5),"Hours differ from Jobber","")))))</f>
        <v/>
      </c>
    </row>
    <row r="469">
      <c r="K469">
        <f>IF(Sites!A465="","",Sites!A465)</f>
        <v/>
      </c>
      <c r="L469">
        <f>IF(K469="","",COUNTIFS('Hours Log'!$C$2:$C$2001,K469,'Hours Log'!$I$2:$I$2001,$B$3))</f>
        <v/>
      </c>
      <c r="M469" s="18">
        <f>IF(K469="","",SUMIFS('Hours Log'!$G$2:$G$2001,'Hours Log'!$C$2:$C$2001,K469,'Hours Log'!$I$2:$I$2001,$B$3))</f>
        <v/>
      </c>
      <c r="N469" s="10" t="n"/>
      <c r="O469" s="10" t="n"/>
      <c r="P469" s="18">
        <f>IF(OR(K469="",O469=""),"",M469-O469)</f>
        <v/>
      </c>
      <c r="Q469">
        <f>IF(K469="","",IF(AND(N(N469)&gt;0,L469=0),"Jobber visit, no hours logged",IF(AND(L469&gt;0,N469=""),"Enter Jobber visits",IF(AND(L469&gt;0,N(N469)=0),"Hours logged, no Jobber visit",IF(AND(O469&lt;&gt;"",ABS(N(P469))&gt;0.5),"Hours differ from Jobber","")))))</f>
        <v/>
      </c>
    </row>
    <row r="470">
      <c r="K470">
        <f>IF(Sites!A466="","",Sites!A466)</f>
        <v/>
      </c>
      <c r="L470">
        <f>IF(K470="","",COUNTIFS('Hours Log'!$C$2:$C$2001,K470,'Hours Log'!$I$2:$I$2001,$B$3))</f>
        <v/>
      </c>
      <c r="M470" s="18">
        <f>IF(K470="","",SUMIFS('Hours Log'!$G$2:$G$2001,'Hours Log'!$C$2:$C$2001,K470,'Hours Log'!$I$2:$I$2001,$B$3))</f>
        <v/>
      </c>
      <c r="N470" s="10" t="n"/>
      <c r="O470" s="10" t="n"/>
      <c r="P470" s="18">
        <f>IF(OR(K470="",O470=""),"",M470-O470)</f>
        <v/>
      </c>
      <c r="Q470">
        <f>IF(K470="","",IF(AND(N(N470)&gt;0,L470=0),"Jobber visit, no hours logged",IF(AND(L470&gt;0,N470=""),"Enter Jobber visits",IF(AND(L470&gt;0,N(N470)=0),"Hours logged, no Jobber visit",IF(AND(O470&lt;&gt;"",ABS(N(P470))&gt;0.5),"Hours differ from Jobber","")))))</f>
        <v/>
      </c>
    </row>
    <row r="471">
      <c r="K471">
        <f>IF(Sites!A467="","",Sites!A467)</f>
        <v/>
      </c>
      <c r="L471">
        <f>IF(K471="","",COUNTIFS('Hours Log'!$C$2:$C$2001,K471,'Hours Log'!$I$2:$I$2001,$B$3))</f>
        <v/>
      </c>
      <c r="M471" s="18">
        <f>IF(K471="","",SUMIFS('Hours Log'!$G$2:$G$2001,'Hours Log'!$C$2:$C$2001,K471,'Hours Log'!$I$2:$I$2001,$B$3))</f>
        <v/>
      </c>
      <c r="N471" s="10" t="n"/>
      <c r="O471" s="10" t="n"/>
      <c r="P471" s="18">
        <f>IF(OR(K471="",O471=""),"",M471-O471)</f>
        <v/>
      </c>
      <c r="Q471">
        <f>IF(K471="","",IF(AND(N(N471)&gt;0,L471=0),"Jobber visit, no hours logged",IF(AND(L471&gt;0,N471=""),"Enter Jobber visits",IF(AND(L471&gt;0,N(N471)=0),"Hours logged, no Jobber visit",IF(AND(O471&lt;&gt;"",ABS(N(P471))&gt;0.5),"Hours differ from Jobber","")))))</f>
        <v/>
      </c>
    </row>
    <row r="472">
      <c r="K472">
        <f>IF(Sites!A468="","",Sites!A468)</f>
        <v/>
      </c>
      <c r="L472">
        <f>IF(K472="","",COUNTIFS('Hours Log'!$C$2:$C$2001,K472,'Hours Log'!$I$2:$I$2001,$B$3))</f>
        <v/>
      </c>
      <c r="M472" s="18">
        <f>IF(K472="","",SUMIFS('Hours Log'!$G$2:$G$2001,'Hours Log'!$C$2:$C$2001,K472,'Hours Log'!$I$2:$I$2001,$B$3))</f>
        <v/>
      </c>
      <c r="N472" s="10" t="n"/>
      <c r="O472" s="10" t="n"/>
      <c r="P472" s="18">
        <f>IF(OR(K472="",O472=""),"",M472-O472)</f>
        <v/>
      </c>
      <c r="Q472">
        <f>IF(K472="","",IF(AND(N(N472)&gt;0,L472=0),"Jobber visit, no hours logged",IF(AND(L472&gt;0,N472=""),"Enter Jobber visits",IF(AND(L472&gt;0,N(N472)=0),"Hours logged, no Jobber visit",IF(AND(O472&lt;&gt;"",ABS(N(P472))&gt;0.5),"Hours differ from Jobber","")))))</f>
        <v/>
      </c>
    </row>
    <row r="473">
      <c r="K473">
        <f>IF(Sites!A469="","",Sites!A469)</f>
        <v/>
      </c>
      <c r="L473">
        <f>IF(K473="","",COUNTIFS('Hours Log'!$C$2:$C$2001,K473,'Hours Log'!$I$2:$I$2001,$B$3))</f>
        <v/>
      </c>
      <c r="M473" s="18">
        <f>IF(K473="","",SUMIFS('Hours Log'!$G$2:$G$2001,'Hours Log'!$C$2:$C$2001,K473,'Hours Log'!$I$2:$I$2001,$B$3))</f>
        <v/>
      </c>
      <c r="N473" s="10" t="n"/>
      <c r="O473" s="10" t="n"/>
      <c r="P473" s="18">
        <f>IF(OR(K473="",O473=""),"",M473-O473)</f>
        <v/>
      </c>
      <c r="Q473">
        <f>IF(K473="","",IF(AND(N(N473)&gt;0,L473=0),"Jobber visit, no hours logged",IF(AND(L473&gt;0,N473=""),"Enter Jobber visits",IF(AND(L473&gt;0,N(N473)=0),"Hours logged, no Jobber visit",IF(AND(O473&lt;&gt;"",ABS(N(P473))&gt;0.5),"Hours differ from Jobber","")))))</f>
        <v/>
      </c>
    </row>
    <row r="474">
      <c r="K474">
        <f>IF(Sites!A470="","",Sites!A470)</f>
        <v/>
      </c>
      <c r="L474">
        <f>IF(K474="","",COUNTIFS('Hours Log'!$C$2:$C$2001,K474,'Hours Log'!$I$2:$I$2001,$B$3))</f>
        <v/>
      </c>
      <c r="M474" s="18">
        <f>IF(K474="","",SUMIFS('Hours Log'!$G$2:$G$2001,'Hours Log'!$C$2:$C$2001,K474,'Hours Log'!$I$2:$I$2001,$B$3))</f>
        <v/>
      </c>
      <c r="N474" s="10" t="n"/>
      <c r="O474" s="10" t="n"/>
      <c r="P474" s="18">
        <f>IF(OR(K474="",O474=""),"",M474-O474)</f>
        <v/>
      </c>
      <c r="Q474">
        <f>IF(K474="","",IF(AND(N(N474)&gt;0,L474=0),"Jobber visit, no hours logged",IF(AND(L474&gt;0,N474=""),"Enter Jobber visits",IF(AND(L474&gt;0,N(N474)=0),"Hours logged, no Jobber visit",IF(AND(O474&lt;&gt;"",ABS(N(P474))&gt;0.5),"Hours differ from Jobber","")))))</f>
        <v/>
      </c>
    </row>
    <row r="475">
      <c r="K475">
        <f>IF(Sites!A471="","",Sites!A471)</f>
        <v/>
      </c>
      <c r="L475">
        <f>IF(K475="","",COUNTIFS('Hours Log'!$C$2:$C$2001,K475,'Hours Log'!$I$2:$I$2001,$B$3))</f>
        <v/>
      </c>
      <c r="M475" s="18">
        <f>IF(K475="","",SUMIFS('Hours Log'!$G$2:$G$2001,'Hours Log'!$C$2:$C$2001,K475,'Hours Log'!$I$2:$I$2001,$B$3))</f>
        <v/>
      </c>
      <c r="N475" s="10" t="n"/>
      <c r="O475" s="10" t="n"/>
      <c r="P475" s="18">
        <f>IF(OR(K475="",O475=""),"",M475-O475)</f>
        <v/>
      </c>
      <c r="Q475">
        <f>IF(K475="","",IF(AND(N(N475)&gt;0,L475=0),"Jobber visit, no hours logged",IF(AND(L475&gt;0,N475=""),"Enter Jobber visits",IF(AND(L475&gt;0,N(N475)=0),"Hours logged, no Jobber visit",IF(AND(O475&lt;&gt;"",ABS(N(P475))&gt;0.5),"Hours differ from Jobber","")))))</f>
        <v/>
      </c>
    </row>
    <row r="476">
      <c r="K476">
        <f>IF(Sites!A472="","",Sites!A472)</f>
        <v/>
      </c>
      <c r="L476">
        <f>IF(K476="","",COUNTIFS('Hours Log'!$C$2:$C$2001,K476,'Hours Log'!$I$2:$I$2001,$B$3))</f>
        <v/>
      </c>
      <c r="M476" s="18">
        <f>IF(K476="","",SUMIFS('Hours Log'!$G$2:$G$2001,'Hours Log'!$C$2:$C$2001,K476,'Hours Log'!$I$2:$I$2001,$B$3))</f>
        <v/>
      </c>
      <c r="N476" s="10" t="n"/>
      <c r="O476" s="10" t="n"/>
      <c r="P476" s="18">
        <f>IF(OR(K476="",O476=""),"",M476-O476)</f>
        <v/>
      </c>
      <c r="Q476">
        <f>IF(K476="","",IF(AND(N(N476)&gt;0,L476=0),"Jobber visit, no hours logged",IF(AND(L476&gt;0,N476=""),"Enter Jobber visits",IF(AND(L476&gt;0,N(N476)=0),"Hours logged, no Jobber visit",IF(AND(O476&lt;&gt;"",ABS(N(P476))&gt;0.5),"Hours differ from Jobber","")))))</f>
        <v/>
      </c>
    </row>
    <row r="477">
      <c r="K477">
        <f>IF(Sites!A473="","",Sites!A473)</f>
        <v/>
      </c>
      <c r="L477">
        <f>IF(K477="","",COUNTIFS('Hours Log'!$C$2:$C$2001,K477,'Hours Log'!$I$2:$I$2001,$B$3))</f>
        <v/>
      </c>
      <c r="M477" s="18">
        <f>IF(K477="","",SUMIFS('Hours Log'!$G$2:$G$2001,'Hours Log'!$C$2:$C$2001,K477,'Hours Log'!$I$2:$I$2001,$B$3))</f>
        <v/>
      </c>
      <c r="N477" s="10" t="n"/>
      <c r="O477" s="10" t="n"/>
      <c r="P477" s="18">
        <f>IF(OR(K477="",O477=""),"",M477-O477)</f>
        <v/>
      </c>
      <c r="Q477">
        <f>IF(K477="","",IF(AND(N(N477)&gt;0,L477=0),"Jobber visit, no hours logged",IF(AND(L477&gt;0,N477=""),"Enter Jobber visits",IF(AND(L477&gt;0,N(N477)=0),"Hours logged, no Jobber visit",IF(AND(O477&lt;&gt;"",ABS(N(P477))&gt;0.5),"Hours differ from Jobber","")))))</f>
        <v/>
      </c>
    </row>
    <row r="478">
      <c r="K478">
        <f>IF(Sites!A474="","",Sites!A474)</f>
        <v/>
      </c>
      <c r="L478">
        <f>IF(K478="","",COUNTIFS('Hours Log'!$C$2:$C$2001,K478,'Hours Log'!$I$2:$I$2001,$B$3))</f>
        <v/>
      </c>
      <c r="M478" s="18">
        <f>IF(K478="","",SUMIFS('Hours Log'!$G$2:$G$2001,'Hours Log'!$C$2:$C$2001,K478,'Hours Log'!$I$2:$I$2001,$B$3))</f>
        <v/>
      </c>
      <c r="N478" s="10" t="n"/>
      <c r="O478" s="10" t="n"/>
      <c r="P478" s="18">
        <f>IF(OR(K478="",O478=""),"",M478-O478)</f>
        <v/>
      </c>
      <c r="Q478">
        <f>IF(K478="","",IF(AND(N(N478)&gt;0,L478=0),"Jobber visit, no hours logged",IF(AND(L478&gt;0,N478=""),"Enter Jobber visits",IF(AND(L478&gt;0,N(N478)=0),"Hours logged, no Jobber visit",IF(AND(O478&lt;&gt;"",ABS(N(P478))&gt;0.5),"Hours differ from Jobber","")))))</f>
        <v/>
      </c>
    </row>
    <row r="479">
      <c r="K479">
        <f>IF(Sites!A475="","",Sites!A475)</f>
        <v/>
      </c>
      <c r="L479">
        <f>IF(K479="","",COUNTIFS('Hours Log'!$C$2:$C$2001,K479,'Hours Log'!$I$2:$I$2001,$B$3))</f>
        <v/>
      </c>
      <c r="M479" s="18">
        <f>IF(K479="","",SUMIFS('Hours Log'!$G$2:$G$2001,'Hours Log'!$C$2:$C$2001,K479,'Hours Log'!$I$2:$I$2001,$B$3))</f>
        <v/>
      </c>
      <c r="N479" s="10" t="n"/>
      <c r="O479" s="10" t="n"/>
      <c r="P479" s="18">
        <f>IF(OR(K479="",O479=""),"",M479-O479)</f>
        <v/>
      </c>
      <c r="Q479">
        <f>IF(K479="","",IF(AND(N(N479)&gt;0,L479=0),"Jobber visit, no hours logged",IF(AND(L479&gt;0,N479=""),"Enter Jobber visits",IF(AND(L479&gt;0,N(N479)=0),"Hours logged, no Jobber visit",IF(AND(O479&lt;&gt;"",ABS(N(P479))&gt;0.5),"Hours differ from Jobber","")))))</f>
        <v/>
      </c>
    </row>
    <row r="480">
      <c r="K480">
        <f>IF(Sites!A476="","",Sites!A476)</f>
        <v/>
      </c>
      <c r="L480">
        <f>IF(K480="","",COUNTIFS('Hours Log'!$C$2:$C$2001,K480,'Hours Log'!$I$2:$I$2001,$B$3))</f>
        <v/>
      </c>
      <c r="M480" s="18">
        <f>IF(K480="","",SUMIFS('Hours Log'!$G$2:$G$2001,'Hours Log'!$C$2:$C$2001,K480,'Hours Log'!$I$2:$I$2001,$B$3))</f>
        <v/>
      </c>
      <c r="N480" s="10" t="n"/>
      <c r="O480" s="10" t="n"/>
      <c r="P480" s="18">
        <f>IF(OR(K480="",O480=""),"",M480-O480)</f>
        <v/>
      </c>
      <c r="Q480">
        <f>IF(K480="","",IF(AND(N(N480)&gt;0,L480=0),"Jobber visit, no hours logged",IF(AND(L480&gt;0,N480=""),"Enter Jobber visits",IF(AND(L480&gt;0,N(N480)=0),"Hours logged, no Jobber visit",IF(AND(O480&lt;&gt;"",ABS(N(P480))&gt;0.5),"Hours differ from Jobber","")))))</f>
        <v/>
      </c>
    </row>
    <row r="481">
      <c r="K481">
        <f>IF(Sites!A477="","",Sites!A477)</f>
        <v/>
      </c>
      <c r="L481">
        <f>IF(K481="","",COUNTIFS('Hours Log'!$C$2:$C$2001,K481,'Hours Log'!$I$2:$I$2001,$B$3))</f>
        <v/>
      </c>
      <c r="M481" s="18">
        <f>IF(K481="","",SUMIFS('Hours Log'!$G$2:$G$2001,'Hours Log'!$C$2:$C$2001,K481,'Hours Log'!$I$2:$I$2001,$B$3))</f>
        <v/>
      </c>
      <c r="N481" s="10" t="n"/>
      <c r="O481" s="10" t="n"/>
      <c r="P481" s="18">
        <f>IF(OR(K481="",O481=""),"",M481-O481)</f>
        <v/>
      </c>
      <c r="Q481">
        <f>IF(K481="","",IF(AND(N(N481)&gt;0,L481=0),"Jobber visit, no hours logged",IF(AND(L481&gt;0,N481=""),"Enter Jobber visits",IF(AND(L481&gt;0,N(N481)=0),"Hours logged, no Jobber visit",IF(AND(O481&lt;&gt;"",ABS(N(P481))&gt;0.5),"Hours differ from Jobber","")))))</f>
        <v/>
      </c>
    </row>
    <row r="482">
      <c r="K482">
        <f>IF(Sites!A478="","",Sites!A478)</f>
        <v/>
      </c>
      <c r="L482">
        <f>IF(K482="","",COUNTIFS('Hours Log'!$C$2:$C$2001,K482,'Hours Log'!$I$2:$I$2001,$B$3))</f>
        <v/>
      </c>
      <c r="M482" s="18">
        <f>IF(K482="","",SUMIFS('Hours Log'!$G$2:$G$2001,'Hours Log'!$C$2:$C$2001,K482,'Hours Log'!$I$2:$I$2001,$B$3))</f>
        <v/>
      </c>
      <c r="N482" s="10" t="n"/>
      <c r="O482" s="10" t="n"/>
      <c r="P482" s="18">
        <f>IF(OR(K482="",O482=""),"",M482-O482)</f>
        <v/>
      </c>
      <c r="Q482">
        <f>IF(K482="","",IF(AND(N(N482)&gt;0,L482=0),"Jobber visit, no hours logged",IF(AND(L482&gt;0,N482=""),"Enter Jobber visits",IF(AND(L482&gt;0,N(N482)=0),"Hours logged, no Jobber visit",IF(AND(O482&lt;&gt;"",ABS(N(P482))&gt;0.5),"Hours differ from Jobber","")))))</f>
        <v/>
      </c>
    </row>
    <row r="483">
      <c r="K483">
        <f>IF(Sites!A479="","",Sites!A479)</f>
        <v/>
      </c>
      <c r="L483">
        <f>IF(K483="","",COUNTIFS('Hours Log'!$C$2:$C$2001,K483,'Hours Log'!$I$2:$I$2001,$B$3))</f>
        <v/>
      </c>
      <c r="M483" s="18">
        <f>IF(K483="","",SUMIFS('Hours Log'!$G$2:$G$2001,'Hours Log'!$C$2:$C$2001,K483,'Hours Log'!$I$2:$I$2001,$B$3))</f>
        <v/>
      </c>
      <c r="N483" s="10" t="n"/>
      <c r="O483" s="10" t="n"/>
      <c r="P483" s="18">
        <f>IF(OR(K483="",O483=""),"",M483-O483)</f>
        <v/>
      </c>
      <c r="Q483">
        <f>IF(K483="","",IF(AND(N(N483)&gt;0,L483=0),"Jobber visit, no hours logged",IF(AND(L483&gt;0,N483=""),"Enter Jobber visits",IF(AND(L483&gt;0,N(N483)=0),"Hours logged, no Jobber visit",IF(AND(O483&lt;&gt;"",ABS(N(P483))&gt;0.5),"Hours differ from Jobber","")))))</f>
        <v/>
      </c>
    </row>
    <row r="484">
      <c r="K484">
        <f>IF(Sites!A480="","",Sites!A480)</f>
        <v/>
      </c>
      <c r="L484">
        <f>IF(K484="","",COUNTIFS('Hours Log'!$C$2:$C$2001,K484,'Hours Log'!$I$2:$I$2001,$B$3))</f>
        <v/>
      </c>
      <c r="M484" s="18">
        <f>IF(K484="","",SUMIFS('Hours Log'!$G$2:$G$2001,'Hours Log'!$C$2:$C$2001,K484,'Hours Log'!$I$2:$I$2001,$B$3))</f>
        <v/>
      </c>
      <c r="N484" s="10" t="n"/>
      <c r="O484" s="10" t="n"/>
      <c r="P484" s="18">
        <f>IF(OR(K484="",O484=""),"",M484-O484)</f>
        <v/>
      </c>
      <c r="Q484">
        <f>IF(K484="","",IF(AND(N(N484)&gt;0,L484=0),"Jobber visit, no hours logged",IF(AND(L484&gt;0,N484=""),"Enter Jobber visits",IF(AND(L484&gt;0,N(N484)=0),"Hours logged, no Jobber visit",IF(AND(O484&lt;&gt;"",ABS(N(P484))&gt;0.5),"Hours differ from Jobber","")))))</f>
        <v/>
      </c>
    </row>
    <row r="485">
      <c r="K485">
        <f>IF(Sites!A481="","",Sites!A481)</f>
        <v/>
      </c>
      <c r="L485">
        <f>IF(K485="","",COUNTIFS('Hours Log'!$C$2:$C$2001,K485,'Hours Log'!$I$2:$I$2001,$B$3))</f>
        <v/>
      </c>
      <c r="M485" s="18">
        <f>IF(K485="","",SUMIFS('Hours Log'!$G$2:$G$2001,'Hours Log'!$C$2:$C$2001,K485,'Hours Log'!$I$2:$I$2001,$B$3))</f>
        <v/>
      </c>
      <c r="N485" s="10" t="n"/>
      <c r="O485" s="10" t="n"/>
      <c r="P485" s="18">
        <f>IF(OR(K485="",O485=""),"",M485-O485)</f>
        <v/>
      </c>
      <c r="Q485">
        <f>IF(K485="","",IF(AND(N(N485)&gt;0,L485=0),"Jobber visit, no hours logged",IF(AND(L485&gt;0,N485=""),"Enter Jobber visits",IF(AND(L485&gt;0,N(N485)=0),"Hours logged, no Jobber visit",IF(AND(O485&lt;&gt;"",ABS(N(P485))&gt;0.5),"Hours differ from Jobber","")))))</f>
        <v/>
      </c>
    </row>
    <row r="486">
      <c r="K486">
        <f>IF(Sites!A482="","",Sites!A482)</f>
        <v/>
      </c>
      <c r="L486">
        <f>IF(K486="","",COUNTIFS('Hours Log'!$C$2:$C$2001,K486,'Hours Log'!$I$2:$I$2001,$B$3))</f>
        <v/>
      </c>
      <c r="M486" s="18">
        <f>IF(K486="","",SUMIFS('Hours Log'!$G$2:$G$2001,'Hours Log'!$C$2:$C$2001,K486,'Hours Log'!$I$2:$I$2001,$B$3))</f>
        <v/>
      </c>
      <c r="N486" s="10" t="n"/>
      <c r="O486" s="10" t="n"/>
      <c r="P486" s="18">
        <f>IF(OR(K486="",O486=""),"",M486-O486)</f>
        <v/>
      </c>
      <c r="Q486">
        <f>IF(K486="","",IF(AND(N(N486)&gt;0,L486=0),"Jobber visit, no hours logged",IF(AND(L486&gt;0,N486=""),"Enter Jobber visits",IF(AND(L486&gt;0,N(N486)=0),"Hours logged, no Jobber visit",IF(AND(O486&lt;&gt;"",ABS(N(P486))&gt;0.5),"Hours differ from Jobber","")))))</f>
        <v/>
      </c>
    </row>
    <row r="487">
      <c r="K487">
        <f>IF(Sites!A483="","",Sites!A483)</f>
        <v/>
      </c>
      <c r="L487">
        <f>IF(K487="","",COUNTIFS('Hours Log'!$C$2:$C$2001,K487,'Hours Log'!$I$2:$I$2001,$B$3))</f>
        <v/>
      </c>
      <c r="M487" s="18">
        <f>IF(K487="","",SUMIFS('Hours Log'!$G$2:$G$2001,'Hours Log'!$C$2:$C$2001,K487,'Hours Log'!$I$2:$I$2001,$B$3))</f>
        <v/>
      </c>
      <c r="N487" s="10" t="n"/>
      <c r="O487" s="10" t="n"/>
      <c r="P487" s="18">
        <f>IF(OR(K487="",O487=""),"",M487-O487)</f>
        <v/>
      </c>
      <c r="Q487">
        <f>IF(K487="","",IF(AND(N(N487)&gt;0,L487=0),"Jobber visit, no hours logged",IF(AND(L487&gt;0,N487=""),"Enter Jobber visits",IF(AND(L487&gt;0,N(N487)=0),"Hours logged, no Jobber visit",IF(AND(O487&lt;&gt;"",ABS(N(P487))&gt;0.5),"Hours differ from Jobber","")))))</f>
        <v/>
      </c>
    </row>
    <row r="488">
      <c r="K488">
        <f>IF(Sites!A484="","",Sites!A484)</f>
        <v/>
      </c>
      <c r="L488">
        <f>IF(K488="","",COUNTIFS('Hours Log'!$C$2:$C$2001,K488,'Hours Log'!$I$2:$I$2001,$B$3))</f>
        <v/>
      </c>
      <c r="M488" s="18">
        <f>IF(K488="","",SUMIFS('Hours Log'!$G$2:$G$2001,'Hours Log'!$C$2:$C$2001,K488,'Hours Log'!$I$2:$I$2001,$B$3))</f>
        <v/>
      </c>
      <c r="N488" s="10" t="n"/>
      <c r="O488" s="10" t="n"/>
      <c r="P488" s="18">
        <f>IF(OR(K488="",O488=""),"",M488-O488)</f>
        <v/>
      </c>
      <c r="Q488">
        <f>IF(K488="","",IF(AND(N(N488)&gt;0,L488=0),"Jobber visit, no hours logged",IF(AND(L488&gt;0,N488=""),"Enter Jobber visits",IF(AND(L488&gt;0,N(N488)=0),"Hours logged, no Jobber visit",IF(AND(O488&lt;&gt;"",ABS(N(P488))&gt;0.5),"Hours differ from Jobber","")))))</f>
        <v/>
      </c>
    </row>
    <row r="489">
      <c r="K489">
        <f>IF(Sites!A485="","",Sites!A485)</f>
        <v/>
      </c>
      <c r="L489">
        <f>IF(K489="","",COUNTIFS('Hours Log'!$C$2:$C$2001,K489,'Hours Log'!$I$2:$I$2001,$B$3))</f>
        <v/>
      </c>
      <c r="M489" s="18">
        <f>IF(K489="","",SUMIFS('Hours Log'!$G$2:$G$2001,'Hours Log'!$C$2:$C$2001,K489,'Hours Log'!$I$2:$I$2001,$B$3))</f>
        <v/>
      </c>
      <c r="N489" s="10" t="n"/>
      <c r="O489" s="10" t="n"/>
      <c r="P489" s="18">
        <f>IF(OR(K489="",O489=""),"",M489-O489)</f>
        <v/>
      </c>
      <c r="Q489">
        <f>IF(K489="","",IF(AND(N(N489)&gt;0,L489=0),"Jobber visit, no hours logged",IF(AND(L489&gt;0,N489=""),"Enter Jobber visits",IF(AND(L489&gt;0,N(N489)=0),"Hours logged, no Jobber visit",IF(AND(O489&lt;&gt;"",ABS(N(P489))&gt;0.5),"Hours differ from Jobber","")))))</f>
        <v/>
      </c>
    </row>
    <row r="490">
      <c r="K490">
        <f>IF(Sites!A486="","",Sites!A486)</f>
        <v/>
      </c>
      <c r="L490">
        <f>IF(K490="","",COUNTIFS('Hours Log'!$C$2:$C$2001,K490,'Hours Log'!$I$2:$I$2001,$B$3))</f>
        <v/>
      </c>
      <c r="M490" s="18">
        <f>IF(K490="","",SUMIFS('Hours Log'!$G$2:$G$2001,'Hours Log'!$C$2:$C$2001,K490,'Hours Log'!$I$2:$I$2001,$B$3))</f>
        <v/>
      </c>
      <c r="N490" s="10" t="n"/>
      <c r="O490" s="10" t="n"/>
      <c r="P490" s="18">
        <f>IF(OR(K490="",O490=""),"",M490-O490)</f>
        <v/>
      </c>
      <c r="Q490">
        <f>IF(K490="","",IF(AND(N(N490)&gt;0,L490=0),"Jobber visit, no hours logged",IF(AND(L490&gt;0,N490=""),"Enter Jobber visits",IF(AND(L490&gt;0,N(N490)=0),"Hours logged, no Jobber visit",IF(AND(O490&lt;&gt;"",ABS(N(P490))&gt;0.5),"Hours differ from Jobber","")))))</f>
        <v/>
      </c>
    </row>
    <row r="491">
      <c r="K491">
        <f>IF(Sites!A487="","",Sites!A487)</f>
        <v/>
      </c>
      <c r="L491">
        <f>IF(K491="","",COUNTIFS('Hours Log'!$C$2:$C$2001,K491,'Hours Log'!$I$2:$I$2001,$B$3))</f>
        <v/>
      </c>
      <c r="M491" s="18">
        <f>IF(K491="","",SUMIFS('Hours Log'!$G$2:$G$2001,'Hours Log'!$C$2:$C$2001,K491,'Hours Log'!$I$2:$I$2001,$B$3))</f>
        <v/>
      </c>
      <c r="N491" s="10" t="n"/>
      <c r="O491" s="10" t="n"/>
      <c r="P491" s="18">
        <f>IF(OR(K491="",O491=""),"",M491-O491)</f>
        <v/>
      </c>
      <c r="Q491">
        <f>IF(K491="","",IF(AND(N(N491)&gt;0,L491=0),"Jobber visit, no hours logged",IF(AND(L491&gt;0,N491=""),"Enter Jobber visits",IF(AND(L491&gt;0,N(N491)=0),"Hours logged, no Jobber visit",IF(AND(O491&lt;&gt;"",ABS(N(P491))&gt;0.5),"Hours differ from Jobber","")))))</f>
        <v/>
      </c>
    </row>
    <row r="492">
      <c r="K492">
        <f>IF(Sites!A488="","",Sites!A488)</f>
        <v/>
      </c>
      <c r="L492">
        <f>IF(K492="","",COUNTIFS('Hours Log'!$C$2:$C$2001,K492,'Hours Log'!$I$2:$I$2001,$B$3))</f>
        <v/>
      </c>
      <c r="M492" s="18">
        <f>IF(K492="","",SUMIFS('Hours Log'!$G$2:$G$2001,'Hours Log'!$C$2:$C$2001,K492,'Hours Log'!$I$2:$I$2001,$B$3))</f>
        <v/>
      </c>
      <c r="N492" s="10" t="n"/>
      <c r="O492" s="10" t="n"/>
      <c r="P492" s="18">
        <f>IF(OR(K492="",O492=""),"",M492-O492)</f>
        <v/>
      </c>
      <c r="Q492">
        <f>IF(K492="","",IF(AND(N(N492)&gt;0,L492=0),"Jobber visit, no hours logged",IF(AND(L492&gt;0,N492=""),"Enter Jobber visits",IF(AND(L492&gt;0,N(N492)=0),"Hours logged, no Jobber visit",IF(AND(O492&lt;&gt;"",ABS(N(P492))&gt;0.5),"Hours differ from Jobber","")))))</f>
        <v/>
      </c>
    </row>
    <row r="493">
      <c r="K493">
        <f>IF(Sites!A489="","",Sites!A489)</f>
        <v/>
      </c>
      <c r="L493">
        <f>IF(K493="","",COUNTIFS('Hours Log'!$C$2:$C$2001,K493,'Hours Log'!$I$2:$I$2001,$B$3))</f>
        <v/>
      </c>
      <c r="M493" s="18">
        <f>IF(K493="","",SUMIFS('Hours Log'!$G$2:$G$2001,'Hours Log'!$C$2:$C$2001,K493,'Hours Log'!$I$2:$I$2001,$B$3))</f>
        <v/>
      </c>
      <c r="N493" s="10" t="n"/>
      <c r="O493" s="10" t="n"/>
      <c r="P493" s="18">
        <f>IF(OR(K493="",O493=""),"",M493-O493)</f>
        <v/>
      </c>
      <c r="Q493">
        <f>IF(K493="","",IF(AND(N(N493)&gt;0,L493=0),"Jobber visit, no hours logged",IF(AND(L493&gt;0,N493=""),"Enter Jobber visits",IF(AND(L493&gt;0,N(N493)=0),"Hours logged, no Jobber visit",IF(AND(O493&lt;&gt;"",ABS(N(P493))&gt;0.5),"Hours differ from Jobber","")))))</f>
        <v/>
      </c>
    </row>
    <row r="494">
      <c r="K494">
        <f>IF(Sites!A490="","",Sites!A490)</f>
        <v/>
      </c>
      <c r="L494">
        <f>IF(K494="","",COUNTIFS('Hours Log'!$C$2:$C$2001,K494,'Hours Log'!$I$2:$I$2001,$B$3))</f>
        <v/>
      </c>
      <c r="M494" s="18">
        <f>IF(K494="","",SUMIFS('Hours Log'!$G$2:$G$2001,'Hours Log'!$C$2:$C$2001,K494,'Hours Log'!$I$2:$I$2001,$B$3))</f>
        <v/>
      </c>
      <c r="N494" s="10" t="n"/>
      <c r="O494" s="10" t="n"/>
      <c r="P494" s="18">
        <f>IF(OR(K494="",O494=""),"",M494-O494)</f>
        <v/>
      </c>
      <c r="Q494">
        <f>IF(K494="","",IF(AND(N(N494)&gt;0,L494=0),"Jobber visit, no hours logged",IF(AND(L494&gt;0,N494=""),"Enter Jobber visits",IF(AND(L494&gt;0,N(N494)=0),"Hours logged, no Jobber visit",IF(AND(O494&lt;&gt;"",ABS(N(P494))&gt;0.5),"Hours differ from Jobber","")))))</f>
        <v/>
      </c>
    </row>
    <row r="495">
      <c r="K495">
        <f>IF(Sites!A491="","",Sites!A491)</f>
        <v/>
      </c>
      <c r="L495">
        <f>IF(K495="","",COUNTIFS('Hours Log'!$C$2:$C$2001,K495,'Hours Log'!$I$2:$I$2001,$B$3))</f>
        <v/>
      </c>
      <c r="M495" s="18">
        <f>IF(K495="","",SUMIFS('Hours Log'!$G$2:$G$2001,'Hours Log'!$C$2:$C$2001,K495,'Hours Log'!$I$2:$I$2001,$B$3))</f>
        <v/>
      </c>
      <c r="N495" s="10" t="n"/>
      <c r="O495" s="10" t="n"/>
      <c r="P495" s="18">
        <f>IF(OR(K495="",O495=""),"",M495-O495)</f>
        <v/>
      </c>
      <c r="Q495">
        <f>IF(K495="","",IF(AND(N(N495)&gt;0,L495=0),"Jobber visit, no hours logged",IF(AND(L495&gt;0,N495=""),"Enter Jobber visits",IF(AND(L495&gt;0,N(N495)=0),"Hours logged, no Jobber visit",IF(AND(O495&lt;&gt;"",ABS(N(P495))&gt;0.5),"Hours differ from Jobber","")))))</f>
        <v/>
      </c>
    </row>
    <row r="496">
      <c r="K496">
        <f>IF(Sites!A492="","",Sites!A492)</f>
        <v/>
      </c>
      <c r="L496">
        <f>IF(K496="","",COUNTIFS('Hours Log'!$C$2:$C$2001,K496,'Hours Log'!$I$2:$I$2001,$B$3))</f>
        <v/>
      </c>
      <c r="M496" s="18">
        <f>IF(K496="","",SUMIFS('Hours Log'!$G$2:$G$2001,'Hours Log'!$C$2:$C$2001,K496,'Hours Log'!$I$2:$I$2001,$B$3))</f>
        <v/>
      </c>
      <c r="N496" s="10" t="n"/>
      <c r="O496" s="10" t="n"/>
      <c r="P496" s="18">
        <f>IF(OR(K496="",O496=""),"",M496-O496)</f>
        <v/>
      </c>
      <c r="Q496">
        <f>IF(K496="","",IF(AND(N(N496)&gt;0,L496=0),"Jobber visit, no hours logged",IF(AND(L496&gt;0,N496=""),"Enter Jobber visits",IF(AND(L496&gt;0,N(N496)=0),"Hours logged, no Jobber visit",IF(AND(O496&lt;&gt;"",ABS(N(P496))&gt;0.5),"Hours differ from Jobber","")))))</f>
        <v/>
      </c>
    </row>
    <row r="497">
      <c r="K497">
        <f>IF(Sites!A493="","",Sites!A493)</f>
        <v/>
      </c>
      <c r="L497">
        <f>IF(K497="","",COUNTIFS('Hours Log'!$C$2:$C$2001,K497,'Hours Log'!$I$2:$I$2001,$B$3))</f>
        <v/>
      </c>
      <c r="M497" s="18">
        <f>IF(K497="","",SUMIFS('Hours Log'!$G$2:$G$2001,'Hours Log'!$C$2:$C$2001,K497,'Hours Log'!$I$2:$I$2001,$B$3))</f>
        <v/>
      </c>
      <c r="N497" s="10" t="n"/>
      <c r="O497" s="10" t="n"/>
      <c r="P497" s="18">
        <f>IF(OR(K497="",O497=""),"",M497-O497)</f>
        <v/>
      </c>
      <c r="Q497">
        <f>IF(K497="","",IF(AND(N(N497)&gt;0,L497=0),"Jobber visit, no hours logged",IF(AND(L497&gt;0,N497=""),"Enter Jobber visits",IF(AND(L497&gt;0,N(N497)=0),"Hours logged, no Jobber visit",IF(AND(O497&lt;&gt;"",ABS(N(P497))&gt;0.5),"Hours differ from Jobber","")))))</f>
        <v/>
      </c>
    </row>
    <row r="498">
      <c r="K498">
        <f>IF(Sites!A494="","",Sites!A494)</f>
        <v/>
      </c>
      <c r="L498">
        <f>IF(K498="","",COUNTIFS('Hours Log'!$C$2:$C$2001,K498,'Hours Log'!$I$2:$I$2001,$B$3))</f>
        <v/>
      </c>
      <c r="M498" s="18">
        <f>IF(K498="","",SUMIFS('Hours Log'!$G$2:$G$2001,'Hours Log'!$C$2:$C$2001,K498,'Hours Log'!$I$2:$I$2001,$B$3))</f>
        <v/>
      </c>
      <c r="N498" s="10" t="n"/>
      <c r="O498" s="10" t="n"/>
      <c r="P498" s="18">
        <f>IF(OR(K498="",O498=""),"",M498-O498)</f>
        <v/>
      </c>
      <c r="Q498">
        <f>IF(K498="","",IF(AND(N(N498)&gt;0,L498=0),"Jobber visit, no hours logged",IF(AND(L498&gt;0,N498=""),"Enter Jobber visits",IF(AND(L498&gt;0,N(N498)=0),"Hours logged, no Jobber visit",IF(AND(O498&lt;&gt;"",ABS(N(P498))&gt;0.5),"Hours differ from Jobber","")))))</f>
        <v/>
      </c>
    </row>
    <row r="499">
      <c r="K499">
        <f>IF(Sites!A495="","",Sites!A495)</f>
        <v/>
      </c>
      <c r="L499">
        <f>IF(K499="","",COUNTIFS('Hours Log'!$C$2:$C$2001,K499,'Hours Log'!$I$2:$I$2001,$B$3))</f>
        <v/>
      </c>
      <c r="M499" s="18">
        <f>IF(K499="","",SUMIFS('Hours Log'!$G$2:$G$2001,'Hours Log'!$C$2:$C$2001,K499,'Hours Log'!$I$2:$I$2001,$B$3))</f>
        <v/>
      </c>
      <c r="N499" s="10" t="n"/>
      <c r="O499" s="10" t="n"/>
      <c r="P499" s="18">
        <f>IF(OR(K499="",O499=""),"",M499-O499)</f>
        <v/>
      </c>
      <c r="Q499">
        <f>IF(K499="","",IF(AND(N(N499)&gt;0,L499=0),"Jobber visit, no hours logged",IF(AND(L499&gt;0,N499=""),"Enter Jobber visits",IF(AND(L499&gt;0,N(N499)=0),"Hours logged, no Jobber visit",IF(AND(O499&lt;&gt;"",ABS(N(P499))&gt;0.5),"Hours differ from Jobber","")))))</f>
        <v/>
      </c>
    </row>
    <row r="500">
      <c r="K500">
        <f>IF(Sites!A496="","",Sites!A496)</f>
        <v/>
      </c>
      <c r="L500">
        <f>IF(K500="","",COUNTIFS('Hours Log'!$C$2:$C$2001,K500,'Hours Log'!$I$2:$I$2001,$B$3))</f>
        <v/>
      </c>
      <c r="M500" s="18">
        <f>IF(K500="","",SUMIFS('Hours Log'!$G$2:$G$2001,'Hours Log'!$C$2:$C$2001,K500,'Hours Log'!$I$2:$I$2001,$B$3))</f>
        <v/>
      </c>
      <c r="N500" s="10" t="n"/>
      <c r="O500" s="10" t="n"/>
      <c r="P500" s="18">
        <f>IF(OR(K500="",O500=""),"",M500-O500)</f>
        <v/>
      </c>
      <c r="Q500">
        <f>IF(K500="","",IF(AND(N(N500)&gt;0,L500=0),"Jobber visit, no hours logged",IF(AND(L500&gt;0,N500=""),"Enter Jobber visits",IF(AND(L500&gt;0,N(N500)=0),"Hours logged, no Jobber visit",IF(AND(O500&lt;&gt;"",ABS(N(P500))&gt;0.5),"Hours differ from Jobber","")))))</f>
        <v/>
      </c>
    </row>
    <row r="501">
      <c r="K501">
        <f>IF(Sites!A497="","",Sites!A497)</f>
        <v/>
      </c>
      <c r="L501">
        <f>IF(K501="","",COUNTIFS('Hours Log'!$C$2:$C$2001,K501,'Hours Log'!$I$2:$I$2001,$B$3))</f>
        <v/>
      </c>
      <c r="M501" s="18">
        <f>IF(K501="","",SUMIFS('Hours Log'!$G$2:$G$2001,'Hours Log'!$C$2:$C$2001,K501,'Hours Log'!$I$2:$I$2001,$B$3))</f>
        <v/>
      </c>
      <c r="N501" s="10" t="n"/>
      <c r="O501" s="10" t="n"/>
      <c r="P501" s="18">
        <f>IF(OR(K501="",O501=""),"",M501-O501)</f>
        <v/>
      </c>
      <c r="Q501">
        <f>IF(K501="","",IF(AND(N(N501)&gt;0,L501=0),"Jobber visit, no hours logged",IF(AND(L501&gt;0,N501=""),"Enter Jobber visits",IF(AND(L501&gt;0,N(N501)=0),"Hours logged, no Jobber visit",IF(AND(O501&lt;&gt;"",ABS(N(P501))&gt;0.5),"Hours differ from Jobber","")))))</f>
        <v/>
      </c>
    </row>
    <row r="502">
      <c r="K502">
        <f>IF(Sites!A498="","",Sites!A498)</f>
        <v/>
      </c>
      <c r="L502">
        <f>IF(K502="","",COUNTIFS('Hours Log'!$C$2:$C$2001,K502,'Hours Log'!$I$2:$I$2001,$B$3))</f>
        <v/>
      </c>
      <c r="M502" s="18">
        <f>IF(K502="","",SUMIFS('Hours Log'!$G$2:$G$2001,'Hours Log'!$C$2:$C$2001,K502,'Hours Log'!$I$2:$I$2001,$B$3))</f>
        <v/>
      </c>
      <c r="N502" s="10" t="n"/>
      <c r="O502" s="10" t="n"/>
      <c r="P502" s="18">
        <f>IF(OR(K502="",O502=""),"",M502-O502)</f>
        <v/>
      </c>
      <c r="Q502">
        <f>IF(K502="","",IF(AND(N(N502)&gt;0,L502=0),"Jobber visit, no hours logged",IF(AND(L502&gt;0,N502=""),"Enter Jobber visits",IF(AND(L502&gt;0,N(N502)=0),"Hours logged, no Jobber visit",IF(AND(O502&lt;&gt;"",ABS(N(P502))&gt;0.5),"Hours differ from Jobber","")))))</f>
        <v/>
      </c>
    </row>
    <row r="503">
      <c r="K503">
        <f>IF(Sites!A499="","",Sites!A499)</f>
        <v/>
      </c>
      <c r="L503">
        <f>IF(K503="","",COUNTIFS('Hours Log'!$C$2:$C$2001,K503,'Hours Log'!$I$2:$I$2001,$B$3))</f>
        <v/>
      </c>
      <c r="M503" s="18">
        <f>IF(K503="","",SUMIFS('Hours Log'!$G$2:$G$2001,'Hours Log'!$C$2:$C$2001,K503,'Hours Log'!$I$2:$I$2001,$B$3))</f>
        <v/>
      </c>
      <c r="N503" s="10" t="n"/>
      <c r="O503" s="10" t="n"/>
      <c r="P503" s="18">
        <f>IF(OR(K503="",O503=""),"",M503-O503)</f>
        <v/>
      </c>
      <c r="Q503">
        <f>IF(K503="","",IF(AND(N(N503)&gt;0,L503=0),"Jobber visit, no hours logged",IF(AND(L503&gt;0,N503=""),"Enter Jobber visits",IF(AND(L503&gt;0,N(N503)=0),"Hours logged, no Jobber visit",IF(AND(O503&lt;&gt;"",ABS(N(P503))&gt;0.5),"Hours differ from Jobber","")))))</f>
        <v/>
      </c>
    </row>
    <row r="504">
      <c r="K504">
        <f>IF(Sites!A500="","",Sites!A500)</f>
        <v/>
      </c>
      <c r="L504">
        <f>IF(K504="","",COUNTIFS('Hours Log'!$C$2:$C$2001,K504,'Hours Log'!$I$2:$I$2001,$B$3))</f>
        <v/>
      </c>
      <c r="M504" s="18">
        <f>IF(K504="","",SUMIFS('Hours Log'!$G$2:$G$2001,'Hours Log'!$C$2:$C$2001,K504,'Hours Log'!$I$2:$I$2001,$B$3))</f>
        <v/>
      </c>
      <c r="N504" s="10" t="n"/>
      <c r="O504" s="10" t="n"/>
      <c r="P504" s="18">
        <f>IF(OR(K504="",O504=""),"",M504-O504)</f>
        <v/>
      </c>
      <c r="Q504">
        <f>IF(K504="","",IF(AND(N(N504)&gt;0,L504=0),"Jobber visit, no hours logged",IF(AND(L504&gt;0,N504=""),"Enter Jobber visits",IF(AND(L504&gt;0,N(N504)=0),"Hours logged, no Jobber visit",IF(AND(O504&lt;&gt;"",ABS(N(P504))&gt;0.5),"Hours differ from Jobber","")))))</f>
        <v/>
      </c>
    </row>
    <row r="505">
      <c r="K505">
        <f>IF(Sites!A501="","",Sites!A501)</f>
        <v/>
      </c>
      <c r="L505">
        <f>IF(K505="","",COUNTIFS('Hours Log'!$C$2:$C$2001,K505,'Hours Log'!$I$2:$I$2001,$B$3))</f>
        <v/>
      </c>
      <c r="M505" s="18">
        <f>IF(K505="","",SUMIFS('Hours Log'!$G$2:$G$2001,'Hours Log'!$C$2:$C$2001,K505,'Hours Log'!$I$2:$I$2001,$B$3))</f>
        <v/>
      </c>
      <c r="N505" s="10" t="n"/>
      <c r="O505" s="10" t="n"/>
      <c r="P505" s="18">
        <f>IF(OR(K505="",O505=""),"",M505-O505)</f>
        <v/>
      </c>
      <c r="Q505">
        <f>IF(K505="","",IF(AND(N(N505)&gt;0,L505=0),"Jobber visit, no hours logged",IF(AND(L505&gt;0,N505=""),"Enter Jobber visits",IF(AND(L505&gt;0,N(N505)=0),"Hours logged, no Jobber visit",IF(AND(O505&lt;&gt;"",ABS(N(P505))&gt;0.5),"Hours differ from Jobber","")))))</f>
        <v/>
      </c>
    </row>
  </sheetData>
  <conditionalFormatting sqref="Q6:Q505">
    <cfRule type="expression" priority="1" dxfId="0">
      <formula>Q6&lt;&gt;""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2026-10-10T10:31:42Z</dcterms:created>
  <dcterms:modified xmlns:dcterms="http://purl.org/dc/terms/" xmlns:xsi="http://www.w3.org/2001/XMLSchema-instance" xsi:type="dcterms:W3CDTF">2026-10-10T10:31:43Z</dcterms:modified>
</cp:coreProperties>
</file>